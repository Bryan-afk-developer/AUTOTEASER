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  <sheet name="202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4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b val="1"/>
      <color rgb="00FFFFFF"/>
      <sz val="10"/>
    </font>
    <font>
      <b val="1"/>
      <color rgb="00FFFFFF"/>
      <sz val="11"/>
    </font>
  </fonts>
  <fills count="44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  <fill>
      <patternFill patternType="solid">
        <fgColor rgb="001F4E78"/>
      </patternFill>
    </fill>
    <fill>
      <patternFill patternType="solid">
        <fgColor rgb="001A7A4A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62828"/>
      </patternFill>
    </fill>
    <fill>
      <patternFill patternType="solid">
        <fgColor rgb="00E53935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6D4C41"/>
      </patternFill>
    </fill>
    <fill>
      <patternFill patternType="solid">
        <fgColor rgb="004E342E"/>
      </patternFill>
    </fill>
    <fill>
      <patternFill patternType="solid">
        <fgColor rgb="0037474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43"/>
  </cellStyleXfs>
  <cellXfs count="3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  <xf numFmtId="0" fontId="32" fillId="32" borderId="54" applyAlignment="1" pivotButton="0" quotePrefix="0" xfId="0">
      <alignment horizontal="center" vertical="center"/>
    </xf>
    <xf numFmtId="0" fontId="33" fillId="32" borderId="54" applyAlignment="1" pivotButton="0" quotePrefix="0" xfId="0">
      <alignment horizontal="center" vertical="center"/>
    </xf>
    <xf numFmtId="0" fontId="0" fillId="0" borderId="57" pivotButton="0" quotePrefix="0" xfId="0"/>
    <xf numFmtId="0" fontId="32" fillId="33" borderId="54" applyAlignment="1" pivotButton="0" quotePrefix="0" xfId="0">
      <alignment horizontal="left" vertical="center"/>
    </xf>
    <xf numFmtId="0" fontId="0" fillId="33" borderId="54" pivotButton="0" quotePrefix="0" xfId="0"/>
    <xf numFmtId="0" fontId="0" fillId="0" borderId="54" applyAlignment="1" pivotButton="0" quotePrefix="0" xfId="0">
      <alignment horizontal="left" vertical="center" indent="1"/>
    </xf>
    <xf numFmtId="4" fontId="0" fillId="34" borderId="54" applyAlignment="1" pivotButton="0" quotePrefix="0" xfId="0">
      <alignment horizontal="right" vertical="center"/>
    </xf>
    <xf numFmtId="0" fontId="32" fillId="35" borderId="54" applyAlignment="1" pivotButton="0" quotePrefix="0" xfId="0">
      <alignment horizontal="left" vertical="center"/>
    </xf>
    <xf numFmtId="0" fontId="0" fillId="35" borderId="54" pivotButton="0" quotePrefix="0" xfId="0"/>
    <xf numFmtId="0" fontId="32" fillId="36" borderId="54" applyAlignment="1" pivotButton="0" quotePrefix="0" xfId="0">
      <alignment horizontal="left" vertical="center"/>
    </xf>
    <xf numFmtId="0" fontId="0" fillId="36" borderId="54" pivotButton="0" quotePrefix="0" xfId="0"/>
    <xf numFmtId="0" fontId="32" fillId="37" borderId="54" applyAlignment="1" pivotButton="0" quotePrefix="0" xfId="0">
      <alignment horizontal="left" vertical="center"/>
    </xf>
    <xf numFmtId="0" fontId="0" fillId="37" borderId="54" pivotButton="0" quotePrefix="0" xfId="0"/>
    <xf numFmtId="0" fontId="32" fillId="38" borderId="54" applyAlignment="1" pivotButton="0" quotePrefix="0" xfId="0">
      <alignment horizontal="left" vertical="center"/>
    </xf>
    <xf numFmtId="0" fontId="0" fillId="38" borderId="54" pivotButton="0" quotePrefix="0" xfId="0"/>
    <xf numFmtId="0" fontId="32" fillId="39" borderId="54" applyAlignment="1" pivotButton="0" quotePrefix="0" xfId="0">
      <alignment horizontal="left" vertical="center"/>
    </xf>
    <xf numFmtId="0" fontId="0" fillId="39" borderId="54" pivotButton="0" quotePrefix="0" xfId="0"/>
    <xf numFmtId="0" fontId="32" fillId="40" borderId="54" applyAlignment="1" pivotButton="0" quotePrefix="0" xfId="0">
      <alignment horizontal="left" vertical="center"/>
    </xf>
    <xf numFmtId="0" fontId="0" fillId="40" borderId="54" pivotButton="0" quotePrefix="0" xfId="0"/>
    <xf numFmtId="0" fontId="32" fillId="41" borderId="54" applyAlignment="1" pivotButton="0" quotePrefix="0" xfId="0">
      <alignment horizontal="left" vertical="center"/>
    </xf>
    <xf numFmtId="0" fontId="0" fillId="41" borderId="54" pivotButton="0" quotePrefix="0" xfId="0"/>
    <xf numFmtId="0" fontId="32" fillId="42" borderId="54" applyAlignment="1" pivotButton="0" quotePrefix="0" xfId="0">
      <alignment horizontal="left" vertical="center"/>
    </xf>
    <xf numFmtId="0" fontId="0" fillId="42" borderId="54" pivotButton="0" quotePrefix="0" xfId="0"/>
    <xf numFmtId="0" fontId="32" fillId="43" borderId="54" applyAlignment="1" pivotButton="0" quotePrefix="0" xfId="0">
      <alignment horizontal="left" vertical="center"/>
    </xf>
    <xf numFmtId="0" fontId="0" fillId="43" borderId="5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/>
      <c r="C9" s="44">
        <f>B9/$B$43</f>
        <v/>
      </c>
      <c r="D9" s="43" t="n"/>
      <c r="E9" s="44">
        <f>D9/$D$43</f>
        <v/>
      </c>
      <c r="F9" s="43">
        <f>'2025'!H4</f>
        <v/>
      </c>
      <c r="G9" s="45">
        <f>F9/$F$43</f>
        <v/>
      </c>
      <c r="H9" s="43" t="n"/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/>
      <c r="C10" s="44">
        <f>B10/$B$43</f>
        <v/>
      </c>
      <c r="D10" s="43" t="n"/>
      <c r="E10" s="44">
        <f>D10/$D$43</f>
        <v/>
      </c>
      <c r="F10" s="43">
        <f>'2025'!H5</f>
        <v/>
      </c>
      <c r="G10" s="45">
        <f>F10/$F$43</f>
        <v/>
      </c>
      <c r="H10" s="43" t="n"/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/>
      <c r="C11" s="44">
        <f>B11/$B$43</f>
        <v/>
      </c>
      <c r="D11" s="43" t="n"/>
      <c r="E11" s="44">
        <f>D11/$D$43</f>
        <v/>
      </c>
      <c r="F11" s="43">
        <f>'2025'!H6</f>
        <v/>
      </c>
      <c r="G11" s="45">
        <f>F11/$F$43</f>
        <v/>
      </c>
      <c r="H11" s="43" t="n"/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/>
      <c r="C12" s="44">
        <f>B12/$B$43</f>
        <v/>
      </c>
      <c r="D12" s="43" t="n"/>
      <c r="E12" s="44">
        <f>D12/$D$43</f>
        <v/>
      </c>
      <c r="F12" s="43">
        <f>'2025'!H7</f>
        <v/>
      </c>
      <c r="G12" s="45">
        <f>F12/$F$43</f>
        <v/>
      </c>
      <c r="H12" s="43" t="n"/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/>
      <c r="C13" s="44">
        <f>B13/$B$43</f>
        <v/>
      </c>
      <c r="D13" s="43" t="n"/>
      <c r="E13" s="44">
        <f>D13/$D$43</f>
        <v/>
      </c>
      <c r="F13" s="43">
        <f>'2025'!H8</f>
        <v/>
      </c>
      <c r="G13" s="45">
        <f>F13/$F$43</f>
        <v/>
      </c>
      <c r="H13" s="43" t="n"/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/>
      <c r="C14" s="44">
        <f>B14/$B$43</f>
        <v/>
      </c>
      <c r="D14" s="43" t="n"/>
      <c r="E14" s="44">
        <f>D14/$D$43</f>
        <v/>
      </c>
      <c r="F14" s="43">
        <f>'2025'!H9</f>
        <v/>
      </c>
      <c r="G14" s="45">
        <f>F14/$F$43</f>
        <v/>
      </c>
      <c r="H14" s="43" t="n"/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/>
      <c r="C15" s="44">
        <f>B15/$B$43</f>
        <v/>
      </c>
      <c r="D15" s="43" t="n"/>
      <c r="E15" s="44">
        <f>D15/$D$43</f>
        <v/>
      </c>
      <c r="F15" s="43">
        <f>'2025'!H10</f>
        <v/>
      </c>
      <c r="G15" s="45">
        <f>F15/$F$43</f>
        <v/>
      </c>
      <c r="H15" s="43" t="n"/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/>
      <c r="C16" s="44">
        <f>B16/$B$43</f>
        <v/>
      </c>
      <c r="D16" s="43" t="n"/>
      <c r="E16" s="44">
        <f>D16/$D$43</f>
        <v/>
      </c>
      <c r="F16" s="43">
        <f>'2025'!H11</f>
        <v/>
      </c>
      <c r="G16" s="45">
        <f>F16/$F$43</f>
        <v/>
      </c>
      <c r="H16" s="43" t="n"/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/>
      <c r="C17" s="44">
        <f>B17/$B$43</f>
        <v/>
      </c>
      <c r="D17" s="43" t="n"/>
      <c r="E17" s="54">
        <f>D17/$D$43</f>
        <v/>
      </c>
      <c r="F17" s="43">
        <f>'2025'!H12</f>
        <v/>
      </c>
      <c r="G17" s="45">
        <f>F17/$F$43</f>
        <v/>
      </c>
      <c r="H17" s="43" t="n"/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/>
      <c r="C18" s="44">
        <f>B18/$B$43</f>
        <v/>
      </c>
      <c r="D18" s="43" t="n"/>
      <c r="E18" s="54">
        <f>D18/$D$43</f>
        <v/>
      </c>
      <c r="F18" s="43">
        <f>'2025'!H13</f>
        <v/>
      </c>
      <c r="G18" s="45">
        <f>F18/$F$43</f>
        <v/>
      </c>
      <c r="H18" s="43" t="n"/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/>
      <c r="C24" s="44">
        <f>B24/$B$43</f>
        <v/>
      </c>
      <c r="D24" s="43" t="n"/>
      <c r="E24" s="44">
        <f>D24/$D$43</f>
        <v/>
      </c>
      <c r="F24" s="43">
        <f>'2025'!H15</f>
        <v/>
      </c>
      <c r="G24" s="45">
        <f>F24/$F$43</f>
        <v/>
      </c>
      <c r="H24" s="43" t="n"/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/>
      <c r="C25" s="44">
        <f>B25/$B$43</f>
        <v/>
      </c>
      <c r="D25" s="43" t="n"/>
      <c r="E25" s="44">
        <f>D25/$D$43</f>
        <v/>
      </c>
      <c r="F25" s="43">
        <f>'2025'!H16</f>
        <v/>
      </c>
      <c r="G25" s="45">
        <f>F25/$F$43</f>
        <v/>
      </c>
      <c r="H25" s="43" t="n"/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/>
      <c r="C26" s="44">
        <f>B26/$B$43</f>
        <v/>
      </c>
      <c r="D26" s="43" t="n"/>
      <c r="E26" s="54">
        <f>D26/$D$43</f>
        <v/>
      </c>
      <c r="F26" s="43">
        <f>'2025'!H17</f>
        <v/>
      </c>
      <c r="G26" s="61">
        <f>F26/$F$43</f>
        <v/>
      </c>
      <c r="H26" s="43" t="n"/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/>
      <c r="C27" s="44">
        <f>B27/$B$43</f>
        <v/>
      </c>
      <c r="D27" s="43" t="n"/>
      <c r="E27" s="54">
        <f>D27/$D$43</f>
        <v/>
      </c>
      <c r="F27" s="43">
        <f>'2025'!H18</f>
        <v/>
      </c>
      <c r="G27" s="61">
        <f>F27/$F$43</f>
        <v/>
      </c>
      <c r="H27" s="43" t="n"/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/>
      <c r="C28" s="44">
        <f>B28/$B$43</f>
        <v/>
      </c>
      <c r="D28" s="43" t="n"/>
      <c r="E28" s="54">
        <f>D28/$D$43</f>
        <v/>
      </c>
      <c r="F28" s="43">
        <f>'2025'!H19</f>
        <v/>
      </c>
      <c r="G28" s="61">
        <f>F28/$F$43</f>
        <v/>
      </c>
      <c r="H28" s="43" t="n"/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/>
      <c r="C29" s="44">
        <f>B29/$B$43</f>
        <v/>
      </c>
      <c r="D29" s="43" t="n"/>
      <c r="E29" s="54">
        <f>D29/$D$43</f>
        <v/>
      </c>
      <c r="F29" s="43">
        <f>'2025'!H20</f>
        <v/>
      </c>
      <c r="G29" s="61">
        <f>F29/$F$43</f>
        <v/>
      </c>
      <c r="H29" s="43" t="n"/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/>
      <c r="C30" s="44">
        <f>B30/$B$43</f>
        <v/>
      </c>
      <c r="D30" s="43" t="n"/>
      <c r="E30" s="54">
        <f>D30/$D$43</f>
        <v/>
      </c>
      <c r="F30" s="43">
        <f>'2025'!H21</f>
        <v/>
      </c>
      <c r="G30" s="61">
        <f>F30/$F$43</f>
        <v/>
      </c>
      <c r="H30" s="43" t="n"/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/>
      <c r="C31" s="44">
        <f>B31/$B$43</f>
        <v/>
      </c>
      <c r="D31" s="76" t="n"/>
      <c r="E31" s="54">
        <f>D31/$D$43</f>
        <v/>
      </c>
      <c r="F31" s="76">
        <f>'2025'!H22</f>
        <v/>
      </c>
      <c r="G31" s="61">
        <f>F31/$F$43</f>
        <v/>
      </c>
      <c r="H31" s="76" t="n"/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/>
      <c r="C37" s="44">
        <f>B37/$B$43</f>
        <v/>
      </c>
      <c r="D37" s="43" t="n"/>
      <c r="E37" s="44">
        <f>D37/$D$43</f>
        <v/>
      </c>
      <c r="F37" s="43">
        <f>'2025'!H24</f>
        <v/>
      </c>
      <c r="G37" s="45">
        <f>F37/$F$43</f>
        <v/>
      </c>
      <c r="H37" s="43" t="n"/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/>
      <c r="C38" s="44">
        <f>B38/$B$43</f>
        <v/>
      </c>
      <c r="D38" s="43" t="n"/>
      <c r="E38" s="44">
        <f>D38/$D$43</f>
        <v/>
      </c>
      <c r="F38" s="43">
        <f>'2025'!H25</f>
        <v/>
      </c>
      <c r="G38" s="45">
        <f>F38/$F$43</f>
        <v/>
      </c>
      <c r="H38" s="43" t="n"/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/>
      <c r="C39" s="44">
        <f>B39/$B$43</f>
        <v/>
      </c>
      <c r="D39" s="43" t="n"/>
      <c r="E39" s="44">
        <f>D39/$D$43</f>
        <v/>
      </c>
      <c r="F39" s="43">
        <f>'2025'!H26</f>
        <v/>
      </c>
      <c r="G39" s="45">
        <f>F39/$F$43</f>
        <v/>
      </c>
      <c r="H39" s="43" t="n"/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/>
      <c r="C52" s="44">
        <f>B52/$B$84</f>
        <v/>
      </c>
      <c r="D52" s="43" t="n"/>
      <c r="E52" s="44">
        <f>D52/$D$84</f>
        <v/>
      </c>
      <c r="F52" s="43">
        <f>'2025'!H28</f>
        <v/>
      </c>
      <c r="G52" s="45">
        <f>F52/$F$84</f>
        <v/>
      </c>
      <c r="H52" s="43" t="n"/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/>
      <c r="C53" s="44">
        <f>B53/$B$84</f>
        <v/>
      </c>
      <c r="D53" s="43" t="n"/>
      <c r="E53" s="44">
        <f>D53/$D$84</f>
        <v/>
      </c>
      <c r="F53" s="43">
        <f>'2025'!H29</f>
        <v/>
      </c>
      <c r="G53" s="45">
        <f>F53/$F$84</f>
        <v/>
      </c>
      <c r="H53" s="43" t="n"/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/>
      <c r="C54" s="44">
        <f>B54/$B$84</f>
        <v/>
      </c>
      <c r="D54" s="43" t="n"/>
      <c r="E54" s="44">
        <f>D54/$D$84</f>
        <v/>
      </c>
      <c r="F54" s="43">
        <f>'2025'!H30</f>
        <v/>
      </c>
      <c r="G54" s="45">
        <f>F54/$F$84</f>
        <v/>
      </c>
      <c r="H54" s="43" t="n"/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/>
      <c r="C55" s="44">
        <f>B55/$B$84</f>
        <v/>
      </c>
      <c r="D55" s="43" t="n"/>
      <c r="E55" s="44">
        <f>D55/$D$84</f>
        <v/>
      </c>
      <c r="F55" s="43">
        <f>'2025'!H31</f>
        <v/>
      </c>
      <c r="G55" s="45">
        <f>F55/$F$84</f>
        <v/>
      </c>
      <c r="H55" s="43" t="n"/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/>
      <c r="C56" s="44">
        <f>B56/$B$84</f>
        <v/>
      </c>
      <c r="D56" s="43" t="n"/>
      <c r="E56" s="54">
        <f>D56/$D$84</f>
        <v/>
      </c>
      <c r="F56" s="43">
        <f>'2025'!H32</f>
        <v/>
      </c>
      <c r="G56" s="61">
        <f>F56/$F$84</f>
        <v/>
      </c>
      <c r="H56" s="43" t="n"/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/>
      <c r="C57" s="44">
        <f>B57/$B$84</f>
        <v/>
      </c>
      <c r="D57" s="43" t="n"/>
      <c r="E57" s="54">
        <f>D57/$D$84</f>
        <v/>
      </c>
      <c r="F57" s="43">
        <f>'2025'!H33</f>
        <v/>
      </c>
      <c r="G57" s="61">
        <f>F57/$F$84</f>
        <v/>
      </c>
      <c r="H57" s="43" t="n"/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/>
      <c r="C64" s="44">
        <f>B64/$B$84</f>
        <v/>
      </c>
      <c r="D64" s="43" t="n"/>
      <c r="E64" s="44">
        <f>D64/$D$84</f>
        <v/>
      </c>
      <c r="F64" s="43">
        <f>'2025'!H35</f>
        <v/>
      </c>
      <c r="G64" s="45">
        <f>F64/$F$84</f>
        <v/>
      </c>
      <c r="H64" s="43" t="n"/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/>
      <c r="C65" s="44">
        <f>B65/$B$84</f>
        <v/>
      </c>
      <c r="D65" s="43" t="n"/>
      <c r="E65" s="44">
        <f>D65/$D$84</f>
        <v/>
      </c>
      <c r="F65" s="43">
        <f>'2025'!H36</f>
        <v/>
      </c>
      <c r="G65" s="45">
        <f>F65/$F$84</f>
        <v/>
      </c>
      <c r="H65" s="43" t="n"/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/>
      <c r="C74" s="44">
        <f>B74/$B$84</f>
        <v/>
      </c>
      <c r="D74" s="112" t="n"/>
      <c r="E74" s="44">
        <f>D74/$D$84</f>
        <v/>
      </c>
      <c r="F74" s="112">
        <f>'2025'!H38</f>
        <v/>
      </c>
      <c r="G74" s="45">
        <f>F74/$F$84</f>
        <v/>
      </c>
      <c r="H74" s="112" t="n"/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/>
      <c r="C75" s="44">
        <f>B75/$B$84</f>
        <v/>
      </c>
      <c r="D75" s="110" t="n"/>
      <c r="E75" s="44">
        <f>D75/$D$84</f>
        <v/>
      </c>
      <c r="F75" s="110">
        <f>'2025'!H39</f>
        <v/>
      </c>
      <c r="G75" s="45">
        <f>F75/$F$84</f>
        <v/>
      </c>
      <c r="H75" s="110" t="n"/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/>
      <c r="C76" s="44">
        <f>B76/$B$84</f>
        <v/>
      </c>
      <c r="D76" s="112" t="n"/>
      <c r="E76" s="44">
        <f>D76/$D$84</f>
        <v/>
      </c>
      <c r="F76" s="112">
        <f>'2025'!H40</f>
        <v/>
      </c>
      <c r="G76" s="45">
        <f>F76/$F$84</f>
        <v/>
      </c>
      <c r="H76" s="112" t="n"/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/>
      <c r="C77" s="44">
        <f>B77/$B$84</f>
        <v/>
      </c>
      <c r="D77" s="10" t="n"/>
      <c r="E77" s="44">
        <f>D77/$D$84</f>
        <v/>
      </c>
      <c r="F77" s="10">
        <f>'2025'!H41</f>
        <v/>
      </c>
      <c r="G77" s="45">
        <f>F77/$F$84</f>
        <v/>
      </c>
      <c r="H77" s="10" t="n"/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/>
      <c r="C78" s="44">
        <f>B78/$B$84</f>
        <v/>
      </c>
      <c r="D78" s="10" t="n"/>
      <c r="E78" s="44">
        <f>D78/$D$84</f>
        <v/>
      </c>
      <c r="F78" s="112">
        <f>'2025'!H42</f>
        <v/>
      </c>
      <c r="G78" s="45">
        <f>F78/$F$84</f>
        <v/>
      </c>
      <c r="H78" s="112" t="n"/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/>
      <c r="C7" s="191" t="n"/>
      <c r="D7" s="190" t="n"/>
      <c r="E7" s="191" t="n"/>
      <c r="F7" s="190">
        <f>'2025'!H46</f>
        <v/>
      </c>
      <c r="G7" s="191" t="n"/>
      <c r="H7" s="190" t="n"/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/>
      <c r="C8" s="191">
        <f>(B8/$B$7)*-1</f>
        <v/>
      </c>
      <c r="D8" s="194" t="n"/>
      <c r="E8" s="191">
        <f>(D8/$D$7)*-1</f>
        <v/>
      </c>
      <c r="F8" s="194">
        <f>'2025'!H47</f>
        <v/>
      </c>
      <c r="G8" s="191">
        <f>(F8/$F$7)*-1</f>
        <v/>
      </c>
      <c r="H8" s="194" t="n"/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/>
      <c r="C10" s="191">
        <f>(B10/$B$7)*-1</f>
        <v/>
      </c>
      <c r="D10" s="201" t="n"/>
      <c r="E10" s="191">
        <f>(D10/$D$7)*-1</f>
        <v/>
      </c>
      <c r="F10" s="201">
        <f>'2025'!H49</f>
        <v/>
      </c>
      <c r="G10" s="191">
        <f>(F10/$F$7)*-1</f>
        <v/>
      </c>
      <c r="H10" s="201" t="n"/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/>
      <c r="C11" s="191">
        <f>(B11/$B$7)*-1</f>
        <v/>
      </c>
      <c r="D11" s="201" t="n"/>
      <c r="E11" s="191">
        <f>(D11/$D$7)*-1</f>
        <v/>
      </c>
      <c r="F11" s="201">
        <f>'2025'!H50</f>
        <v/>
      </c>
      <c r="G11" s="191">
        <f>(F11/$F$7)*-1</f>
        <v/>
      </c>
      <c r="H11" s="201" t="n"/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/>
      <c r="C15" s="191">
        <f>(B15/$B$7)*-1</f>
        <v/>
      </c>
      <c r="D15" s="213" t="n"/>
      <c r="E15" s="191">
        <f>(D15/$D$7)*-1</f>
        <v/>
      </c>
      <c r="F15" s="207">
        <f>'2025'!H52</f>
        <v/>
      </c>
      <c r="G15" s="191">
        <f>(F15/$F$7)*-1</f>
        <v/>
      </c>
      <c r="H15" s="207" t="n"/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/>
      <c r="C16" s="191">
        <f>(B16/$B$7)</f>
        <v/>
      </c>
      <c r="D16" s="214" t="n"/>
      <c r="E16" s="191">
        <f>(D16/$D$7)</f>
        <v/>
      </c>
      <c r="F16" s="207">
        <f>'2025'!H53</f>
        <v/>
      </c>
      <c r="G16" s="191">
        <f>(F16/$F$7)</f>
        <v/>
      </c>
      <c r="H16" s="207" t="n"/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/>
      <c r="C17" s="191">
        <f>(B17/$B$7)</f>
        <v/>
      </c>
      <c r="D17" s="207" t="n"/>
      <c r="E17" s="191">
        <f>(D17/$D$7)</f>
        <v/>
      </c>
      <c r="F17" s="201">
        <f>'2025'!H54</f>
        <v/>
      </c>
      <c r="G17" s="191">
        <f>(F17/$F$7)</f>
        <v/>
      </c>
      <c r="H17" s="201" t="n"/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/>
      <c r="C20" s="191">
        <f>B20/$B$7</f>
        <v/>
      </c>
      <c r="D20" s="213" t="n"/>
      <c r="E20" s="191">
        <f>D20/$D$7</f>
        <v/>
      </c>
      <c r="F20" s="194">
        <f>'2025'!H56</f>
        <v/>
      </c>
      <c r="G20" s="191">
        <f>F20/$F$7</f>
        <v/>
      </c>
      <c r="H20" s="194" t="n"/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/>
      <c r="C21" s="191">
        <f>B21/$B$7</f>
        <v/>
      </c>
      <c r="D21" s="194" t="n"/>
      <c r="E21" s="191">
        <f>D21/$D$7</f>
        <v/>
      </c>
      <c r="F21" s="194">
        <f>'2025'!H57</f>
        <v/>
      </c>
      <c r="G21" s="191">
        <f>F21/$F$7</f>
        <v/>
      </c>
      <c r="H21" s="194" t="n"/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/>
      <c r="C24" s="191">
        <f>(B24/$B$7)*-1</f>
        <v/>
      </c>
      <c r="D24" s="194" t="n"/>
      <c r="E24" s="191">
        <f>(D24/$D$7)*-1</f>
        <v/>
      </c>
      <c r="F24" s="194">
        <f>'2025'!H59</f>
        <v/>
      </c>
      <c r="G24" s="191">
        <f>(F24/$F$7)*-1</f>
        <v/>
      </c>
      <c r="H24" s="194" t="n"/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/>
      <c r="C29" s="191" t="n"/>
      <c r="D29" s="235">
        <f>(+Balance!D31-Balance!B31)*-1</f>
        <v/>
      </c>
      <c r="E29" s="191" t="n"/>
      <c r="F29" s="235">
        <f>'2025'!H61</f>
        <v/>
      </c>
      <c r="G29" s="191" t="n"/>
      <c r="H29" s="235">
        <f>(+Balance!H31-Balance!F31)*-1</f>
        <v/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8" customWidth="1" style="336" min="1" max="1"/>
    <col width="18" customWidth="1" style="336" min="2" max="2"/>
    <col width="8" customWidth="1" style="336" min="3" max="3"/>
    <col width="55" customWidth="1" style="336" min="4" max="4"/>
    <col width="18" customWidth="1" style="336" min="5" max="5"/>
    <col width="3" customWidth="1" style="336" min="6" max="6"/>
    <col width="32" customWidth="1" style="336" min="7" max="7"/>
    <col width="18" customWidth="1" style="336" min="8" max="8"/>
  </cols>
  <sheetData>
    <row r="1">
      <c r="A1" s="342" t="inlineStr">
        <is>
          <t>Cuenta Extraída</t>
        </is>
      </c>
      <c r="B1" s="342" t="inlineStr">
        <is>
          <t>Monto Extraído</t>
        </is>
      </c>
      <c r="C1" s="342" t="inlineStr">
        <is>
          <t>Página</t>
        </is>
      </c>
      <c r="D1" s="342" t="inlineStr">
        <is>
          <t>Evidencia Visual</t>
        </is>
      </c>
      <c r="E1" s="342" t="inlineStr">
        <is>
          <t>Input / Ajuste</t>
        </is>
      </c>
      <c r="G1" s="342" t="inlineStr">
        <is>
          <t>Concepto</t>
        </is>
      </c>
      <c r="H1" s="342" t="inlineStr">
        <is>
          <t>Importe (Input)</t>
        </is>
      </c>
    </row>
    <row r="2">
      <c r="G2" s="343" t="inlineStr">
        <is>
          <t>── BALANCE ──</t>
        </is>
      </c>
      <c r="H2" s="344" t="n"/>
    </row>
    <row r="3">
      <c r="G3" s="345" t="inlineStr">
        <is>
          <t>ACTIVO CIRCULANTE</t>
        </is>
      </c>
      <c r="H3" s="346" t="n"/>
    </row>
    <row r="4">
      <c r="G4" s="347" t="inlineStr">
        <is>
          <t>Caja</t>
        </is>
      </c>
      <c r="H4" s="348" t="n"/>
    </row>
    <row r="5">
      <c r="G5" s="347" t="inlineStr">
        <is>
          <t>Bancos</t>
        </is>
      </c>
      <c r="H5" s="348" t="n"/>
    </row>
    <row r="6">
      <c r="G6" s="347" t="inlineStr">
        <is>
          <t>Clientes</t>
        </is>
      </c>
      <c r="H6" s="348" t="n"/>
    </row>
    <row r="7">
      <c r="G7" s="347" t="inlineStr">
        <is>
          <t>Cuentas Por Cobrar</t>
        </is>
      </c>
      <c r="H7" s="348" t="n"/>
    </row>
    <row r="8">
      <c r="G8" s="347" t="inlineStr">
        <is>
          <t>Deudores Diversos</t>
        </is>
      </c>
      <c r="H8" s="348" t="n"/>
    </row>
    <row r="9">
      <c r="G9" s="347" t="inlineStr">
        <is>
          <t>Isr Diferido</t>
        </is>
      </c>
      <c r="H9" s="348" t="n"/>
    </row>
    <row r="10">
      <c r="G10" s="347" t="inlineStr">
        <is>
          <t>Impuestos A Favor</t>
        </is>
      </c>
      <c r="H10" s="348" t="n"/>
    </row>
    <row r="11">
      <c r="G11" s="347" t="inlineStr">
        <is>
          <t>Inventarios</t>
        </is>
      </c>
      <c r="H11" s="348" t="n"/>
    </row>
    <row r="12">
      <c r="G12" s="347" t="inlineStr">
        <is>
          <t>Pagos Anticipados</t>
        </is>
      </c>
      <c r="H12" s="348" t="n"/>
    </row>
    <row r="13">
      <c r="G13" s="347" t="inlineStr">
        <is>
          <t>Anticipo Proveedores</t>
        </is>
      </c>
      <c r="H13" s="348" t="n"/>
    </row>
    <row r="14">
      <c r="G14" s="349" t="inlineStr">
        <is>
          <t>ACTIVO FIJO</t>
        </is>
      </c>
      <c r="H14" s="350" t="n"/>
    </row>
    <row r="15">
      <c r="G15" s="347" t="inlineStr">
        <is>
          <t>Edificios</t>
        </is>
      </c>
      <c r="H15" s="348" t="n"/>
    </row>
    <row r="16">
      <c r="G16" s="347" t="inlineStr">
        <is>
          <t>Maquinaria Equipo</t>
        </is>
      </c>
      <c r="H16" s="348" t="n"/>
    </row>
    <row r="17">
      <c r="G17" s="347" t="inlineStr">
        <is>
          <t>Equipo Transporte</t>
        </is>
      </c>
      <c r="H17" s="348" t="n"/>
    </row>
    <row r="18">
      <c r="G18" s="347" t="inlineStr">
        <is>
          <t>Mobiliario Equipo</t>
        </is>
      </c>
      <c r="H18" s="348" t="n"/>
    </row>
    <row r="19">
      <c r="G19" s="347" t="inlineStr">
        <is>
          <t>Equipo Computo</t>
        </is>
      </c>
      <c r="H19" s="348" t="n"/>
    </row>
    <row r="20">
      <c r="G20" s="347" t="inlineStr">
        <is>
          <t>Otros Activos Fijos</t>
        </is>
      </c>
      <c r="H20" s="348" t="n"/>
    </row>
    <row r="21">
      <c r="G21" s="347" t="inlineStr">
        <is>
          <t>Terrenos</t>
        </is>
      </c>
      <c r="H21" s="348" t="n"/>
    </row>
    <row r="22">
      <c r="G22" s="347" t="inlineStr">
        <is>
          <t>Depreciacion Acumulada</t>
        </is>
      </c>
      <c r="H22" s="348" t="n"/>
    </row>
    <row r="23">
      <c r="G23" s="351" t="inlineStr">
        <is>
          <t>ACTIVO DIFERIDO</t>
        </is>
      </c>
      <c r="H23" s="352" t="n"/>
    </row>
    <row r="24">
      <c r="G24" s="347" t="inlineStr">
        <is>
          <t>Gastos Instalacion</t>
        </is>
      </c>
      <c r="H24" s="348" t="n"/>
    </row>
    <row r="25">
      <c r="G25" s="347" t="inlineStr">
        <is>
          <t>Depositos Garantia</t>
        </is>
      </c>
      <c r="H25" s="348" t="n"/>
    </row>
    <row r="26">
      <c r="G26" s="347" t="inlineStr">
        <is>
          <t>Otros Activos Largo Plazo</t>
        </is>
      </c>
      <c r="H26" s="348" t="n"/>
    </row>
    <row r="27">
      <c r="G27" s="353" t="inlineStr">
        <is>
          <t>PASIVO CIRCULANTE</t>
        </is>
      </c>
      <c r="H27" s="354" t="n"/>
    </row>
    <row r="28">
      <c r="G28" s="347" t="inlineStr">
        <is>
          <t>Proveedores</t>
        </is>
      </c>
      <c r="H28" s="348" t="n"/>
    </row>
    <row r="29">
      <c r="G29" s="347" t="inlineStr">
        <is>
          <t>Prestamos Bancarios Cp</t>
        </is>
      </c>
      <c r="H29" s="348" t="n"/>
    </row>
    <row r="30">
      <c r="G30" s="347" t="inlineStr">
        <is>
          <t>Acreedores Diversos</t>
        </is>
      </c>
      <c r="H30" s="348" t="n"/>
    </row>
    <row r="31">
      <c r="G31" s="347" t="inlineStr">
        <is>
          <t>Otros Pasivos Cp</t>
        </is>
      </c>
      <c r="H31" s="348" t="n"/>
    </row>
    <row r="32">
      <c r="G32" s="347" t="inlineStr">
        <is>
          <t>Impuestos Acumulados</t>
        </is>
      </c>
      <c r="H32" s="348" t="n"/>
    </row>
    <row r="33">
      <c r="G33" s="347" t="inlineStr">
        <is>
          <t>Anticipo Clientes</t>
        </is>
      </c>
      <c r="H33" s="348" t="n"/>
    </row>
    <row r="34">
      <c r="G34" s="355" t="inlineStr">
        <is>
          <t>PASIVO LARGO PLAZO</t>
        </is>
      </c>
      <c r="H34" s="356" t="n"/>
    </row>
    <row r="35">
      <c r="G35" s="347" t="inlineStr">
        <is>
          <t>Prestamos Bancarios Lp</t>
        </is>
      </c>
      <c r="H35" s="348" t="n"/>
    </row>
    <row r="36">
      <c r="G36" s="347" t="inlineStr">
        <is>
          <t>Otras Cuentas Lp</t>
        </is>
      </c>
      <c r="H36" s="348" t="n"/>
    </row>
    <row r="37">
      <c r="G37" s="357" t="inlineStr">
        <is>
          <t>CAPITAL CONTABLE</t>
        </is>
      </c>
      <c r="H37" s="358" t="n"/>
    </row>
    <row r="38">
      <c r="G38" s="347" t="inlineStr">
        <is>
          <t>Capital Social</t>
        </is>
      </c>
      <c r="H38" s="348" t="n"/>
    </row>
    <row r="39">
      <c r="G39" s="347" t="inlineStr">
        <is>
          <t>Reserva Legal</t>
        </is>
      </c>
      <c r="H39" s="348" t="n"/>
    </row>
    <row r="40">
      <c r="G40" s="347" t="inlineStr">
        <is>
          <t>Aportaciones Futuros Aumentos</t>
        </is>
      </c>
      <c r="H40" s="348" t="n"/>
    </row>
    <row r="41">
      <c r="G41" s="347" t="inlineStr">
        <is>
          <t>Resultados Ejercicios Anteriores</t>
        </is>
      </c>
      <c r="H41" s="348" t="n"/>
    </row>
    <row r="42">
      <c r="G42" s="347" t="inlineStr">
        <is>
          <t>Utilidad Ejercicio</t>
        </is>
      </c>
      <c r="H42" s="348" t="n"/>
    </row>
    <row r="44">
      <c r="G44" s="343" t="inlineStr">
        <is>
          <t>── EDO DE RESULTADOS ──</t>
        </is>
      </c>
      <c r="H44" s="344" t="n"/>
    </row>
    <row r="45">
      <c r="G45" s="345" t="inlineStr">
        <is>
          <t>INGRESOS</t>
        </is>
      </c>
      <c r="H45" s="346" t="n"/>
    </row>
    <row r="46">
      <c r="G46" s="347" t="inlineStr">
        <is>
          <t>Ventas</t>
        </is>
      </c>
      <c r="H46" s="348" t="n"/>
    </row>
    <row r="47">
      <c r="G47" s="347" t="inlineStr">
        <is>
          <t>Costo Ventas</t>
        </is>
      </c>
      <c r="H47" s="348" t="n"/>
    </row>
    <row r="48">
      <c r="G48" s="353" t="inlineStr">
        <is>
          <t>COSTOS Y GASTOS</t>
        </is>
      </c>
      <c r="H48" s="354" t="n"/>
    </row>
    <row r="49">
      <c r="G49" s="347" t="inlineStr">
        <is>
          <t>Gastos Generales</t>
        </is>
      </c>
      <c r="H49" s="348" t="n"/>
    </row>
    <row r="50">
      <c r="G50" s="347" t="inlineStr">
        <is>
          <t>Gastos Administracion</t>
        </is>
      </c>
      <c r="H50" s="348" t="n"/>
    </row>
    <row r="51">
      <c r="G51" s="359" t="inlineStr">
        <is>
          <t>RESULTADO FINANCIERO</t>
        </is>
      </c>
      <c r="H51" s="360" t="n"/>
    </row>
    <row r="52">
      <c r="G52" s="347" t="inlineStr">
        <is>
          <t>Gastos Financieros</t>
        </is>
      </c>
      <c r="H52" s="348" t="n"/>
    </row>
    <row r="53">
      <c r="G53" s="347" t="inlineStr">
        <is>
          <t>Productos Financieros</t>
        </is>
      </c>
      <c r="H53" s="348" t="n"/>
    </row>
    <row r="54">
      <c r="G54" s="347" t="inlineStr">
        <is>
          <t>Utilidad Perdida Cambiaria</t>
        </is>
      </c>
      <c r="H54" s="348" t="n"/>
    </row>
    <row r="55">
      <c r="G55" s="361" t="inlineStr">
        <is>
          <t>OTROS</t>
        </is>
      </c>
      <c r="H55" s="362" t="n"/>
    </row>
    <row r="56">
      <c r="G56" s="347" t="inlineStr">
        <is>
          <t>Otros Gastos</t>
        </is>
      </c>
      <c r="H56" s="348" t="n"/>
    </row>
    <row r="57">
      <c r="G57" s="347" t="inlineStr">
        <is>
          <t>Otros Ingresos</t>
        </is>
      </c>
      <c r="H57" s="348" t="n"/>
    </row>
    <row r="58">
      <c r="G58" s="363" t="inlineStr">
        <is>
          <t>IMPUESTOS</t>
        </is>
      </c>
      <c r="H58" s="364" t="n"/>
    </row>
    <row r="59">
      <c r="G59" s="347" t="inlineStr">
        <is>
          <t>Impuestos</t>
        </is>
      </c>
      <c r="H59" s="348" t="n"/>
    </row>
    <row r="60">
      <c r="G60" s="365" t="inlineStr">
        <is>
          <t>DEPRECIACIÓN</t>
        </is>
      </c>
      <c r="H60" s="366" t="n"/>
    </row>
    <row r="61">
      <c r="G61" s="347" t="inlineStr">
        <is>
          <t>Depreciacion</t>
        </is>
      </c>
      <c r="H61" s="348" t="n"/>
    </row>
  </sheetData>
  <mergeCells count="2">
    <mergeCell ref="G2:H2"/>
    <mergeCell ref="G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2026-06-15T17:34:54Z</dcterms:modified>
  <cp:lastModifiedBy>jaredcruz1 bastarrachea</cp:lastModifiedBy>
</cp:coreProperties>
</file>