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ryal\Desktop\CAF\AutoTeaser\backend\templates\"/>
    </mc:Choice>
  </mc:AlternateContent>
  <xr:revisionPtr revIDLastSave="0" documentId="8_{97FFE4AE-4AB4-43F7-ADF7-05AD35DA0599}" xr6:coauthVersionLast="47" xr6:coauthVersionMax="47" xr10:uidLastSave="{00000000-0000-0000-0000-000000000000}"/>
  <bookViews>
    <workbookView xWindow="-108" yWindow="-108" windowWidth="23256" windowHeight="12456" tabRatio="500" firstSheet="19" activeTab="23" xr2:uid="{00000000-000D-0000-FFFF-FFFF00000000}"/>
  </bookViews>
  <sheets>
    <sheet name="Bal" sheetId="1" state="hidden" r:id="rId1"/>
    <sheet name="resumen ejecutivo" sheetId="2" state="hidden" r:id="rId2"/>
    <sheet name="RIESGO ACTUAL" sheetId="3" state="hidden" r:id="rId3"/>
    <sheet name="TERRENOS" sheetId="4" state="hidden" r:id="rId4"/>
    <sheet name="ANEXO1" sheetId="5" state="hidden" r:id="rId5"/>
    <sheet name="CALIF" sheetId="6" state="hidden" r:id="rId6"/>
    <sheet name="Pre_calif" sheetId="7" state="hidden" r:id="rId7"/>
    <sheet name="sectores" sheetId="8" state="hidden" r:id="rId8"/>
    <sheet name="Hoja10" sheetId="9" state="hidden" r:id="rId9"/>
    <sheet name="Base" sheetId="10" state="hidden" r:id="rId10"/>
    <sheet name="Bal2" sheetId="11" state="hidden" r:id="rId11"/>
    <sheet name="PROY CLIENTE" sheetId="12" state="hidden" r:id="rId12"/>
    <sheet name="PROYECCIONES" sheetId="13" state="hidden" r:id="rId13"/>
    <sheet name="Flujo" sheetId="14" state="hidden" r:id="rId14"/>
    <sheet name="Proy banco" sheetId="15" state="hidden" r:id="rId15"/>
    <sheet name="Flujo banco" sheetId="16" state="hidden" r:id="rId16"/>
    <sheet name="ACS" sheetId="17" state="hidden" r:id="rId17"/>
    <sheet name="AF" sheetId="18" state="hidden" r:id="rId18"/>
    <sheet name="Sheet1" sheetId="19" state="hidden" r:id="rId19"/>
    <sheet name="TEASER" sheetId="20" r:id="rId20"/>
    <sheet name="DATOS" sheetId="21" r:id="rId21"/>
    <sheet name="Bancos" sheetId="24" r:id="rId22"/>
    <sheet name="AYUDA" sheetId="22" r:id="rId23"/>
    <sheet name="Input" sheetId="23" r:id="rId24"/>
  </sheets>
  <definedNames>
    <definedName name="\0">#REF!</definedName>
    <definedName name="\C">#REF!</definedName>
    <definedName name="__xlnm._FilterDatabase">sectores!$D$1:$H$1069</definedName>
    <definedName name="_xlnm._FilterDatabase" localSheetId="23">Input!$B$61:$B$71</definedName>
    <definedName name="_xlnm._FilterDatabase" localSheetId="7" hidden="1">sectores!$D$1:$H$1069</definedName>
    <definedName name="AA">#REF!</definedName>
    <definedName name="AÑO">#REF!</definedName>
    <definedName name="AS2DocOpenMode">"AS2DocumentEdit"</definedName>
    <definedName name="BB">#REF!</definedName>
    <definedName name="CAPTURA">#REF!</definedName>
    <definedName name="CC">#REF!</definedName>
    <definedName name="DD">#REF!</definedName>
    <definedName name="depreciacion_last_partial_anualizado">DATOS!$U$11</definedName>
    <definedName name="depreciacion_PL_full_year">DATOS!$O$11</definedName>
    <definedName name="depreciacion_PL_last_partial">DATOS!$S$11</definedName>
    <definedName name="DOCXPAG">#N/A</definedName>
    <definedName name="EE">#REF!</definedName>
    <definedName name="EMP">#REF!</definedName>
    <definedName name="Excel_BuiltIn_Print_Area_5_1">CALIF!$A$1:$K$79</definedName>
    <definedName name="Excel_BuiltIn_Print_Area_5_1_3">Hoja10!$A$1:$K$79</definedName>
    <definedName name="FF">#REF!</definedName>
    <definedName name="IMPRESION">#REF!</definedName>
    <definedName name="INDICES">#REF!</definedName>
    <definedName name="INTACUMUL">#N/A</definedName>
    <definedName name="MENU">#REF!</definedName>
    <definedName name="MES">#REF!</definedName>
    <definedName name="nuevosca">#REF!</definedName>
    <definedName name="pagos_arrendamiento_mensual_full_year">DATOS!$O$13</definedName>
    <definedName name="PERDCAMBIOS">#N/A</definedName>
    <definedName name="rating_buro">DATOS!$Q$29</definedName>
    <definedName name="S.DEP">#REF!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5">#N/A</definedName>
    <definedName name="SHARED_FORMULA_6">#N/A</definedName>
    <definedName name="SHARED_FORMULA_7">#N/A</definedName>
    <definedName name="SHARED_FORMULA_8">#N/A</definedName>
    <definedName name="SHARED_FORMULA_9">#N/A</definedName>
    <definedName name="SXDEP">#REF!</definedName>
    <definedName name="Texto1" localSheetId="19">TEASER!$I$3</definedName>
    <definedName name="UTILCAMB">#N/A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1" i="24" l="1"/>
  <c r="N11" i="24"/>
  <c r="N16" i="24"/>
  <c r="AT10" i="24" l="1"/>
  <c r="AY10" i="24" s="1"/>
  <c r="AT9" i="24"/>
  <c r="AY9" i="24" s="1"/>
  <c r="AT8" i="24"/>
  <c r="AT7" i="24"/>
  <c r="AY7" i="24" s="1"/>
  <c r="AT6" i="24"/>
  <c r="AY6" i="24" s="1"/>
  <c r="AT5" i="24"/>
  <c r="AY5" i="24" s="1"/>
  <c r="AT4" i="24"/>
  <c r="AY4" i="24" s="1"/>
  <c r="AO10" i="24"/>
  <c r="AO9" i="24"/>
  <c r="AO8" i="24"/>
  <c r="AO7" i="24"/>
  <c r="AO6" i="24"/>
  <c r="AO5" i="24"/>
  <c r="AO4" i="24"/>
  <c r="AJ10" i="24"/>
  <c r="AJ9" i="24"/>
  <c r="AJ8" i="24"/>
  <c r="AJ7" i="24"/>
  <c r="AJ6" i="24"/>
  <c r="AJ5" i="24"/>
  <c r="AJ4" i="24"/>
  <c r="AE10" i="24"/>
  <c r="AE9" i="24"/>
  <c r="AE8" i="24"/>
  <c r="AE7" i="24"/>
  <c r="AE6" i="24"/>
  <c r="AE5" i="24"/>
  <c r="AE4" i="24"/>
  <c r="Z10" i="24"/>
  <c r="Z9" i="24"/>
  <c r="Z8" i="24"/>
  <c r="Z7" i="24"/>
  <c r="Z6" i="24"/>
  <c r="Z5" i="24"/>
  <c r="Z4" i="24"/>
  <c r="U10" i="24"/>
  <c r="U9" i="24"/>
  <c r="U8" i="24"/>
  <c r="U7" i="24"/>
  <c r="U6" i="24"/>
  <c r="U5" i="24"/>
  <c r="U4" i="24"/>
  <c r="Q10" i="24"/>
  <c r="Q9" i="24"/>
  <c r="Q8" i="24"/>
  <c r="Q7" i="24"/>
  <c r="Q6" i="24"/>
  <c r="Q5" i="24"/>
  <c r="Q4" i="24"/>
  <c r="L10" i="24"/>
  <c r="L9" i="24"/>
  <c r="L8" i="24"/>
  <c r="L7" i="24"/>
  <c r="L6" i="24"/>
  <c r="L5" i="24"/>
  <c r="L4" i="24"/>
  <c r="BP11" i="24"/>
  <c r="BO11" i="24"/>
  <c r="BK11" i="24"/>
  <c r="BJ11" i="24"/>
  <c r="BF11" i="24"/>
  <c r="BE11" i="24"/>
  <c r="BI10" i="24"/>
  <c r="BN10" i="24" s="1"/>
  <c r="BI9" i="24"/>
  <c r="BN9" i="24" s="1"/>
  <c r="BI8" i="24"/>
  <c r="BN8" i="24" s="1"/>
  <c r="BI7" i="24"/>
  <c r="BN7" i="24" s="1"/>
  <c r="BI6" i="24"/>
  <c r="BN6" i="24" s="1"/>
  <c r="BI5" i="24"/>
  <c r="BN5" i="24" s="1"/>
  <c r="BI4" i="24"/>
  <c r="BN4" i="24" s="1"/>
  <c r="BA11" i="24"/>
  <c r="AZ11" i="24"/>
  <c r="AV11" i="24"/>
  <c r="AU11" i="24"/>
  <c r="AY8" i="24"/>
  <c r="AQ11" i="24"/>
  <c r="AP11" i="24"/>
  <c r="AL11" i="24"/>
  <c r="AK11" i="24"/>
  <c r="AG11" i="24"/>
  <c r="AF11" i="24"/>
  <c r="AB11" i="24"/>
  <c r="AA11" i="24"/>
  <c r="W11" i="24"/>
  <c r="V11" i="24"/>
  <c r="S11" i="24"/>
  <c r="R11" i="24"/>
  <c r="S6" i="21" l="1"/>
  <c r="O6" i="21"/>
  <c r="M14" i="20" l="1"/>
  <c r="B35" i="20"/>
  <c r="D36" i="20"/>
  <c r="C36" i="20"/>
  <c r="C35" i="20" l="1"/>
  <c r="D35" i="20"/>
  <c r="G10" i="24" l="1"/>
  <c r="G9" i="24"/>
  <c r="G8" i="24"/>
  <c r="G7" i="24"/>
  <c r="G6" i="24"/>
  <c r="G5" i="24"/>
  <c r="G4" i="24"/>
  <c r="I11" i="24" l="1"/>
  <c r="H11" i="24"/>
  <c r="S4" i="21" l="1"/>
  <c r="L22" i="24" l="1"/>
  <c r="P22" i="20" s="1"/>
  <c r="L21" i="24"/>
  <c r="P21" i="20" s="1"/>
  <c r="L20" i="24"/>
  <c r="P20" i="20" s="1"/>
  <c r="L19" i="24"/>
  <c r="P19" i="20" s="1"/>
  <c r="L18" i="24"/>
  <c r="P18" i="20" s="1"/>
  <c r="L17" i="24"/>
  <c r="P6" i="20" s="1"/>
  <c r="L16" i="24"/>
  <c r="P5" i="20" s="1"/>
  <c r="B23" i="24"/>
  <c r="B22" i="24"/>
  <c r="B21" i="24"/>
  <c r="B20" i="24"/>
  <c r="B19" i="24"/>
  <c r="B18" i="24"/>
  <c r="B17" i="24"/>
  <c r="S11" i="21"/>
  <c r="S8" i="21"/>
  <c r="O11" i="21"/>
  <c r="O8" i="21"/>
  <c r="I29" i="21"/>
  <c r="I25" i="21"/>
  <c r="I21" i="21"/>
  <c r="I19" i="21"/>
  <c r="I17" i="21"/>
  <c r="I11" i="21"/>
  <c r="I9" i="21"/>
  <c r="I7" i="21"/>
  <c r="E7" i="21"/>
  <c r="E29" i="21"/>
  <c r="E25" i="21"/>
  <c r="E21" i="21"/>
  <c r="E19" i="21"/>
  <c r="E17" i="21"/>
  <c r="E11" i="21"/>
  <c r="E9" i="21"/>
  <c r="B31" i="23"/>
  <c r="O4" i="21"/>
  <c r="L2" i="23"/>
  <c r="K2" i="23"/>
  <c r="P7" i="20" l="1"/>
  <c r="P8" i="20"/>
  <c r="P9" i="20"/>
  <c r="P16" i="20"/>
  <c r="P17" i="20"/>
  <c r="P10" i="20"/>
  <c r="P11" i="20"/>
  <c r="G23" i="24"/>
  <c r="N22" i="24" s="1"/>
  <c r="R11" i="20" s="1"/>
  <c r="G22" i="24"/>
  <c r="N21" i="24" s="1"/>
  <c r="R10" i="20" s="1"/>
  <c r="G21" i="24"/>
  <c r="N20" i="24" s="1"/>
  <c r="R9" i="20" s="1"/>
  <c r="G20" i="24"/>
  <c r="N19" i="24" s="1"/>
  <c r="R8" i="20" s="1"/>
  <c r="G19" i="24"/>
  <c r="N18" i="24" s="1"/>
  <c r="R7" i="20" s="1"/>
  <c r="G18" i="24"/>
  <c r="N17" i="24" s="1"/>
  <c r="R6" i="20" s="1"/>
  <c r="G17" i="24"/>
  <c r="R5" i="20" s="1"/>
  <c r="F23" i="24"/>
  <c r="M22" i="24" s="1"/>
  <c r="Q11" i="20" s="1"/>
  <c r="F22" i="24"/>
  <c r="M21" i="24" s="1"/>
  <c r="Q10" i="20" s="1"/>
  <c r="F21" i="24"/>
  <c r="M20" i="24" s="1"/>
  <c r="Q9" i="20" s="1"/>
  <c r="F20" i="24"/>
  <c r="M19" i="24" s="1"/>
  <c r="Q8" i="20" s="1"/>
  <c r="F19" i="24"/>
  <c r="M18" i="24" s="1"/>
  <c r="Q7" i="20" s="1"/>
  <c r="F18" i="24"/>
  <c r="M17" i="24" s="1"/>
  <c r="Q6" i="20" s="1"/>
  <c r="F17" i="24"/>
  <c r="M16" i="24" s="1"/>
  <c r="Q5" i="20" s="1"/>
  <c r="F34" i="20"/>
  <c r="E34" i="20"/>
  <c r="E36" i="20" s="1"/>
  <c r="G24" i="24" l="1"/>
  <c r="F24" i="24"/>
  <c r="D24" i="24" s="1"/>
  <c r="N23" i="24"/>
  <c r="M23" i="24"/>
  <c r="C24" i="24" l="1"/>
  <c r="E23" i="21"/>
  <c r="D11" i="24" l="1"/>
  <c r="C11" i="24"/>
  <c r="I13" i="21"/>
  <c r="B42" i="23" l="1"/>
  <c r="B35" i="23"/>
  <c r="B34" i="23"/>
  <c r="B33" i="23"/>
  <c r="B32" i="23"/>
  <c r="B30" i="23"/>
  <c r="B29" i="23"/>
  <c r="B28" i="23"/>
  <c r="B27" i="23"/>
  <c r="B26" i="23"/>
  <c r="B25" i="23"/>
  <c r="B24" i="23"/>
  <c r="Q28" i="21"/>
  <c r="Q29" i="21" s="1"/>
  <c r="Q26" i="21"/>
  <c r="I23" i="21"/>
  <c r="I31" i="21" s="1"/>
  <c r="E31" i="21"/>
  <c r="S17" i="21"/>
  <c r="O17" i="21"/>
  <c r="M10" i="20"/>
  <c r="E13" i="21"/>
  <c r="Q8" i="21"/>
  <c r="Q6" i="21"/>
  <c r="F33" i="20"/>
  <c r="E33" i="20"/>
  <c r="D33" i="20" s="1"/>
  <c r="C33" i="20" s="1"/>
  <c r="B33" i="20" s="1"/>
  <c r="E35" i="20"/>
  <c r="B25" i="20"/>
  <c r="O23" i="20"/>
  <c r="K23" i="20"/>
  <c r="T22" i="20"/>
  <c r="S22" i="20"/>
  <c r="O22" i="20"/>
  <c r="K22" i="20"/>
  <c r="T21" i="20"/>
  <c r="S21" i="20"/>
  <c r="T20" i="20"/>
  <c r="S20" i="20"/>
  <c r="T19" i="20"/>
  <c r="S19" i="20"/>
  <c r="N19" i="20"/>
  <c r="O19" i="20" s="1"/>
  <c r="J19" i="20"/>
  <c r="K19" i="20" s="1"/>
  <c r="T18" i="20"/>
  <c r="S18" i="20"/>
  <c r="T17" i="20"/>
  <c r="S17" i="20"/>
  <c r="T16" i="20"/>
  <c r="S16" i="20"/>
  <c r="F15" i="20"/>
  <c r="C15" i="20"/>
  <c r="I14" i="20"/>
  <c r="I13" i="20"/>
  <c r="M12" i="20"/>
  <c r="I12" i="20"/>
  <c r="T11" i="20"/>
  <c r="S11" i="20"/>
  <c r="S12" i="20" s="1"/>
  <c r="T10" i="20"/>
  <c r="T9" i="20"/>
  <c r="I9" i="20"/>
  <c r="T8" i="20"/>
  <c r="T7" i="20"/>
  <c r="T6" i="20"/>
  <c r="T5" i="20"/>
  <c r="M1" i="20"/>
  <c r="C12" i="18"/>
  <c r="D12" i="18" s="1"/>
  <c r="E8" i="18"/>
  <c r="C12" i="17"/>
  <c r="E8" i="17"/>
  <c r="J35" i="16"/>
  <c r="I35" i="16"/>
  <c r="H35" i="16"/>
  <c r="G35" i="16"/>
  <c r="F35" i="16"/>
  <c r="J31" i="16"/>
  <c r="I31" i="16"/>
  <c r="H31" i="16"/>
  <c r="G31" i="16"/>
  <c r="F31" i="16"/>
  <c r="F24" i="16"/>
  <c r="J20" i="16"/>
  <c r="I20" i="16"/>
  <c r="H20" i="16"/>
  <c r="G20" i="16"/>
  <c r="F20" i="16"/>
  <c r="J5" i="16"/>
  <c r="I5" i="16"/>
  <c r="H5" i="16"/>
  <c r="G5" i="16"/>
  <c r="F5" i="16"/>
  <c r="C3" i="16"/>
  <c r="D55" i="15"/>
  <c r="C55" i="15"/>
  <c r="D54" i="15"/>
  <c r="C54" i="15"/>
  <c r="I53" i="15"/>
  <c r="D53" i="15"/>
  <c r="C53" i="15"/>
  <c r="D52" i="15"/>
  <c r="C52" i="15"/>
  <c r="D51" i="15"/>
  <c r="C51" i="15"/>
  <c r="D50" i="15"/>
  <c r="C50" i="15"/>
  <c r="D47" i="15"/>
  <c r="H40" i="15"/>
  <c r="I40" i="15" s="1"/>
  <c r="J40" i="15" s="1"/>
  <c r="I39" i="15"/>
  <c r="H39" i="15"/>
  <c r="H38" i="15"/>
  <c r="I38" i="15" s="1"/>
  <c r="L36" i="15"/>
  <c r="K36" i="15"/>
  <c r="J36" i="15"/>
  <c r="I36" i="15"/>
  <c r="H36" i="15"/>
  <c r="E34" i="15"/>
  <c r="D34" i="15"/>
  <c r="E33" i="15"/>
  <c r="D33" i="15"/>
  <c r="G32" i="15"/>
  <c r="E32" i="15"/>
  <c r="D32" i="15"/>
  <c r="F27" i="15"/>
  <c r="F25" i="15"/>
  <c r="F23" i="15"/>
  <c r="L18" i="15"/>
  <c r="K18" i="15"/>
  <c r="J18" i="15"/>
  <c r="I18" i="15"/>
  <c r="H18" i="15"/>
  <c r="G18" i="15"/>
  <c r="F18" i="15"/>
  <c r="F12" i="15"/>
  <c r="L11" i="15"/>
  <c r="K11" i="15"/>
  <c r="K27" i="15" s="1"/>
  <c r="J24" i="16" s="1"/>
  <c r="J11" i="15"/>
  <c r="I11" i="15"/>
  <c r="I27" i="15" s="1"/>
  <c r="H24" i="16" s="1"/>
  <c r="H11" i="15"/>
  <c r="G11" i="15"/>
  <c r="G12" i="15" s="1"/>
  <c r="F11" i="15"/>
  <c r="C5" i="15"/>
  <c r="J35" i="14"/>
  <c r="I35" i="14"/>
  <c r="H35" i="14"/>
  <c r="G35" i="14"/>
  <c r="F35" i="14"/>
  <c r="J31" i="14"/>
  <c r="I31" i="14"/>
  <c r="H31" i="14"/>
  <c r="G31" i="14"/>
  <c r="F31" i="14"/>
  <c r="J24" i="14"/>
  <c r="I24" i="14"/>
  <c r="H24" i="14"/>
  <c r="G24" i="14"/>
  <c r="F24" i="14"/>
  <c r="J20" i="14"/>
  <c r="I20" i="14"/>
  <c r="H20" i="14"/>
  <c r="G20" i="14"/>
  <c r="F20" i="14"/>
  <c r="J5" i="14"/>
  <c r="I5" i="14"/>
  <c r="H5" i="14"/>
  <c r="G5" i="14"/>
  <c r="F5" i="14"/>
  <c r="C3" i="14"/>
  <c r="L60" i="13"/>
  <c r="J40" i="14" s="1"/>
  <c r="J46" i="14" s="1"/>
  <c r="K60" i="13"/>
  <c r="I40" i="14" s="1"/>
  <c r="I46" i="14" s="1"/>
  <c r="J60" i="13"/>
  <c r="H40" i="14" s="1"/>
  <c r="H46" i="14" s="1"/>
  <c r="I60" i="13"/>
  <c r="G40" i="14" s="1"/>
  <c r="G46" i="14" s="1"/>
  <c r="H60" i="13"/>
  <c r="F40" i="14" s="1"/>
  <c r="F46" i="14" s="1"/>
  <c r="D55" i="13"/>
  <c r="C55" i="13"/>
  <c r="D54" i="13"/>
  <c r="C54" i="13"/>
  <c r="D53" i="13"/>
  <c r="C53" i="13"/>
  <c r="D52" i="13"/>
  <c r="C52" i="13"/>
  <c r="D51" i="13"/>
  <c r="C51" i="13"/>
  <c r="D50" i="13"/>
  <c r="D60" i="13" s="1"/>
  <c r="C50" i="13"/>
  <c r="L47" i="13"/>
  <c r="K47" i="13"/>
  <c r="J47" i="13"/>
  <c r="I47" i="13"/>
  <c r="D47" i="13"/>
  <c r="H38" i="13"/>
  <c r="H47" i="13" s="1"/>
  <c r="E34" i="13"/>
  <c r="D34" i="13"/>
  <c r="E33" i="13"/>
  <c r="I33" i="13" s="1"/>
  <c r="D33" i="13"/>
  <c r="H32" i="13"/>
  <c r="E32" i="13"/>
  <c r="D32" i="13"/>
  <c r="F27" i="13"/>
  <c r="F25" i="13"/>
  <c r="F23" i="13"/>
  <c r="L18" i="13"/>
  <c r="K18" i="13"/>
  <c r="J18" i="13"/>
  <c r="I18" i="13"/>
  <c r="H18" i="13"/>
  <c r="G18" i="13"/>
  <c r="F18" i="13"/>
  <c r="L12" i="13"/>
  <c r="K12" i="13"/>
  <c r="K13" i="13" s="1"/>
  <c r="J12" i="13"/>
  <c r="J34" i="13" s="1"/>
  <c r="I12" i="13"/>
  <c r="H12" i="13"/>
  <c r="G12" i="13"/>
  <c r="G13" i="13" s="1"/>
  <c r="F12" i="13"/>
  <c r="L11" i="13"/>
  <c r="L32" i="13" s="1"/>
  <c r="K11" i="13"/>
  <c r="J11" i="13"/>
  <c r="J32" i="13" s="1"/>
  <c r="I11" i="13"/>
  <c r="H11" i="13"/>
  <c r="G11" i="13"/>
  <c r="F11" i="13"/>
  <c r="F32" i="13" s="1"/>
  <c r="C5" i="13"/>
  <c r="E26" i="12"/>
  <c r="E24" i="12"/>
  <c r="E22" i="12"/>
  <c r="H19" i="12"/>
  <c r="E17" i="12"/>
  <c r="H15" i="12"/>
  <c r="I14" i="12"/>
  <c r="H14" i="12"/>
  <c r="G14" i="12"/>
  <c r="F14" i="12"/>
  <c r="F15" i="12" s="1"/>
  <c r="E12" i="12"/>
  <c r="E11" i="12"/>
  <c r="C5" i="12"/>
  <c r="N263" i="11"/>
  <c r="M263" i="11"/>
  <c r="L263" i="11"/>
  <c r="K263" i="11"/>
  <c r="J263" i="11"/>
  <c r="I263" i="11"/>
  <c r="H263" i="11"/>
  <c r="G263" i="11"/>
  <c r="F263" i="11"/>
  <c r="E263" i="11"/>
  <c r="D263" i="11" s="1"/>
  <c r="N262" i="11"/>
  <c r="M262" i="11"/>
  <c r="L262" i="11"/>
  <c r="K262" i="11"/>
  <c r="J262" i="11"/>
  <c r="I262" i="11"/>
  <c r="H262" i="11"/>
  <c r="G262" i="11"/>
  <c r="F262" i="11"/>
  <c r="E262" i="11"/>
  <c r="D262" i="11" s="1"/>
  <c r="N261" i="11"/>
  <c r="M261" i="11"/>
  <c r="L261" i="11"/>
  <c r="K261" i="11"/>
  <c r="J261" i="11"/>
  <c r="I261" i="11"/>
  <c r="H261" i="11"/>
  <c r="G261" i="11"/>
  <c r="F261" i="11"/>
  <c r="E261" i="11"/>
  <c r="D261" i="11"/>
  <c r="N260" i="11"/>
  <c r="M260" i="11"/>
  <c r="L260" i="11"/>
  <c r="K260" i="11"/>
  <c r="J260" i="11"/>
  <c r="I260" i="11"/>
  <c r="H260" i="11"/>
  <c r="G260" i="11"/>
  <c r="F260" i="11"/>
  <c r="E260" i="11"/>
  <c r="D260" i="11" s="1"/>
  <c r="N259" i="11"/>
  <c r="M259" i="11"/>
  <c r="L259" i="11"/>
  <c r="K259" i="11"/>
  <c r="J259" i="11"/>
  <c r="I259" i="11"/>
  <c r="H259" i="11"/>
  <c r="G259" i="11"/>
  <c r="F259" i="11"/>
  <c r="E259" i="11"/>
  <c r="D259" i="11"/>
  <c r="N258" i="11"/>
  <c r="M258" i="11"/>
  <c r="L258" i="11"/>
  <c r="K258" i="11"/>
  <c r="J258" i="11"/>
  <c r="I258" i="11"/>
  <c r="H258" i="11"/>
  <c r="G258" i="11"/>
  <c r="F258" i="11"/>
  <c r="E258" i="11"/>
  <c r="D258" i="11" s="1"/>
  <c r="N257" i="11"/>
  <c r="M257" i="11"/>
  <c r="L257" i="11"/>
  <c r="K257" i="11"/>
  <c r="J257" i="11"/>
  <c r="I257" i="11"/>
  <c r="H257" i="11"/>
  <c r="G257" i="11"/>
  <c r="F257" i="11"/>
  <c r="E257" i="11"/>
  <c r="D257" i="11" s="1"/>
  <c r="N256" i="11"/>
  <c r="M256" i="11"/>
  <c r="L256" i="11"/>
  <c r="K256" i="11"/>
  <c r="J256" i="11"/>
  <c r="I256" i="11"/>
  <c r="H256" i="11"/>
  <c r="G256" i="11"/>
  <c r="F256" i="11"/>
  <c r="E256" i="11"/>
  <c r="D256" i="11" s="1"/>
  <c r="N255" i="11"/>
  <c r="M255" i="11"/>
  <c r="L255" i="11"/>
  <c r="K255" i="11"/>
  <c r="J255" i="11"/>
  <c r="I255" i="11"/>
  <c r="H255" i="11"/>
  <c r="G255" i="11"/>
  <c r="F255" i="11"/>
  <c r="E255" i="11"/>
  <c r="D255" i="11" s="1"/>
  <c r="N254" i="11"/>
  <c r="M254" i="11"/>
  <c r="L254" i="11"/>
  <c r="K254" i="11"/>
  <c r="J254" i="11"/>
  <c r="I254" i="11"/>
  <c r="H254" i="11"/>
  <c r="G254" i="11"/>
  <c r="F254" i="11"/>
  <c r="E254" i="11"/>
  <c r="D254" i="11" s="1"/>
  <c r="N253" i="11"/>
  <c r="M253" i="11"/>
  <c r="L253" i="11"/>
  <c r="K253" i="11"/>
  <c r="J253" i="11"/>
  <c r="I253" i="11"/>
  <c r="H253" i="11"/>
  <c r="G253" i="11"/>
  <c r="F253" i="11"/>
  <c r="E253" i="11"/>
  <c r="D253" i="11" s="1"/>
  <c r="N252" i="11"/>
  <c r="M252" i="11"/>
  <c r="L252" i="11"/>
  <c r="K252" i="11"/>
  <c r="J252" i="11"/>
  <c r="I252" i="11"/>
  <c r="H252" i="11"/>
  <c r="G252" i="11"/>
  <c r="F252" i="11"/>
  <c r="E252" i="11"/>
  <c r="D252" i="11" s="1"/>
  <c r="N251" i="11"/>
  <c r="M251" i="11"/>
  <c r="L251" i="11"/>
  <c r="K251" i="11"/>
  <c r="J251" i="11"/>
  <c r="I251" i="11"/>
  <c r="H251" i="11"/>
  <c r="G251" i="11"/>
  <c r="F251" i="11"/>
  <c r="E251" i="11"/>
  <c r="D251" i="11"/>
  <c r="N250" i="11"/>
  <c r="M250" i="11"/>
  <c r="L250" i="11"/>
  <c r="K250" i="11"/>
  <c r="J250" i="11"/>
  <c r="I250" i="11"/>
  <c r="H250" i="11"/>
  <c r="G250" i="11"/>
  <c r="F250" i="11"/>
  <c r="E250" i="11"/>
  <c r="D250" i="11" s="1"/>
  <c r="N249" i="11"/>
  <c r="M249" i="11"/>
  <c r="L249" i="11"/>
  <c r="K249" i="11"/>
  <c r="J249" i="11"/>
  <c r="I249" i="11"/>
  <c r="H249" i="11"/>
  <c r="G249" i="11"/>
  <c r="F249" i="11"/>
  <c r="E249" i="11"/>
  <c r="D249" i="11" s="1"/>
  <c r="N248" i="11"/>
  <c r="M248" i="11"/>
  <c r="L248" i="11"/>
  <c r="K248" i="11"/>
  <c r="J248" i="11"/>
  <c r="I248" i="11"/>
  <c r="H248" i="11"/>
  <c r="G248" i="11"/>
  <c r="F248" i="11"/>
  <c r="E248" i="11"/>
  <c r="D248" i="11" s="1"/>
  <c r="N247" i="11"/>
  <c r="M247" i="11"/>
  <c r="L247" i="11"/>
  <c r="K247" i="11"/>
  <c r="J247" i="11"/>
  <c r="I247" i="11"/>
  <c r="H247" i="11"/>
  <c r="G247" i="11"/>
  <c r="F247" i="11"/>
  <c r="E247" i="11"/>
  <c r="D247" i="11" s="1"/>
  <c r="N246" i="11"/>
  <c r="M246" i="11"/>
  <c r="L246" i="11"/>
  <c r="K246" i="11"/>
  <c r="J246" i="11"/>
  <c r="I246" i="11"/>
  <c r="H246" i="11"/>
  <c r="G246" i="11"/>
  <c r="F246" i="11"/>
  <c r="E246" i="11"/>
  <c r="D246" i="11" s="1"/>
  <c r="N245" i="11"/>
  <c r="M245" i="11"/>
  <c r="L245" i="11"/>
  <c r="K245" i="11"/>
  <c r="J245" i="11"/>
  <c r="I245" i="11"/>
  <c r="H245" i="11"/>
  <c r="G245" i="11"/>
  <c r="F245" i="11"/>
  <c r="E245" i="11"/>
  <c r="D245" i="11"/>
  <c r="N244" i="11"/>
  <c r="M244" i="11"/>
  <c r="L244" i="11"/>
  <c r="K244" i="11"/>
  <c r="J244" i="11"/>
  <c r="I244" i="11"/>
  <c r="H244" i="11"/>
  <c r="G244" i="11"/>
  <c r="F244" i="11"/>
  <c r="E244" i="11"/>
  <c r="D244" i="11" s="1"/>
  <c r="N243" i="11"/>
  <c r="M243" i="11"/>
  <c r="L243" i="11"/>
  <c r="K243" i="11"/>
  <c r="J243" i="11"/>
  <c r="I243" i="11"/>
  <c r="H243" i="11"/>
  <c r="G243" i="11"/>
  <c r="F243" i="11"/>
  <c r="E243" i="11"/>
  <c r="D243" i="11"/>
  <c r="N242" i="11"/>
  <c r="M242" i="11"/>
  <c r="L242" i="11"/>
  <c r="K242" i="11"/>
  <c r="J242" i="11"/>
  <c r="I242" i="11"/>
  <c r="H242" i="11"/>
  <c r="G242" i="11"/>
  <c r="F242" i="11"/>
  <c r="E242" i="11"/>
  <c r="D242" i="11" s="1"/>
  <c r="N241" i="11"/>
  <c r="M241" i="11"/>
  <c r="L241" i="11"/>
  <c r="K241" i="11"/>
  <c r="J241" i="11"/>
  <c r="I241" i="11"/>
  <c r="H241" i="11"/>
  <c r="G241" i="11"/>
  <c r="F241" i="11"/>
  <c r="E241" i="11"/>
  <c r="D241" i="11" s="1"/>
  <c r="N240" i="11"/>
  <c r="M240" i="11"/>
  <c r="L240" i="11"/>
  <c r="K240" i="11"/>
  <c r="J240" i="11"/>
  <c r="I240" i="11"/>
  <c r="H240" i="11"/>
  <c r="G240" i="11"/>
  <c r="F240" i="11"/>
  <c r="E240" i="11"/>
  <c r="D240" i="11" s="1"/>
  <c r="N239" i="11"/>
  <c r="M239" i="11"/>
  <c r="L239" i="11"/>
  <c r="K239" i="11"/>
  <c r="J239" i="11"/>
  <c r="I239" i="11"/>
  <c r="H239" i="11"/>
  <c r="G239" i="11"/>
  <c r="F239" i="11"/>
  <c r="E239" i="11"/>
  <c r="D239" i="11" s="1"/>
  <c r="N238" i="11"/>
  <c r="M238" i="11"/>
  <c r="L238" i="11"/>
  <c r="K238" i="11"/>
  <c r="J238" i="11"/>
  <c r="I238" i="11"/>
  <c r="H238" i="11"/>
  <c r="G238" i="11"/>
  <c r="F238" i="11"/>
  <c r="E238" i="11"/>
  <c r="D238" i="11" s="1"/>
  <c r="N237" i="11"/>
  <c r="M237" i="11"/>
  <c r="L237" i="11"/>
  <c r="K237" i="11"/>
  <c r="J237" i="11"/>
  <c r="I237" i="11"/>
  <c r="H237" i="11"/>
  <c r="G237" i="11"/>
  <c r="F237" i="11"/>
  <c r="E237" i="11"/>
  <c r="D237" i="11" s="1"/>
  <c r="N236" i="11"/>
  <c r="M236" i="11"/>
  <c r="L236" i="11"/>
  <c r="K236" i="11"/>
  <c r="J236" i="11"/>
  <c r="I236" i="11"/>
  <c r="H236" i="11"/>
  <c r="G236" i="11"/>
  <c r="F236" i="11"/>
  <c r="E236" i="11"/>
  <c r="D236" i="11" s="1"/>
  <c r="N235" i="11"/>
  <c r="M235" i="11"/>
  <c r="L235" i="11"/>
  <c r="K235" i="11"/>
  <c r="J235" i="11"/>
  <c r="I235" i="11"/>
  <c r="H235" i="11"/>
  <c r="G235" i="11"/>
  <c r="F235" i="11"/>
  <c r="E235" i="11"/>
  <c r="D235" i="11" s="1"/>
  <c r="N234" i="11"/>
  <c r="M234" i="11"/>
  <c r="L234" i="11"/>
  <c r="K234" i="11"/>
  <c r="J234" i="11"/>
  <c r="I234" i="11"/>
  <c r="H234" i="11"/>
  <c r="G234" i="11"/>
  <c r="F234" i="11"/>
  <c r="E234" i="11"/>
  <c r="D234" i="11" s="1"/>
  <c r="N233" i="11"/>
  <c r="M233" i="11"/>
  <c r="L233" i="11"/>
  <c r="K233" i="11"/>
  <c r="J233" i="11"/>
  <c r="I233" i="11"/>
  <c r="H233" i="11"/>
  <c r="G233" i="11"/>
  <c r="F233" i="11"/>
  <c r="E233" i="11"/>
  <c r="D233" i="11" s="1"/>
  <c r="N232" i="11"/>
  <c r="M232" i="11"/>
  <c r="L232" i="11"/>
  <c r="K232" i="11"/>
  <c r="J232" i="11"/>
  <c r="I232" i="11"/>
  <c r="H232" i="11"/>
  <c r="G232" i="11"/>
  <c r="F232" i="11"/>
  <c r="E232" i="11"/>
  <c r="D232" i="11" s="1"/>
  <c r="N231" i="11"/>
  <c r="M231" i="11"/>
  <c r="L231" i="11"/>
  <c r="K231" i="11"/>
  <c r="J231" i="11"/>
  <c r="I231" i="11"/>
  <c r="H231" i="11"/>
  <c r="G231" i="11"/>
  <c r="F231" i="11"/>
  <c r="E231" i="11"/>
  <c r="D231" i="11" s="1"/>
  <c r="N230" i="11"/>
  <c r="M230" i="11"/>
  <c r="L230" i="11"/>
  <c r="K230" i="11"/>
  <c r="J230" i="11"/>
  <c r="I230" i="11"/>
  <c r="H230" i="11"/>
  <c r="G230" i="11"/>
  <c r="F230" i="11"/>
  <c r="E230" i="11"/>
  <c r="D230" i="11" s="1"/>
  <c r="N229" i="11"/>
  <c r="M229" i="11"/>
  <c r="L229" i="11"/>
  <c r="K229" i="11"/>
  <c r="J229" i="11"/>
  <c r="I229" i="11"/>
  <c r="H229" i="11"/>
  <c r="G229" i="11"/>
  <c r="F229" i="11"/>
  <c r="E229" i="11"/>
  <c r="D229" i="11"/>
  <c r="N228" i="11"/>
  <c r="M228" i="11"/>
  <c r="L228" i="11"/>
  <c r="K228" i="11"/>
  <c r="J228" i="11"/>
  <c r="I228" i="11"/>
  <c r="H228" i="11"/>
  <c r="G228" i="11"/>
  <c r="F228" i="11"/>
  <c r="E228" i="11"/>
  <c r="D228" i="11" s="1"/>
  <c r="N227" i="11"/>
  <c r="M227" i="11"/>
  <c r="L227" i="11"/>
  <c r="K227" i="11"/>
  <c r="J227" i="11"/>
  <c r="I227" i="11"/>
  <c r="H227" i="11"/>
  <c r="G227" i="11"/>
  <c r="F227" i="11"/>
  <c r="E227" i="11"/>
  <c r="D227" i="11" s="1"/>
  <c r="N226" i="11"/>
  <c r="M226" i="11"/>
  <c r="L226" i="11"/>
  <c r="K226" i="11"/>
  <c r="J226" i="11"/>
  <c r="I226" i="11"/>
  <c r="H226" i="11"/>
  <c r="G226" i="11"/>
  <c r="F226" i="11"/>
  <c r="E226" i="11"/>
  <c r="D226" i="11" s="1"/>
  <c r="N225" i="11"/>
  <c r="M225" i="11"/>
  <c r="L225" i="11"/>
  <c r="K225" i="11"/>
  <c r="J225" i="11"/>
  <c r="I225" i="11"/>
  <c r="H225" i="11"/>
  <c r="G225" i="11"/>
  <c r="F225" i="11"/>
  <c r="E225" i="11"/>
  <c r="D225" i="11" s="1"/>
  <c r="N224" i="11"/>
  <c r="M224" i="11"/>
  <c r="L224" i="11"/>
  <c r="K224" i="11"/>
  <c r="J224" i="11"/>
  <c r="I224" i="11"/>
  <c r="H224" i="11"/>
  <c r="G224" i="11"/>
  <c r="F224" i="11"/>
  <c r="E224" i="11"/>
  <c r="D224" i="11" s="1"/>
  <c r="N223" i="11"/>
  <c r="M223" i="11"/>
  <c r="L223" i="11"/>
  <c r="K223" i="11"/>
  <c r="J223" i="11"/>
  <c r="I223" i="11"/>
  <c r="H223" i="11"/>
  <c r="G223" i="11"/>
  <c r="F223" i="11"/>
  <c r="E223" i="11"/>
  <c r="D223" i="11"/>
  <c r="N222" i="11"/>
  <c r="M222" i="11"/>
  <c r="L222" i="11"/>
  <c r="K222" i="11"/>
  <c r="J222" i="11"/>
  <c r="I222" i="11"/>
  <c r="H222" i="11"/>
  <c r="G222" i="11"/>
  <c r="F222" i="11"/>
  <c r="E222" i="11"/>
  <c r="D222" i="11" s="1"/>
  <c r="N221" i="11"/>
  <c r="M221" i="11"/>
  <c r="L221" i="11"/>
  <c r="K221" i="11"/>
  <c r="J221" i="11"/>
  <c r="I221" i="11"/>
  <c r="H221" i="11"/>
  <c r="G221" i="11"/>
  <c r="F221" i="11"/>
  <c r="E221" i="11"/>
  <c r="D221" i="11"/>
  <c r="N220" i="11"/>
  <c r="M220" i="11"/>
  <c r="L220" i="11"/>
  <c r="K220" i="11"/>
  <c r="J220" i="11"/>
  <c r="I220" i="11"/>
  <c r="H220" i="11"/>
  <c r="G220" i="11"/>
  <c r="F220" i="11"/>
  <c r="E220" i="11"/>
  <c r="D220" i="11" s="1"/>
  <c r="N219" i="11"/>
  <c r="M219" i="11"/>
  <c r="L219" i="11"/>
  <c r="K219" i="11"/>
  <c r="J219" i="11"/>
  <c r="I219" i="11"/>
  <c r="H219" i="11"/>
  <c r="G219" i="11"/>
  <c r="F219" i="11"/>
  <c r="E219" i="11"/>
  <c r="D219" i="11" s="1"/>
  <c r="N218" i="11"/>
  <c r="M218" i="11"/>
  <c r="L218" i="11"/>
  <c r="K218" i="11"/>
  <c r="J218" i="11"/>
  <c r="I218" i="11"/>
  <c r="H218" i="11"/>
  <c r="G218" i="11"/>
  <c r="F218" i="11"/>
  <c r="E218" i="11"/>
  <c r="D218" i="11" s="1"/>
  <c r="N217" i="11"/>
  <c r="M217" i="11"/>
  <c r="L217" i="11"/>
  <c r="K217" i="11"/>
  <c r="J217" i="11"/>
  <c r="I217" i="11"/>
  <c r="H217" i="11"/>
  <c r="G217" i="11"/>
  <c r="F217" i="11"/>
  <c r="E217" i="11"/>
  <c r="D217" i="11" s="1"/>
  <c r="N216" i="11"/>
  <c r="M216" i="11"/>
  <c r="L216" i="11"/>
  <c r="K216" i="11"/>
  <c r="J216" i="11"/>
  <c r="I216" i="11"/>
  <c r="H216" i="11"/>
  <c r="G216" i="11"/>
  <c r="F216" i="11"/>
  <c r="E216" i="11"/>
  <c r="D216" i="11" s="1"/>
  <c r="N215" i="11"/>
  <c r="M215" i="11"/>
  <c r="L215" i="11"/>
  <c r="K215" i="11"/>
  <c r="J215" i="11"/>
  <c r="I215" i="11"/>
  <c r="H215" i="11"/>
  <c r="G215" i="11"/>
  <c r="F215" i="11"/>
  <c r="E215" i="11"/>
  <c r="D215" i="11" s="1"/>
  <c r="N214" i="11"/>
  <c r="M214" i="11"/>
  <c r="L214" i="11"/>
  <c r="K214" i="11"/>
  <c r="J214" i="11"/>
  <c r="I214" i="11"/>
  <c r="H214" i="11"/>
  <c r="G214" i="11"/>
  <c r="F214" i="11"/>
  <c r="E214" i="11"/>
  <c r="D214" i="11" s="1"/>
  <c r="N213" i="11"/>
  <c r="M213" i="11"/>
  <c r="L213" i="11"/>
  <c r="K213" i="11"/>
  <c r="J213" i="11"/>
  <c r="I213" i="11"/>
  <c r="H213" i="11"/>
  <c r="G213" i="11"/>
  <c r="F213" i="11"/>
  <c r="E213" i="11"/>
  <c r="D213" i="11" s="1"/>
  <c r="N212" i="11"/>
  <c r="M212" i="11"/>
  <c r="L212" i="11"/>
  <c r="K212" i="11"/>
  <c r="J212" i="11"/>
  <c r="I212" i="11"/>
  <c r="H212" i="11"/>
  <c r="G212" i="11"/>
  <c r="F212" i="11"/>
  <c r="E212" i="11"/>
  <c r="D212" i="11" s="1"/>
  <c r="N211" i="11"/>
  <c r="M211" i="11"/>
  <c r="L211" i="11"/>
  <c r="K211" i="11"/>
  <c r="J211" i="11"/>
  <c r="I211" i="11"/>
  <c r="H211" i="11"/>
  <c r="G211" i="11"/>
  <c r="F211" i="11"/>
  <c r="E211" i="11"/>
  <c r="D211" i="11"/>
  <c r="N210" i="11"/>
  <c r="M210" i="11"/>
  <c r="L210" i="11"/>
  <c r="K210" i="11"/>
  <c r="J210" i="11"/>
  <c r="I210" i="11"/>
  <c r="H210" i="11"/>
  <c r="G210" i="11"/>
  <c r="F210" i="11"/>
  <c r="E210" i="11"/>
  <c r="D210" i="11" s="1"/>
  <c r="N209" i="11"/>
  <c r="M209" i="11"/>
  <c r="L209" i="11"/>
  <c r="K209" i="11"/>
  <c r="J209" i="11"/>
  <c r="I209" i="11"/>
  <c r="H209" i="11"/>
  <c r="G209" i="11"/>
  <c r="F209" i="11"/>
  <c r="E209" i="11"/>
  <c r="D209" i="11" s="1"/>
  <c r="N208" i="11"/>
  <c r="M208" i="11"/>
  <c r="L208" i="11"/>
  <c r="K208" i="11"/>
  <c r="J208" i="11"/>
  <c r="I208" i="11"/>
  <c r="H208" i="11"/>
  <c r="G208" i="11"/>
  <c r="F208" i="11"/>
  <c r="E208" i="11"/>
  <c r="D208" i="11" s="1"/>
  <c r="N207" i="11"/>
  <c r="M207" i="11"/>
  <c r="L207" i="11"/>
  <c r="K207" i="11"/>
  <c r="J207" i="11"/>
  <c r="I207" i="11"/>
  <c r="H207" i="11"/>
  <c r="G207" i="11"/>
  <c r="F207" i="11"/>
  <c r="E207" i="11"/>
  <c r="D207" i="11"/>
  <c r="N206" i="11"/>
  <c r="M206" i="11"/>
  <c r="L206" i="11"/>
  <c r="K206" i="11"/>
  <c r="J206" i="11"/>
  <c r="I206" i="11"/>
  <c r="H206" i="11"/>
  <c r="G206" i="11"/>
  <c r="F206" i="11"/>
  <c r="E206" i="11"/>
  <c r="D206" i="11" s="1"/>
  <c r="N205" i="11"/>
  <c r="M205" i="11"/>
  <c r="L205" i="11"/>
  <c r="K205" i="11"/>
  <c r="J205" i="11"/>
  <c r="I205" i="11"/>
  <c r="H205" i="11"/>
  <c r="G205" i="11"/>
  <c r="F205" i="11"/>
  <c r="E205" i="11"/>
  <c r="D205" i="11" s="1"/>
  <c r="N204" i="11"/>
  <c r="M204" i="11"/>
  <c r="L204" i="11"/>
  <c r="K204" i="11"/>
  <c r="J204" i="11"/>
  <c r="I204" i="11"/>
  <c r="H204" i="11"/>
  <c r="G204" i="11"/>
  <c r="F204" i="11"/>
  <c r="E204" i="11"/>
  <c r="D204" i="11" s="1"/>
  <c r="N203" i="11"/>
  <c r="M203" i="11"/>
  <c r="L203" i="11"/>
  <c r="K203" i="11"/>
  <c r="J203" i="11"/>
  <c r="I203" i="11"/>
  <c r="H203" i="11"/>
  <c r="G203" i="11"/>
  <c r="F203" i="11"/>
  <c r="E203" i="11"/>
  <c r="D203" i="11" s="1"/>
  <c r="N202" i="11"/>
  <c r="M202" i="11"/>
  <c r="L202" i="11"/>
  <c r="K202" i="11"/>
  <c r="J202" i="11"/>
  <c r="I202" i="11"/>
  <c r="H202" i="11"/>
  <c r="G202" i="11"/>
  <c r="F202" i="11"/>
  <c r="E202" i="11"/>
  <c r="D202" i="11" s="1"/>
  <c r="N201" i="11"/>
  <c r="M201" i="11"/>
  <c r="L201" i="11"/>
  <c r="K201" i="11"/>
  <c r="J201" i="11"/>
  <c r="I201" i="11"/>
  <c r="H201" i="11"/>
  <c r="G201" i="11"/>
  <c r="F201" i="11"/>
  <c r="E201" i="11"/>
  <c r="D201" i="11" s="1"/>
  <c r="N200" i="11"/>
  <c r="M200" i="11"/>
  <c r="L200" i="11"/>
  <c r="K200" i="11"/>
  <c r="J200" i="11"/>
  <c r="I200" i="11"/>
  <c r="H200" i="11"/>
  <c r="G200" i="11"/>
  <c r="F200" i="11"/>
  <c r="E200" i="11"/>
  <c r="D200" i="11" s="1"/>
  <c r="N199" i="11"/>
  <c r="M199" i="11"/>
  <c r="L199" i="11"/>
  <c r="K199" i="11"/>
  <c r="J199" i="11"/>
  <c r="I199" i="11"/>
  <c r="H199" i="11"/>
  <c r="G199" i="11"/>
  <c r="F199" i="11"/>
  <c r="E199" i="11"/>
  <c r="D199" i="11"/>
  <c r="N198" i="11"/>
  <c r="M198" i="11"/>
  <c r="L198" i="11"/>
  <c r="K198" i="11"/>
  <c r="J198" i="11"/>
  <c r="I198" i="11"/>
  <c r="H198" i="11"/>
  <c r="G198" i="11"/>
  <c r="F198" i="11"/>
  <c r="E198" i="11"/>
  <c r="D198" i="11" s="1"/>
  <c r="N197" i="11"/>
  <c r="M197" i="11"/>
  <c r="L197" i="11"/>
  <c r="K197" i="11"/>
  <c r="J197" i="11"/>
  <c r="I197" i="11"/>
  <c r="H197" i="11"/>
  <c r="G197" i="11"/>
  <c r="F197" i="11"/>
  <c r="E197" i="11"/>
  <c r="D197" i="11" s="1"/>
  <c r="N196" i="11"/>
  <c r="M196" i="11"/>
  <c r="L196" i="11"/>
  <c r="K196" i="11"/>
  <c r="J196" i="11"/>
  <c r="I196" i="11"/>
  <c r="H196" i="11"/>
  <c r="G196" i="11"/>
  <c r="F196" i="11"/>
  <c r="E196" i="11"/>
  <c r="D196" i="11" s="1"/>
  <c r="N195" i="11"/>
  <c r="M195" i="11"/>
  <c r="L195" i="11"/>
  <c r="K195" i="11"/>
  <c r="J195" i="11"/>
  <c r="I195" i="11"/>
  <c r="H195" i="11"/>
  <c r="G195" i="11"/>
  <c r="F195" i="11"/>
  <c r="E195" i="11"/>
  <c r="D195" i="11" s="1"/>
  <c r="N194" i="11"/>
  <c r="M194" i="11"/>
  <c r="L194" i="11"/>
  <c r="K194" i="11"/>
  <c r="J194" i="11"/>
  <c r="I194" i="11"/>
  <c r="H194" i="11"/>
  <c r="G194" i="11"/>
  <c r="F194" i="11"/>
  <c r="E194" i="11"/>
  <c r="D194" i="11" s="1"/>
  <c r="N193" i="11"/>
  <c r="M193" i="11"/>
  <c r="L193" i="11"/>
  <c r="K193" i="11"/>
  <c r="J193" i="11"/>
  <c r="I193" i="11"/>
  <c r="H193" i="11"/>
  <c r="G193" i="11"/>
  <c r="F193" i="11"/>
  <c r="E193" i="11"/>
  <c r="D193" i="11" s="1"/>
  <c r="N192" i="11"/>
  <c r="M192" i="11"/>
  <c r="L192" i="11"/>
  <c r="K192" i="11"/>
  <c r="J192" i="11"/>
  <c r="I192" i="11"/>
  <c r="H192" i="11"/>
  <c r="G192" i="11"/>
  <c r="F192" i="11"/>
  <c r="E192" i="11"/>
  <c r="D192" i="11" s="1"/>
  <c r="N191" i="11"/>
  <c r="M191" i="11"/>
  <c r="L191" i="11"/>
  <c r="K191" i="11"/>
  <c r="J191" i="11"/>
  <c r="I191" i="11"/>
  <c r="H191" i="11"/>
  <c r="G191" i="11"/>
  <c r="F191" i="11"/>
  <c r="E191" i="11"/>
  <c r="D191" i="11" s="1"/>
  <c r="N190" i="11"/>
  <c r="M190" i="11"/>
  <c r="L190" i="11"/>
  <c r="K190" i="11"/>
  <c r="J190" i="11"/>
  <c r="I190" i="11"/>
  <c r="H190" i="11"/>
  <c r="G190" i="11"/>
  <c r="F190" i="11"/>
  <c r="E190" i="11"/>
  <c r="D190" i="11" s="1"/>
  <c r="N189" i="11"/>
  <c r="M189" i="11"/>
  <c r="L189" i="11"/>
  <c r="K189" i="11"/>
  <c r="J189" i="11"/>
  <c r="I189" i="11"/>
  <c r="H189" i="11"/>
  <c r="G189" i="11"/>
  <c r="F189" i="11"/>
  <c r="E189" i="11"/>
  <c r="D189" i="11" s="1"/>
  <c r="N188" i="11"/>
  <c r="M188" i="11"/>
  <c r="L188" i="11"/>
  <c r="K188" i="11"/>
  <c r="J188" i="11"/>
  <c r="I188" i="11"/>
  <c r="H188" i="11"/>
  <c r="G188" i="11"/>
  <c r="F188" i="11"/>
  <c r="E188" i="11"/>
  <c r="D188" i="11" s="1"/>
  <c r="N187" i="11"/>
  <c r="M187" i="11"/>
  <c r="L187" i="11"/>
  <c r="K187" i="11"/>
  <c r="J187" i="11"/>
  <c r="I187" i="11"/>
  <c r="H187" i="11"/>
  <c r="G187" i="11"/>
  <c r="F187" i="11"/>
  <c r="E187" i="11"/>
  <c r="D187" i="11" s="1"/>
  <c r="N186" i="11"/>
  <c r="M186" i="11"/>
  <c r="L186" i="11"/>
  <c r="K186" i="11"/>
  <c r="J186" i="11"/>
  <c r="I186" i="11"/>
  <c r="H186" i="11"/>
  <c r="G186" i="11"/>
  <c r="F186" i="11"/>
  <c r="E186" i="11"/>
  <c r="D186" i="11" s="1"/>
  <c r="N185" i="11"/>
  <c r="M185" i="11"/>
  <c r="L185" i="11"/>
  <c r="K185" i="11"/>
  <c r="J185" i="11"/>
  <c r="I185" i="11"/>
  <c r="H185" i="11"/>
  <c r="G185" i="11"/>
  <c r="F185" i="11"/>
  <c r="E185" i="11"/>
  <c r="D185" i="11" s="1"/>
  <c r="N184" i="11"/>
  <c r="M184" i="11"/>
  <c r="L184" i="11"/>
  <c r="K184" i="11"/>
  <c r="J184" i="11"/>
  <c r="I184" i="11"/>
  <c r="H184" i="11"/>
  <c r="G184" i="11"/>
  <c r="F184" i="11"/>
  <c r="E184" i="11"/>
  <c r="D184" i="11" s="1"/>
  <c r="N183" i="11"/>
  <c r="M183" i="11"/>
  <c r="L183" i="11"/>
  <c r="K183" i="11"/>
  <c r="J183" i="11"/>
  <c r="I183" i="11"/>
  <c r="H183" i="11"/>
  <c r="G183" i="11"/>
  <c r="F183" i="11"/>
  <c r="E183" i="11"/>
  <c r="D183" i="11"/>
  <c r="N182" i="11"/>
  <c r="M182" i="11"/>
  <c r="L182" i="11"/>
  <c r="K182" i="11"/>
  <c r="J182" i="11"/>
  <c r="I182" i="11"/>
  <c r="H182" i="11"/>
  <c r="G182" i="11"/>
  <c r="F182" i="11"/>
  <c r="E182" i="11"/>
  <c r="D182" i="11" s="1"/>
  <c r="N181" i="11"/>
  <c r="M181" i="11"/>
  <c r="L181" i="11"/>
  <c r="K181" i="11"/>
  <c r="J181" i="11"/>
  <c r="I181" i="11"/>
  <c r="H181" i="11"/>
  <c r="G181" i="11"/>
  <c r="F181" i="11"/>
  <c r="E181" i="11"/>
  <c r="D181" i="11" s="1"/>
  <c r="N180" i="11"/>
  <c r="M180" i="11"/>
  <c r="L180" i="11"/>
  <c r="K180" i="11"/>
  <c r="J180" i="11"/>
  <c r="I180" i="11"/>
  <c r="H180" i="11"/>
  <c r="G180" i="11"/>
  <c r="F180" i="11"/>
  <c r="E180" i="11"/>
  <c r="D180" i="11" s="1"/>
  <c r="N179" i="11"/>
  <c r="M179" i="11"/>
  <c r="L179" i="11"/>
  <c r="K179" i="11"/>
  <c r="J179" i="11"/>
  <c r="I179" i="11"/>
  <c r="H179" i="11"/>
  <c r="G179" i="11"/>
  <c r="F179" i="11"/>
  <c r="E179" i="11"/>
  <c r="D179" i="11" s="1"/>
  <c r="N178" i="11"/>
  <c r="M178" i="11"/>
  <c r="L178" i="11"/>
  <c r="K178" i="11"/>
  <c r="J178" i="11"/>
  <c r="I178" i="11"/>
  <c r="H178" i="11"/>
  <c r="G178" i="11"/>
  <c r="F178" i="11"/>
  <c r="E178" i="11"/>
  <c r="D178" i="11" s="1"/>
  <c r="N177" i="11"/>
  <c r="M177" i="11"/>
  <c r="L177" i="11"/>
  <c r="K177" i="11"/>
  <c r="J177" i="11"/>
  <c r="I177" i="11"/>
  <c r="H177" i="11"/>
  <c r="G177" i="11"/>
  <c r="F177" i="11"/>
  <c r="E177" i="11"/>
  <c r="D177" i="11" s="1"/>
  <c r="N176" i="11"/>
  <c r="M176" i="11"/>
  <c r="L176" i="11"/>
  <c r="K176" i="11"/>
  <c r="J176" i="11"/>
  <c r="I176" i="11"/>
  <c r="H176" i="11"/>
  <c r="G176" i="11"/>
  <c r="F176" i="11"/>
  <c r="E176" i="11"/>
  <c r="D176" i="11" s="1"/>
  <c r="N175" i="11"/>
  <c r="M175" i="11"/>
  <c r="L175" i="11"/>
  <c r="K175" i="11"/>
  <c r="J175" i="11"/>
  <c r="I175" i="11"/>
  <c r="H175" i="11"/>
  <c r="G175" i="11"/>
  <c r="F175" i="11"/>
  <c r="E175" i="11"/>
  <c r="D175" i="11"/>
  <c r="N174" i="11"/>
  <c r="M174" i="11"/>
  <c r="L174" i="11"/>
  <c r="K174" i="11"/>
  <c r="J174" i="11"/>
  <c r="I174" i="11"/>
  <c r="H174" i="11"/>
  <c r="G174" i="11"/>
  <c r="F174" i="11"/>
  <c r="E174" i="11"/>
  <c r="D174" i="11" s="1"/>
  <c r="N173" i="11"/>
  <c r="M173" i="11"/>
  <c r="L173" i="11"/>
  <c r="K173" i="11"/>
  <c r="J173" i="11"/>
  <c r="I173" i="11"/>
  <c r="H173" i="11"/>
  <c r="G173" i="11"/>
  <c r="F173" i="11"/>
  <c r="E173" i="11"/>
  <c r="D173" i="11" s="1"/>
  <c r="N172" i="11"/>
  <c r="M172" i="11"/>
  <c r="L172" i="11"/>
  <c r="K172" i="11"/>
  <c r="J172" i="11"/>
  <c r="I172" i="11"/>
  <c r="H172" i="11"/>
  <c r="G172" i="11"/>
  <c r="F172" i="11"/>
  <c r="E172" i="11"/>
  <c r="D172" i="11" s="1"/>
  <c r="N171" i="11"/>
  <c r="M171" i="11"/>
  <c r="L171" i="11"/>
  <c r="K171" i="11"/>
  <c r="J171" i="11"/>
  <c r="I171" i="11"/>
  <c r="H171" i="11"/>
  <c r="G171" i="11"/>
  <c r="F171" i="11"/>
  <c r="E171" i="11"/>
  <c r="D171" i="11" s="1"/>
  <c r="N170" i="11"/>
  <c r="M170" i="11"/>
  <c r="L170" i="11"/>
  <c r="K170" i="11"/>
  <c r="J170" i="11"/>
  <c r="I170" i="11"/>
  <c r="H170" i="11"/>
  <c r="G170" i="11"/>
  <c r="F170" i="11"/>
  <c r="E170" i="11"/>
  <c r="D170" i="11" s="1"/>
  <c r="N169" i="11"/>
  <c r="M169" i="11"/>
  <c r="L169" i="11"/>
  <c r="K169" i="11"/>
  <c r="J169" i="11"/>
  <c r="I169" i="11"/>
  <c r="H169" i="11"/>
  <c r="G169" i="11"/>
  <c r="F169" i="11"/>
  <c r="E169" i="11"/>
  <c r="D169" i="11" s="1"/>
  <c r="N168" i="11"/>
  <c r="M168" i="11"/>
  <c r="L168" i="11"/>
  <c r="K168" i="11"/>
  <c r="J168" i="11"/>
  <c r="I168" i="11"/>
  <c r="H168" i="11"/>
  <c r="G168" i="11"/>
  <c r="F168" i="11"/>
  <c r="E168" i="11"/>
  <c r="D168" i="11" s="1"/>
  <c r="N167" i="11"/>
  <c r="M167" i="11"/>
  <c r="L167" i="11"/>
  <c r="K167" i="11"/>
  <c r="J167" i="11"/>
  <c r="I167" i="11"/>
  <c r="H167" i="11"/>
  <c r="G167" i="11"/>
  <c r="F167" i="11"/>
  <c r="E167" i="11"/>
  <c r="D167" i="11"/>
  <c r="N166" i="11"/>
  <c r="M166" i="11"/>
  <c r="L166" i="11"/>
  <c r="K166" i="11"/>
  <c r="J166" i="11"/>
  <c r="I166" i="11"/>
  <c r="H166" i="11"/>
  <c r="G166" i="11"/>
  <c r="F166" i="11"/>
  <c r="E166" i="11"/>
  <c r="D166" i="11" s="1"/>
  <c r="N165" i="11"/>
  <c r="M165" i="11"/>
  <c r="L165" i="11"/>
  <c r="K165" i="11"/>
  <c r="J165" i="11"/>
  <c r="I165" i="11"/>
  <c r="H165" i="11"/>
  <c r="G165" i="11"/>
  <c r="F165" i="11"/>
  <c r="E165" i="11"/>
  <c r="D165" i="11" s="1"/>
  <c r="N164" i="11"/>
  <c r="M164" i="11"/>
  <c r="L164" i="11"/>
  <c r="K164" i="11"/>
  <c r="J164" i="11"/>
  <c r="I164" i="11"/>
  <c r="H164" i="11"/>
  <c r="G164" i="11"/>
  <c r="F164" i="11"/>
  <c r="E164" i="11"/>
  <c r="D164" i="11" s="1"/>
  <c r="N163" i="11"/>
  <c r="M163" i="11"/>
  <c r="L163" i="11"/>
  <c r="K163" i="11"/>
  <c r="J163" i="11"/>
  <c r="I163" i="11"/>
  <c r="H163" i="11"/>
  <c r="G163" i="11"/>
  <c r="F163" i="11"/>
  <c r="E163" i="11"/>
  <c r="D163" i="11" s="1"/>
  <c r="N162" i="11"/>
  <c r="M162" i="11"/>
  <c r="L162" i="11"/>
  <c r="K162" i="11"/>
  <c r="J162" i="11"/>
  <c r="I162" i="11"/>
  <c r="H162" i="11"/>
  <c r="G162" i="11"/>
  <c r="F162" i="11"/>
  <c r="E162" i="11"/>
  <c r="D162" i="11" s="1"/>
  <c r="N161" i="11"/>
  <c r="M161" i="11"/>
  <c r="L161" i="11"/>
  <c r="K161" i="11"/>
  <c r="J161" i="11"/>
  <c r="I161" i="11"/>
  <c r="H161" i="11"/>
  <c r="G161" i="11"/>
  <c r="F161" i="11"/>
  <c r="E161" i="11"/>
  <c r="D161" i="11" s="1"/>
  <c r="N160" i="11"/>
  <c r="M160" i="11"/>
  <c r="L160" i="11"/>
  <c r="K160" i="11"/>
  <c r="J160" i="11"/>
  <c r="I160" i="11"/>
  <c r="H160" i="11"/>
  <c r="G160" i="11"/>
  <c r="F160" i="11"/>
  <c r="E160" i="11"/>
  <c r="D160" i="11" s="1"/>
  <c r="N159" i="11"/>
  <c r="M159" i="11"/>
  <c r="L159" i="11"/>
  <c r="K159" i="11"/>
  <c r="J159" i="11"/>
  <c r="I159" i="11"/>
  <c r="H159" i="11"/>
  <c r="G159" i="11"/>
  <c r="F159" i="11"/>
  <c r="E159" i="11"/>
  <c r="D159" i="11"/>
  <c r="N158" i="11"/>
  <c r="M158" i="11"/>
  <c r="L158" i="11"/>
  <c r="K158" i="11"/>
  <c r="J158" i="11"/>
  <c r="I158" i="11"/>
  <c r="H158" i="11"/>
  <c r="G158" i="11"/>
  <c r="F158" i="11"/>
  <c r="E158" i="11"/>
  <c r="D158" i="11" s="1"/>
  <c r="N157" i="11"/>
  <c r="M157" i="11"/>
  <c r="L157" i="11"/>
  <c r="K157" i="11"/>
  <c r="J157" i="11"/>
  <c r="I157" i="11"/>
  <c r="H157" i="11"/>
  <c r="G157" i="11"/>
  <c r="F157" i="11"/>
  <c r="E157" i="11"/>
  <c r="D157" i="11" s="1"/>
  <c r="N156" i="11"/>
  <c r="M156" i="11"/>
  <c r="L156" i="11"/>
  <c r="K156" i="11"/>
  <c r="J156" i="11"/>
  <c r="I156" i="11"/>
  <c r="H156" i="11"/>
  <c r="G156" i="11"/>
  <c r="F156" i="11"/>
  <c r="E156" i="11"/>
  <c r="D156" i="11" s="1"/>
  <c r="N155" i="11"/>
  <c r="M155" i="11"/>
  <c r="L155" i="11"/>
  <c r="K155" i="11"/>
  <c r="J155" i="11"/>
  <c r="I155" i="11"/>
  <c r="H155" i="11"/>
  <c r="G155" i="11"/>
  <c r="F155" i="11"/>
  <c r="E155" i="11"/>
  <c r="D155" i="11" s="1"/>
  <c r="N154" i="11"/>
  <c r="M154" i="11"/>
  <c r="L154" i="11"/>
  <c r="K154" i="11"/>
  <c r="J154" i="11"/>
  <c r="I154" i="11"/>
  <c r="H154" i="11"/>
  <c r="G154" i="11"/>
  <c r="F154" i="11"/>
  <c r="E154" i="11"/>
  <c r="D154" i="11" s="1"/>
  <c r="N153" i="11"/>
  <c r="M153" i="11"/>
  <c r="L153" i="11"/>
  <c r="K153" i="11"/>
  <c r="J153" i="11"/>
  <c r="I153" i="11"/>
  <c r="H153" i="11"/>
  <c r="G153" i="11"/>
  <c r="F153" i="11"/>
  <c r="E153" i="11"/>
  <c r="D153" i="11" s="1"/>
  <c r="N152" i="11"/>
  <c r="M152" i="11"/>
  <c r="L152" i="11"/>
  <c r="K152" i="11"/>
  <c r="J152" i="11"/>
  <c r="I152" i="11"/>
  <c r="H152" i="11"/>
  <c r="G152" i="11"/>
  <c r="F152" i="11"/>
  <c r="E152" i="11"/>
  <c r="D152" i="11" s="1"/>
  <c r="N151" i="11"/>
  <c r="M151" i="11"/>
  <c r="L151" i="11"/>
  <c r="K151" i="11"/>
  <c r="J151" i="11"/>
  <c r="I151" i="11"/>
  <c r="H151" i="11"/>
  <c r="G151" i="11"/>
  <c r="F151" i="11"/>
  <c r="E151" i="11"/>
  <c r="D151" i="11" s="1"/>
  <c r="N150" i="11"/>
  <c r="M150" i="11"/>
  <c r="L150" i="11"/>
  <c r="K150" i="11"/>
  <c r="J150" i="11"/>
  <c r="I150" i="11"/>
  <c r="H150" i="11"/>
  <c r="G150" i="11"/>
  <c r="F150" i="11"/>
  <c r="E150" i="11"/>
  <c r="D150" i="11" s="1"/>
  <c r="N149" i="11"/>
  <c r="M149" i="11"/>
  <c r="L149" i="11"/>
  <c r="K149" i="11"/>
  <c r="J149" i="11"/>
  <c r="I149" i="11"/>
  <c r="H149" i="11"/>
  <c r="G149" i="11"/>
  <c r="F149" i="11"/>
  <c r="E149" i="11"/>
  <c r="D149" i="11" s="1"/>
  <c r="N148" i="11"/>
  <c r="M148" i="11"/>
  <c r="L148" i="11"/>
  <c r="K148" i="11"/>
  <c r="J148" i="11"/>
  <c r="I148" i="11"/>
  <c r="H148" i="11"/>
  <c r="G148" i="11"/>
  <c r="F148" i="11"/>
  <c r="E148" i="11"/>
  <c r="D148" i="11" s="1"/>
  <c r="N147" i="11"/>
  <c r="M147" i="11"/>
  <c r="L147" i="11"/>
  <c r="K147" i="11"/>
  <c r="J147" i="11"/>
  <c r="I147" i="11"/>
  <c r="H147" i="11"/>
  <c r="G147" i="11"/>
  <c r="F147" i="11"/>
  <c r="E147" i="11"/>
  <c r="D147" i="11" s="1"/>
  <c r="N146" i="11"/>
  <c r="M146" i="11"/>
  <c r="L146" i="11"/>
  <c r="K146" i="11"/>
  <c r="J146" i="11"/>
  <c r="I146" i="11"/>
  <c r="H146" i="11"/>
  <c r="G146" i="11"/>
  <c r="F146" i="11"/>
  <c r="E146" i="11"/>
  <c r="D146" i="11" s="1"/>
  <c r="N145" i="11"/>
  <c r="M145" i="11"/>
  <c r="L145" i="11"/>
  <c r="K145" i="11"/>
  <c r="J145" i="11"/>
  <c r="I145" i="11"/>
  <c r="H145" i="11"/>
  <c r="G145" i="11"/>
  <c r="F145" i="11"/>
  <c r="E145" i="11"/>
  <c r="D145" i="11" s="1"/>
  <c r="N144" i="11"/>
  <c r="M144" i="11"/>
  <c r="L144" i="11"/>
  <c r="K144" i="11"/>
  <c r="J144" i="11"/>
  <c r="I144" i="11"/>
  <c r="H144" i="11"/>
  <c r="G144" i="11"/>
  <c r="F144" i="11"/>
  <c r="E144" i="11"/>
  <c r="D144" i="11" s="1"/>
  <c r="N143" i="11"/>
  <c r="M143" i="11"/>
  <c r="L143" i="11"/>
  <c r="K143" i="11"/>
  <c r="J143" i="11"/>
  <c r="I143" i="11"/>
  <c r="H143" i="11"/>
  <c r="G143" i="11"/>
  <c r="F143" i="11"/>
  <c r="E143" i="11"/>
  <c r="D143" i="11"/>
  <c r="N142" i="11"/>
  <c r="M142" i="11"/>
  <c r="L142" i="11"/>
  <c r="K142" i="11"/>
  <c r="J142" i="11"/>
  <c r="I142" i="11"/>
  <c r="H142" i="11"/>
  <c r="G142" i="11"/>
  <c r="F142" i="11"/>
  <c r="E142" i="11"/>
  <c r="D142" i="11" s="1"/>
  <c r="N141" i="11"/>
  <c r="M141" i="11"/>
  <c r="L141" i="11"/>
  <c r="K141" i="11"/>
  <c r="J141" i="11"/>
  <c r="I141" i="11"/>
  <c r="H141" i="11"/>
  <c r="G141" i="11"/>
  <c r="F141" i="11"/>
  <c r="E141" i="11"/>
  <c r="D141" i="11" s="1"/>
  <c r="N140" i="11"/>
  <c r="M140" i="11"/>
  <c r="L140" i="11"/>
  <c r="K140" i="11"/>
  <c r="J140" i="11"/>
  <c r="I140" i="11"/>
  <c r="H140" i="11"/>
  <c r="G140" i="11"/>
  <c r="F140" i="11"/>
  <c r="E140" i="11"/>
  <c r="D140" i="11" s="1"/>
  <c r="N139" i="11"/>
  <c r="M139" i="11"/>
  <c r="L139" i="11"/>
  <c r="K139" i="11"/>
  <c r="J139" i="11"/>
  <c r="I139" i="11"/>
  <c r="H139" i="11"/>
  <c r="G139" i="11"/>
  <c r="F139" i="11"/>
  <c r="E139" i="11"/>
  <c r="D139" i="11" s="1"/>
  <c r="N138" i="11"/>
  <c r="M138" i="11"/>
  <c r="L138" i="11"/>
  <c r="K138" i="11"/>
  <c r="J138" i="11"/>
  <c r="I138" i="11"/>
  <c r="H138" i="11"/>
  <c r="G138" i="11"/>
  <c r="F138" i="11"/>
  <c r="E138" i="11"/>
  <c r="D138" i="11" s="1"/>
  <c r="N137" i="11"/>
  <c r="M137" i="11"/>
  <c r="L137" i="11"/>
  <c r="K137" i="11"/>
  <c r="J137" i="11"/>
  <c r="I137" i="11"/>
  <c r="H137" i="11"/>
  <c r="G137" i="11"/>
  <c r="F137" i="11"/>
  <c r="E137" i="11"/>
  <c r="D137" i="11" s="1"/>
  <c r="N136" i="11"/>
  <c r="M136" i="11"/>
  <c r="L136" i="11"/>
  <c r="K136" i="11"/>
  <c r="J136" i="11"/>
  <c r="I136" i="11"/>
  <c r="H136" i="11"/>
  <c r="G136" i="11"/>
  <c r="F136" i="11"/>
  <c r="E136" i="11"/>
  <c r="D136" i="11" s="1"/>
  <c r="N135" i="11"/>
  <c r="M135" i="11"/>
  <c r="L135" i="11"/>
  <c r="K135" i="11"/>
  <c r="J135" i="11"/>
  <c r="I135" i="11"/>
  <c r="H135" i="11"/>
  <c r="G135" i="11"/>
  <c r="F135" i="11"/>
  <c r="E135" i="11"/>
  <c r="D135" i="11"/>
  <c r="N134" i="11"/>
  <c r="M134" i="11"/>
  <c r="L134" i="11"/>
  <c r="K134" i="11"/>
  <c r="J134" i="11"/>
  <c r="I134" i="11"/>
  <c r="H134" i="11"/>
  <c r="G134" i="11"/>
  <c r="F134" i="11"/>
  <c r="E134" i="11"/>
  <c r="D134" i="11" s="1"/>
  <c r="N133" i="11"/>
  <c r="M133" i="11"/>
  <c r="L133" i="11"/>
  <c r="K133" i="11"/>
  <c r="J133" i="11"/>
  <c r="I133" i="11"/>
  <c r="H133" i="11"/>
  <c r="G133" i="11"/>
  <c r="F133" i="11"/>
  <c r="E133" i="11"/>
  <c r="D133" i="11" s="1"/>
  <c r="N132" i="11"/>
  <c r="M132" i="11"/>
  <c r="L132" i="11"/>
  <c r="K132" i="11"/>
  <c r="J132" i="11"/>
  <c r="I132" i="11"/>
  <c r="H132" i="11"/>
  <c r="G132" i="11"/>
  <c r="F132" i="11"/>
  <c r="E132" i="11"/>
  <c r="D132" i="11" s="1"/>
  <c r="N131" i="11"/>
  <c r="M131" i="11"/>
  <c r="L131" i="11"/>
  <c r="K131" i="11"/>
  <c r="J131" i="11"/>
  <c r="I131" i="11"/>
  <c r="H131" i="11"/>
  <c r="G131" i="11"/>
  <c r="F131" i="11"/>
  <c r="E131" i="11"/>
  <c r="D131" i="11" s="1"/>
  <c r="N130" i="11"/>
  <c r="M130" i="11"/>
  <c r="L130" i="11"/>
  <c r="K130" i="11"/>
  <c r="J130" i="11"/>
  <c r="I130" i="11"/>
  <c r="H130" i="11"/>
  <c r="G130" i="11"/>
  <c r="F130" i="11"/>
  <c r="E130" i="11"/>
  <c r="D130" i="11" s="1"/>
  <c r="N129" i="11"/>
  <c r="M129" i="11"/>
  <c r="L129" i="11"/>
  <c r="K129" i="11"/>
  <c r="J129" i="11"/>
  <c r="I129" i="11"/>
  <c r="H129" i="11"/>
  <c r="G129" i="11"/>
  <c r="F129" i="11"/>
  <c r="E129" i="11"/>
  <c r="D129" i="11" s="1"/>
  <c r="N128" i="11"/>
  <c r="M128" i="11"/>
  <c r="L128" i="11"/>
  <c r="K128" i="11"/>
  <c r="J128" i="11"/>
  <c r="I128" i="11"/>
  <c r="H128" i="11"/>
  <c r="G128" i="11"/>
  <c r="F128" i="11"/>
  <c r="E128" i="11"/>
  <c r="D128" i="11" s="1"/>
  <c r="N127" i="11"/>
  <c r="M127" i="11"/>
  <c r="L127" i="11"/>
  <c r="K127" i="11"/>
  <c r="J127" i="11"/>
  <c r="I127" i="11"/>
  <c r="H127" i="11"/>
  <c r="G127" i="11"/>
  <c r="F127" i="11"/>
  <c r="E127" i="11"/>
  <c r="D127" i="11"/>
  <c r="N126" i="11"/>
  <c r="M126" i="11"/>
  <c r="L126" i="11"/>
  <c r="K126" i="11"/>
  <c r="J126" i="11"/>
  <c r="I126" i="11"/>
  <c r="H126" i="11"/>
  <c r="G126" i="11"/>
  <c r="F126" i="11"/>
  <c r="E126" i="11"/>
  <c r="D126" i="11" s="1"/>
  <c r="N125" i="11"/>
  <c r="M125" i="11"/>
  <c r="L125" i="11"/>
  <c r="K125" i="11"/>
  <c r="J125" i="11"/>
  <c r="I125" i="11"/>
  <c r="H125" i="11"/>
  <c r="G125" i="11"/>
  <c r="F125" i="11"/>
  <c r="E125" i="11"/>
  <c r="D125" i="11" s="1"/>
  <c r="N124" i="11"/>
  <c r="M124" i="11"/>
  <c r="L124" i="11"/>
  <c r="K124" i="11"/>
  <c r="J124" i="11"/>
  <c r="I124" i="11"/>
  <c r="H124" i="11"/>
  <c r="G124" i="11"/>
  <c r="F124" i="11"/>
  <c r="E124" i="11"/>
  <c r="D124" i="11" s="1"/>
  <c r="N123" i="11"/>
  <c r="M123" i="11"/>
  <c r="L123" i="11"/>
  <c r="K123" i="11"/>
  <c r="J123" i="11"/>
  <c r="I123" i="11"/>
  <c r="H123" i="11"/>
  <c r="G123" i="11"/>
  <c r="F123" i="11"/>
  <c r="E123" i="11"/>
  <c r="D123" i="11" s="1"/>
  <c r="N122" i="11"/>
  <c r="M122" i="11"/>
  <c r="L122" i="11"/>
  <c r="K122" i="11"/>
  <c r="J122" i="11"/>
  <c r="I122" i="11"/>
  <c r="H122" i="11"/>
  <c r="G122" i="11"/>
  <c r="F122" i="11"/>
  <c r="E122" i="11"/>
  <c r="D122" i="11" s="1"/>
  <c r="N121" i="11"/>
  <c r="M121" i="11"/>
  <c r="L121" i="11"/>
  <c r="K121" i="11"/>
  <c r="J121" i="11"/>
  <c r="I121" i="11"/>
  <c r="H121" i="11"/>
  <c r="G121" i="11"/>
  <c r="F121" i="11"/>
  <c r="E121" i="11"/>
  <c r="D121" i="11" s="1"/>
  <c r="N120" i="11"/>
  <c r="M120" i="11"/>
  <c r="L120" i="11"/>
  <c r="K120" i="11"/>
  <c r="J120" i="11"/>
  <c r="I120" i="11"/>
  <c r="H120" i="11"/>
  <c r="G120" i="11"/>
  <c r="F120" i="11"/>
  <c r="E120" i="11"/>
  <c r="D120" i="11" s="1"/>
  <c r="N119" i="11"/>
  <c r="M119" i="11"/>
  <c r="L119" i="11"/>
  <c r="K119" i="11"/>
  <c r="J119" i="11"/>
  <c r="I119" i="11"/>
  <c r="H119" i="11"/>
  <c r="G119" i="11"/>
  <c r="F119" i="11"/>
  <c r="E119" i="11"/>
  <c r="D119" i="11" s="1"/>
  <c r="N118" i="11"/>
  <c r="M118" i="11"/>
  <c r="L118" i="11"/>
  <c r="K118" i="11"/>
  <c r="J118" i="11"/>
  <c r="I118" i="11"/>
  <c r="H118" i="11"/>
  <c r="G118" i="11"/>
  <c r="F118" i="11"/>
  <c r="E118" i="11"/>
  <c r="D118" i="11" s="1"/>
  <c r="N117" i="11"/>
  <c r="M117" i="11"/>
  <c r="L117" i="11"/>
  <c r="K117" i="11"/>
  <c r="J117" i="11"/>
  <c r="I117" i="11"/>
  <c r="H117" i="11"/>
  <c r="G117" i="11"/>
  <c r="F117" i="11"/>
  <c r="E117" i="11"/>
  <c r="D117" i="11" s="1"/>
  <c r="N116" i="11"/>
  <c r="M116" i="11"/>
  <c r="L116" i="11"/>
  <c r="K116" i="11"/>
  <c r="J116" i="11"/>
  <c r="I116" i="11"/>
  <c r="H116" i="11"/>
  <c r="G116" i="11"/>
  <c r="F116" i="11"/>
  <c r="E116" i="11"/>
  <c r="D116" i="11" s="1"/>
  <c r="N115" i="11"/>
  <c r="M115" i="11"/>
  <c r="L115" i="11"/>
  <c r="K115" i="11"/>
  <c r="J115" i="11"/>
  <c r="I115" i="11"/>
  <c r="H115" i="11"/>
  <c r="G115" i="11"/>
  <c r="F115" i="11"/>
  <c r="E115" i="11"/>
  <c r="D115" i="11" s="1"/>
  <c r="N114" i="11"/>
  <c r="M114" i="11"/>
  <c r="L114" i="11"/>
  <c r="K114" i="11"/>
  <c r="J114" i="11"/>
  <c r="I114" i="11"/>
  <c r="H114" i="11"/>
  <c r="G114" i="11"/>
  <c r="F114" i="11"/>
  <c r="E114" i="11"/>
  <c r="D114" i="11" s="1"/>
  <c r="N113" i="11"/>
  <c r="M113" i="11"/>
  <c r="L113" i="11"/>
  <c r="K113" i="11"/>
  <c r="J113" i="11"/>
  <c r="I113" i="11"/>
  <c r="H113" i="11"/>
  <c r="G113" i="11"/>
  <c r="F113" i="11"/>
  <c r="E113" i="11"/>
  <c r="D113" i="11"/>
  <c r="N112" i="11"/>
  <c r="M112" i="11"/>
  <c r="L112" i="11"/>
  <c r="K112" i="11"/>
  <c r="J112" i="11"/>
  <c r="I112" i="11"/>
  <c r="H112" i="11"/>
  <c r="G112" i="11"/>
  <c r="F112" i="11"/>
  <c r="E112" i="11"/>
  <c r="D112" i="11" s="1"/>
  <c r="N111" i="11"/>
  <c r="M111" i="11"/>
  <c r="L111" i="11"/>
  <c r="K111" i="11"/>
  <c r="J111" i="11"/>
  <c r="I111" i="11"/>
  <c r="H111" i="11"/>
  <c r="G111" i="11"/>
  <c r="F111" i="11"/>
  <c r="E111" i="11"/>
  <c r="D111" i="11" s="1"/>
  <c r="N110" i="11"/>
  <c r="M110" i="11"/>
  <c r="L110" i="11"/>
  <c r="K110" i="11"/>
  <c r="J110" i="11"/>
  <c r="I110" i="11"/>
  <c r="H110" i="11"/>
  <c r="G110" i="11"/>
  <c r="F110" i="11"/>
  <c r="E110" i="11"/>
  <c r="D110" i="11" s="1"/>
  <c r="N109" i="11"/>
  <c r="M109" i="11"/>
  <c r="L109" i="11"/>
  <c r="K109" i="11"/>
  <c r="J109" i="11"/>
  <c r="I109" i="11"/>
  <c r="H109" i="11"/>
  <c r="G109" i="11"/>
  <c r="F109" i="11"/>
  <c r="E109" i="11"/>
  <c r="D109" i="11" s="1"/>
  <c r="N108" i="11"/>
  <c r="M108" i="11"/>
  <c r="L108" i="11"/>
  <c r="K108" i="11"/>
  <c r="J108" i="11"/>
  <c r="I108" i="11"/>
  <c r="H108" i="11"/>
  <c r="G108" i="11"/>
  <c r="F108" i="11"/>
  <c r="E108" i="11"/>
  <c r="D108" i="11" s="1"/>
  <c r="N107" i="11"/>
  <c r="M107" i="11"/>
  <c r="L107" i="11"/>
  <c r="K107" i="11"/>
  <c r="J107" i="11"/>
  <c r="I107" i="11"/>
  <c r="H107" i="11"/>
  <c r="G107" i="11"/>
  <c r="F107" i="11"/>
  <c r="E107" i="11"/>
  <c r="D107" i="11" s="1"/>
  <c r="N106" i="11"/>
  <c r="M106" i="11"/>
  <c r="L106" i="11"/>
  <c r="K106" i="11"/>
  <c r="J106" i="11"/>
  <c r="I106" i="11"/>
  <c r="H106" i="11"/>
  <c r="G106" i="11"/>
  <c r="F106" i="11"/>
  <c r="E106" i="11"/>
  <c r="D106" i="11" s="1"/>
  <c r="N105" i="11"/>
  <c r="M105" i="11"/>
  <c r="L105" i="11"/>
  <c r="K105" i="11"/>
  <c r="J105" i="11"/>
  <c r="I105" i="11"/>
  <c r="H105" i="11"/>
  <c r="G105" i="11"/>
  <c r="F105" i="11"/>
  <c r="E105" i="11"/>
  <c r="D105" i="11" s="1"/>
  <c r="N104" i="11"/>
  <c r="M104" i="11"/>
  <c r="L104" i="11"/>
  <c r="K104" i="11"/>
  <c r="J104" i="11"/>
  <c r="I104" i="11"/>
  <c r="H104" i="11"/>
  <c r="G104" i="11"/>
  <c r="F104" i="11"/>
  <c r="E104" i="11"/>
  <c r="D104" i="11" s="1"/>
  <c r="N103" i="11"/>
  <c r="M103" i="11"/>
  <c r="L103" i="11"/>
  <c r="K103" i="11"/>
  <c r="J103" i="11"/>
  <c r="I103" i="11"/>
  <c r="H103" i="11"/>
  <c r="G103" i="11"/>
  <c r="F103" i="11"/>
  <c r="E103" i="11"/>
  <c r="D103" i="11" s="1"/>
  <c r="N102" i="11"/>
  <c r="M102" i="11"/>
  <c r="L102" i="11"/>
  <c r="K102" i="11"/>
  <c r="J102" i="11"/>
  <c r="I102" i="11"/>
  <c r="H102" i="11"/>
  <c r="G102" i="11"/>
  <c r="F102" i="11"/>
  <c r="E102" i="11"/>
  <c r="D102" i="11" s="1"/>
  <c r="N101" i="11"/>
  <c r="M101" i="11"/>
  <c r="L101" i="11"/>
  <c r="K101" i="11"/>
  <c r="J101" i="11"/>
  <c r="I101" i="11"/>
  <c r="H101" i="11"/>
  <c r="G101" i="11"/>
  <c r="F101" i="11"/>
  <c r="E101" i="11"/>
  <c r="D101" i="11" s="1"/>
  <c r="N100" i="11"/>
  <c r="M100" i="11"/>
  <c r="L100" i="11"/>
  <c r="K100" i="11"/>
  <c r="J100" i="11"/>
  <c r="I100" i="11"/>
  <c r="H100" i="11"/>
  <c r="G100" i="11"/>
  <c r="F100" i="11"/>
  <c r="E100" i="11"/>
  <c r="D100" i="11" s="1"/>
  <c r="N99" i="11"/>
  <c r="M99" i="11"/>
  <c r="L99" i="11"/>
  <c r="K99" i="11"/>
  <c r="J99" i="11"/>
  <c r="I99" i="11"/>
  <c r="H99" i="11"/>
  <c r="G99" i="11"/>
  <c r="F99" i="11"/>
  <c r="E99" i="11"/>
  <c r="D99" i="11" s="1"/>
  <c r="N98" i="11"/>
  <c r="M98" i="11"/>
  <c r="L98" i="11"/>
  <c r="K98" i="11"/>
  <c r="J98" i="11"/>
  <c r="I98" i="11"/>
  <c r="H98" i="11"/>
  <c r="G98" i="11"/>
  <c r="F98" i="11"/>
  <c r="E98" i="11"/>
  <c r="D98" i="11" s="1"/>
  <c r="N97" i="11"/>
  <c r="M97" i="11"/>
  <c r="L97" i="11"/>
  <c r="K97" i="11"/>
  <c r="J97" i="11"/>
  <c r="I97" i="11"/>
  <c r="H97" i="11"/>
  <c r="G97" i="11"/>
  <c r="F97" i="11"/>
  <c r="E97" i="11"/>
  <c r="D97" i="11"/>
  <c r="N96" i="11"/>
  <c r="M96" i="11"/>
  <c r="L96" i="11"/>
  <c r="K96" i="11"/>
  <c r="J96" i="11"/>
  <c r="I96" i="11"/>
  <c r="H96" i="11"/>
  <c r="G96" i="11"/>
  <c r="F96" i="11"/>
  <c r="E96" i="11"/>
  <c r="D96" i="11" s="1"/>
  <c r="N95" i="11"/>
  <c r="M95" i="11"/>
  <c r="L95" i="11"/>
  <c r="K95" i="11"/>
  <c r="J95" i="11"/>
  <c r="I95" i="11"/>
  <c r="H95" i="11"/>
  <c r="G95" i="11"/>
  <c r="F95" i="11"/>
  <c r="E95" i="11"/>
  <c r="D95" i="11" s="1"/>
  <c r="N94" i="11"/>
  <c r="M94" i="11"/>
  <c r="L94" i="11"/>
  <c r="K94" i="11"/>
  <c r="J94" i="11"/>
  <c r="I94" i="11"/>
  <c r="H94" i="11"/>
  <c r="G94" i="11"/>
  <c r="F94" i="11"/>
  <c r="E94" i="11"/>
  <c r="D94" i="11" s="1"/>
  <c r="N93" i="11"/>
  <c r="M93" i="11"/>
  <c r="L93" i="11"/>
  <c r="K93" i="11"/>
  <c r="J93" i="11"/>
  <c r="I93" i="11"/>
  <c r="H93" i="11"/>
  <c r="G93" i="11"/>
  <c r="F93" i="11"/>
  <c r="E93" i="11"/>
  <c r="D93" i="11" s="1"/>
  <c r="N92" i="11"/>
  <c r="M92" i="11"/>
  <c r="L92" i="11"/>
  <c r="K92" i="11"/>
  <c r="J92" i="11"/>
  <c r="I92" i="11"/>
  <c r="H92" i="11"/>
  <c r="G92" i="11"/>
  <c r="F92" i="11"/>
  <c r="E92" i="11"/>
  <c r="D92" i="11" s="1"/>
  <c r="N91" i="11"/>
  <c r="M91" i="11"/>
  <c r="L91" i="11"/>
  <c r="K91" i="11"/>
  <c r="J91" i="11"/>
  <c r="I91" i="11"/>
  <c r="H91" i="11"/>
  <c r="G91" i="11"/>
  <c r="F91" i="11"/>
  <c r="E91" i="11"/>
  <c r="D91" i="11" s="1"/>
  <c r="N90" i="11"/>
  <c r="M90" i="11"/>
  <c r="L90" i="11"/>
  <c r="K90" i="11"/>
  <c r="J90" i="11"/>
  <c r="I90" i="11"/>
  <c r="H90" i="11"/>
  <c r="G90" i="11"/>
  <c r="F90" i="11"/>
  <c r="E90" i="11"/>
  <c r="D90" i="11" s="1"/>
  <c r="N89" i="11"/>
  <c r="M89" i="11"/>
  <c r="L89" i="11"/>
  <c r="K89" i="11"/>
  <c r="J89" i="11"/>
  <c r="I89" i="11"/>
  <c r="H89" i="11"/>
  <c r="G89" i="11"/>
  <c r="F89" i="11"/>
  <c r="E89" i="11"/>
  <c r="D89" i="11"/>
  <c r="N88" i="11"/>
  <c r="M88" i="11"/>
  <c r="L88" i="11"/>
  <c r="K88" i="11"/>
  <c r="J88" i="11"/>
  <c r="I88" i="11"/>
  <c r="H88" i="11"/>
  <c r="G88" i="11"/>
  <c r="F88" i="11"/>
  <c r="E88" i="11"/>
  <c r="D88" i="11" s="1"/>
  <c r="N87" i="11"/>
  <c r="M87" i="11"/>
  <c r="L87" i="11"/>
  <c r="K87" i="11"/>
  <c r="J87" i="11"/>
  <c r="I87" i="11"/>
  <c r="H87" i="11"/>
  <c r="G87" i="11"/>
  <c r="F87" i="11"/>
  <c r="E87" i="11"/>
  <c r="D87" i="11"/>
  <c r="N86" i="11"/>
  <c r="M86" i="11"/>
  <c r="L86" i="11"/>
  <c r="K86" i="11"/>
  <c r="J86" i="11"/>
  <c r="I86" i="11"/>
  <c r="H86" i="11"/>
  <c r="G86" i="11"/>
  <c r="F86" i="11"/>
  <c r="E86" i="11"/>
  <c r="D86" i="11" s="1"/>
  <c r="N85" i="11"/>
  <c r="M85" i="11"/>
  <c r="L85" i="11"/>
  <c r="K85" i="11"/>
  <c r="J85" i="11"/>
  <c r="I85" i="11"/>
  <c r="H85" i="11"/>
  <c r="G85" i="11"/>
  <c r="F85" i="11"/>
  <c r="E85" i="11"/>
  <c r="D85" i="11" s="1"/>
  <c r="N84" i="11"/>
  <c r="M84" i="11"/>
  <c r="L84" i="11"/>
  <c r="K84" i="11"/>
  <c r="J84" i="11"/>
  <c r="I84" i="11"/>
  <c r="H84" i="11"/>
  <c r="G84" i="11"/>
  <c r="F84" i="11"/>
  <c r="E84" i="11"/>
  <c r="D84" i="11" s="1"/>
  <c r="N83" i="11"/>
  <c r="M83" i="11"/>
  <c r="L83" i="11"/>
  <c r="K83" i="11"/>
  <c r="J83" i="11"/>
  <c r="I83" i="11"/>
  <c r="H83" i="11"/>
  <c r="G83" i="11"/>
  <c r="F83" i="11"/>
  <c r="E83" i="11"/>
  <c r="D83" i="11" s="1"/>
  <c r="N82" i="11"/>
  <c r="M82" i="11"/>
  <c r="L82" i="11"/>
  <c r="K82" i="11"/>
  <c r="J82" i="11"/>
  <c r="I82" i="11"/>
  <c r="G82" i="11"/>
  <c r="F82" i="11"/>
  <c r="E82" i="11"/>
  <c r="D82" i="11" s="1"/>
  <c r="N81" i="11"/>
  <c r="M81" i="11"/>
  <c r="L81" i="11"/>
  <c r="K81" i="11"/>
  <c r="J81" i="11"/>
  <c r="I81" i="11"/>
  <c r="H81" i="11"/>
  <c r="G81" i="11"/>
  <c r="F81" i="11"/>
  <c r="E81" i="11"/>
  <c r="D81" i="11" s="1"/>
  <c r="N80" i="11"/>
  <c r="M80" i="11"/>
  <c r="L80" i="11"/>
  <c r="K80" i="11"/>
  <c r="J80" i="11"/>
  <c r="I80" i="11"/>
  <c r="H80" i="11"/>
  <c r="G80" i="11"/>
  <c r="F80" i="11"/>
  <c r="E80" i="11"/>
  <c r="D80" i="11" s="1"/>
  <c r="N79" i="11"/>
  <c r="M79" i="11"/>
  <c r="L79" i="11"/>
  <c r="K79" i="11"/>
  <c r="J79" i="11"/>
  <c r="I79" i="11"/>
  <c r="H79" i="11"/>
  <c r="G79" i="11"/>
  <c r="F79" i="11"/>
  <c r="E79" i="11"/>
  <c r="D79" i="11" s="1"/>
  <c r="N78" i="11"/>
  <c r="M78" i="11"/>
  <c r="L78" i="11"/>
  <c r="K78" i="11"/>
  <c r="J78" i="11"/>
  <c r="I78" i="11"/>
  <c r="H78" i="11"/>
  <c r="G78" i="11"/>
  <c r="F78" i="11"/>
  <c r="E78" i="11"/>
  <c r="D78" i="11" s="1"/>
  <c r="N77" i="11"/>
  <c r="M77" i="11"/>
  <c r="L77" i="11"/>
  <c r="K77" i="11"/>
  <c r="J77" i="11"/>
  <c r="I77" i="11"/>
  <c r="H77" i="11"/>
  <c r="G77" i="11"/>
  <c r="F77" i="11"/>
  <c r="E77" i="11"/>
  <c r="D77" i="11" s="1"/>
  <c r="N76" i="11"/>
  <c r="M76" i="11"/>
  <c r="L76" i="11"/>
  <c r="K76" i="11"/>
  <c r="J76" i="11"/>
  <c r="I76" i="11"/>
  <c r="H76" i="11"/>
  <c r="G76" i="11"/>
  <c r="F76" i="11"/>
  <c r="E76" i="11"/>
  <c r="D76" i="11"/>
  <c r="N75" i="11"/>
  <c r="M75" i="11"/>
  <c r="L75" i="11"/>
  <c r="K75" i="11"/>
  <c r="J75" i="11"/>
  <c r="I75" i="11"/>
  <c r="H75" i="11"/>
  <c r="G75" i="11"/>
  <c r="F75" i="11"/>
  <c r="E75" i="11"/>
  <c r="D75" i="11" s="1"/>
  <c r="N74" i="11"/>
  <c r="M74" i="11"/>
  <c r="L74" i="11"/>
  <c r="K74" i="11"/>
  <c r="J74" i="11"/>
  <c r="I74" i="11"/>
  <c r="H74" i="11"/>
  <c r="G74" i="11"/>
  <c r="F74" i="11"/>
  <c r="E74" i="11"/>
  <c r="D74" i="11" s="1"/>
  <c r="N73" i="11"/>
  <c r="M73" i="11"/>
  <c r="L73" i="11"/>
  <c r="K73" i="11"/>
  <c r="J73" i="11"/>
  <c r="I73" i="11"/>
  <c r="H73" i="11"/>
  <c r="G73" i="11"/>
  <c r="F73" i="11"/>
  <c r="E73" i="11"/>
  <c r="D73" i="11" s="1"/>
  <c r="N72" i="11"/>
  <c r="M72" i="11"/>
  <c r="L72" i="11"/>
  <c r="K72" i="11"/>
  <c r="J72" i="11"/>
  <c r="I72" i="11"/>
  <c r="H72" i="11"/>
  <c r="G72" i="11"/>
  <c r="F72" i="11"/>
  <c r="E72" i="11"/>
  <c r="D72" i="11"/>
  <c r="N71" i="11"/>
  <c r="M71" i="11"/>
  <c r="L71" i="11"/>
  <c r="K71" i="11"/>
  <c r="J71" i="11"/>
  <c r="I71" i="11"/>
  <c r="H71" i="11"/>
  <c r="G71" i="11"/>
  <c r="F71" i="11"/>
  <c r="E71" i="11"/>
  <c r="D71" i="11" s="1"/>
  <c r="N70" i="11"/>
  <c r="M70" i="11"/>
  <c r="L70" i="11"/>
  <c r="K70" i="11"/>
  <c r="J70" i="11"/>
  <c r="I70" i="11"/>
  <c r="H70" i="11"/>
  <c r="G70" i="11"/>
  <c r="F70" i="11"/>
  <c r="E70" i="11"/>
  <c r="D70" i="11" s="1"/>
  <c r="N69" i="11"/>
  <c r="M69" i="11"/>
  <c r="L69" i="11"/>
  <c r="K69" i="11"/>
  <c r="J69" i="11"/>
  <c r="I69" i="11"/>
  <c r="H69" i="11"/>
  <c r="G69" i="11"/>
  <c r="F69" i="11"/>
  <c r="E69" i="11"/>
  <c r="D69" i="11" s="1"/>
  <c r="N68" i="11"/>
  <c r="M68" i="11"/>
  <c r="L68" i="11"/>
  <c r="K68" i="11"/>
  <c r="J68" i="11"/>
  <c r="I68" i="11"/>
  <c r="H68" i="11"/>
  <c r="G68" i="11"/>
  <c r="F68" i="11"/>
  <c r="E68" i="11"/>
  <c r="D68" i="11"/>
  <c r="N67" i="11"/>
  <c r="M67" i="11"/>
  <c r="L67" i="11"/>
  <c r="K67" i="11"/>
  <c r="J67" i="11"/>
  <c r="I67" i="11"/>
  <c r="H67" i="11"/>
  <c r="G67" i="11"/>
  <c r="F67" i="11"/>
  <c r="E67" i="11"/>
  <c r="D67" i="11" s="1"/>
  <c r="N66" i="11"/>
  <c r="M66" i="11"/>
  <c r="L66" i="11"/>
  <c r="K66" i="11"/>
  <c r="J66" i="11"/>
  <c r="I66" i="11"/>
  <c r="H66" i="11"/>
  <c r="G66" i="11"/>
  <c r="F66" i="11"/>
  <c r="E66" i="11"/>
  <c r="D66" i="11" s="1"/>
  <c r="N65" i="11"/>
  <c r="M65" i="11"/>
  <c r="L65" i="11"/>
  <c r="K65" i="11"/>
  <c r="J65" i="11"/>
  <c r="I65" i="11"/>
  <c r="H65" i="11"/>
  <c r="G65" i="11"/>
  <c r="F65" i="11"/>
  <c r="E65" i="11"/>
  <c r="D65" i="11" s="1"/>
  <c r="N64" i="11"/>
  <c r="M64" i="11"/>
  <c r="L64" i="11"/>
  <c r="K64" i="11"/>
  <c r="J64" i="11"/>
  <c r="I64" i="11"/>
  <c r="H64" i="11"/>
  <c r="G64" i="11"/>
  <c r="F64" i="11"/>
  <c r="E64" i="11"/>
  <c r="D64" i="11"/>
  <c r="N63" i="11"/>
  <c r="M63" i="11"/>
  <c r="L63" i="11"/>
  <c r="K63" i="11"/>
  <c r="J63" i="11"/>
  <c r="I63" i="11"/>
  <c r="H63" i="11"/>
  <c r="G63" i="11"/>
  <c r="F63" i="11"/>
  <c r="E63" i="11"/>
  <c r="D63" i="11" s="1"/>
  <c r="N62" i="11"/>
  <c r="M62" i="11"/>
  <c r="L62" i="11"/>
  <c r="K62" i="11"/>
  <c r="J62" i="11"/>
  <c r="I62" i="11"/>
  <c r="H62" i="11"/>
  <c r="G62" i="11"/>
  <c r="F62" i="11"/>
  <c r="E62" i="11"/>
  <c r="D62" i="11" s="1"/>
  <c r="N61" i="11"/>
  <c r="M61" i="11"/>
  <c r="L61" i="11"/>
  <c r="K61" i="11"/>
  <c r="J61" i="11"/>
  <c r="I61" i="11"/>
  <c r="H61" i="11"/>
  <c r="G61" i="11"/>
  <c r="F61" i="11"/>
  <c r="E61" i="11"/>
  <c r="D61" i="11" s="1"/>
  <c r="N60" i="11"/>
  <c r="M60" i="11"/>
  <c r="L60" i="11"/>
  <c r="K60" i="11"/>
  <c r="J60" i="11"/>
  <c r="I60" i="11"/>
  <c r="H60" i="11"/>
  <c r="G60" i="11"/>
  <c r="F60" i="11"/>
  <c r="E60" i="11"/>
  <c r="D60" i="11"/>
  <c r="N59" i="11"/>
  <c r="M59" i="11"/>
  <c r="L59" i="11"/>
  <c r="K59" i="11"/>
  <c r="J59" i="11"/>
  <c r="I59" i="11"/>
  <c r="H59" i="11"/>
  <c r="G59" i="11"/>
  <c r="F59" i="11"/>
  <c r="E59" i="11"/>
  <c r="D59" i="11" s="1"/>
  <c r="N58" i="11"/>
  <c r="M58" i="11"/>
  <c r="L58" i="11"/>
  <c r="K58" i="11"/>
  <c r="J58" i="11"/>
  <c r="I58" i="11"/>
  <c r="H58" i="11"/>
  <c r="G58" i="11"/>
  <c r="F58" i="11"/>
  <c r="E58" i="11"/>
  <c r="D58" i="11" s="1"/>
  <c r="N57" i="11"/>
  <c r="M57" i="11"/>
  <c r="L57" i="11"/>
  <c r="K57" i="11"/>
  <c r="J57" i="11"/>
  <c r="I57" i="11"/>
  <c r="H57" i="11"/>
  <c r="G57" i="11"/>
  <c r="F57" i="11"/>
  <c r="E57" i="11"/>
  <c r="D57" i="11" s="1"/>
  <c r="N56" i="11"/>
  <c r="M56" i="11"/>
  <c r="L56" i="11"/>
  <c r="K56" i="11"/>
  <c r="J56" i="11"/>
  <c r="I56" i="11"/>
  <c r="H56" i="11"/>
  <c r="G56" i="11"/>
  <c r="F56" i="11"/>
  <c r="E56" i="11"/>
  <c r="D56" i="11" s="1"/>
  <c r="N55" i="11"/>
  <c r="M55" i="11"/>
  <c r="L55" i="11"/>
  <c r="K55" i="11"/>
  <c r="J55" i="11"/>
  <c r="I55" i="11"/>
  <c r="H55" i="11"/>
  <c r="G55" i="11"/>
  <c r="F55" i="11"/>
  <c r="E55" i="11"/>
  <c r="D55" i="11" s="1"/>
  <c r="N54" i="11"/>
  <c r="M54" i="11"/>
  <c r="L54" i="11"/>
  <c r="K54" i="11"/>
  <c r="J54" i="11"/>
  <c r="I54" i="11"/>
  <c r="H54" i="11"/>
  <c r="G54" i="11"/>
  <c r="F54" i="11"/>
  <c r="E54" i="11"/>
  <c r="D54" i="11" s="1"/>
  <c r="N53" i="11"/>
  <c r="M53" i="11"/>
  <c r="L53" i="11"/>
  <c r="K53" i="11"/>
  <c r="J53" i="11"/>
  <c r="I53" i="11"/>
  <c r="H53" i="11"/>
  <c r="G53" i="11"/>
  <c r="F53" i="11"/>
  <c r="E53" i="11"/>
  <c r="D53" i="11" s="1"/>
  <c r="N52" i="11"/>
  <c r="M52" i="11"/>
  <c r="L52" i="11"/>
  <c r="K52" i="11"/>
  <c r="J52" i="11"/>
  <c r="I52" i="11"/>
  <c r="H52" i="11"/>
  <c r="G52" i="11"/>
  <c r="F52" i="11"/>
  <c r="E52" i="11"/>
  <c r="D52" i="11"/>
  <c r="N51" i="11"/>
  <c r="M51" i="11"/>
  <c r="L51" i="11"/>
  <c r="K51" i="11"/>
  <c r="J51" i="11"/>
  <c r="I51" i="11"/>
  <c r="H51" i="11"/>
  <c r="G51" i="11"/>
  <c r="F51" i="11"/>
  <c r="E51" i="11"/>
  <c r="D51" i="11" s="1"/>
  <c r="N50" i="11"/>
  <c r="M50" i="11"/>
  <c r="L50" i="11"/>
  <c r="K50" i="11"/>
  <c r="J50" i="11"/>
  <c r="I50" i="11"/>
  <c r="H50" i="11"/>
  <c r="G50" i="11"/>
  <c r="F50" i="11"/>
  <c r="E50" i="11"/>
  <c r="D50" i="11" s="1"/>
  <c r="N49" i="11"/>
  <c r="M49" i="11"/>
  <c r="L49" i="11"/>
  <c r="K49" i="11"/>
  <c r="J49" i="11"/>
  <c r="I49" i="11"/>
  <c r="H49" i="11"/>
  <c r="G49" i="11"/>
  <c r="F49" i="11"/>
  <c r="E49" i="11"/>
  <c r="D49" i="11" s="1"/>
  <c r="N48" i="11"/>
  <c r="M48" i="11"/>
  <c r="L48" i="11"/>
  <c r="K48" i="11"/>
  <c r="J48" i="11"/>
  <c r="I48" i="11"/>
  <c r="H48" i="11"/>
  <c r="G48" i="11"/>
  <c r="F48" i="11"/>
  <c r="E48" i="11"/>
  <c r="D48" i="11" s="1"/>
  <c r="N47" i="11"/>
  <c r="M47" i="11"/>
  <c r="L47" i="11"/>
  <c r="K47" i="11"/>
  <c r="J47" i="11"/>
  <c r="I47" i="11"/>
  <c r="H47" i="11"/>
  <c r="G47" i="11"/>
  <c r="F47" i="11"/>
  <c r="E47" i="11"/>
  <c r="D47" i="11" s="1"/>
  <c r="N46" i="11"/>
  <c r="M46" i="11"/>
  <c r="L46" i="11"/>
  <c r="K46" i="11"/>
  <c r="J46" i="11"/>
  <c r="I46" i="11"/>
  <c r="H46" i="11"/>
  <c r="G46" i="11"/>
  <c r="F46" i="11"/>
  <c r="E46" i="11"/>
  <c r="D46" i="11" s="1"/>
  <c r="N45" i="11"/>
  <c r="M45" i="11"/>
  <c r="L45" i="11"/>
  <c r="K45" i="11"/>
  <c r="J45" i="11"/>
  <c r="I45" i="11"/>
  <c r="H45" i="11"/>
  <c r="G45" i="11"/>
  <c r="F45" i="11"/>
  <c r="E45" i="11"/>
  <c r="D45" i="11" s="1"/>
  <c r="N44" i="11"/>
  <c r="M44" i="11"/>
  <c r="L44" i="11"/>
  <c r="K44" i="11"/>
  <c r="J44" i="11"/>
  <c r="I44" i="11"/>
  <c r="H44" i="11"/>
  <c r="G44" i="11"/>
  <c r="F44" i="11"/>
  <c r="E44" i="11"/>
  <c r="D44" i="11" s="1"/>
  <c r="N43" i="11"/>
  <c r="M43" i="11"/>
  <c r="L43" i="11"/>
  <c r="K43" i="11"/>
  <c r="J43" i="11"/>
  <c r="I43" i="11"/>
  <c r="H43" i="11"/>
  <c r="G43" i="11"/>
  <c r="F43" i="11"/>
  <c r="E43" i="11"/>
  <c r="D43" i="11" s="1"/>
  <c r="N42" i="11"/>
  <c r="M42" i="11"/>
  <c r="L42" i="11"/>
  <c r="K42" i="11"/>
  <c r="J42" i="11"/>
  <c r="I42" i="11"/>
  <c r="H42" i="11"/>
  <c r="G42" i="11"/>
  <c r="F42" i="11"/>
  <c r="E42" i="11"/>
  <c r="D42" i="11" s="1"/>
  <c r="N41" i="11"/>
  <c r="M41" i="11"/>
  <c r="L41" i="11"/>
  <c r="K41" i="11"/>
  <c r="J41" i="11"/>
  <c r="I41" i="11"/>
  <c r="H41" i="11"/>
  <c r="G41" i="11"/>
  <c r="F41" i="11"/>
  <c r="E41" i="11"/>
  <c r="D41" i="11" s="1"/>
  <c r="N40" i="11"/>
  <c r="M40" i="11"/>
  <c r="L40" i="11"/>
  <c r="K40" i="11"/>
  <c r="J40" i="11"/>
  <c r="I40" i="11"/>
  <c r="H40" i="11"/>
  <c r="G40" i="11"/>
  <c r="F40" i="11"/>
  <c r="E40" i="11"/>
  <c r="D40" i="11"/>
  <c r="N39" i="11"/>
  <c r="M39" i="11"/>
  <c r="L39" i="11"/>
  <c r="K39" i="11"/>
  <c r="J39" i="11"/>
  <c r="I39" i="11"/>
  <c r="H39" i="11"/>
  <c r="G39" i="11"/>
  <c r="F39" i="11"/>
  <c r="E39" i="11"/>
  <c r="D39" i="11" s="1"/>
  <c r="N38" i="11"/>
  <c r="M38" i="11"/>
  <c r="L38" i="11"/>
  <c r="K38" i="11"/>
  <c r="J38" i="11"/>
  <c r="I38" i="11"/>
  <c r="H38" i="11"/>
  <c r="G38" i="11"/>
  <c r="F38" i="11"/>
  <c r="E38" i="11"/>
  <c r="D38" i="11" s="1"/>
  <c r="N37" i="11"/>
  <c r="M37" i="11"/>
  <c r="L37" i="11"/>
  <c r="K37" i="11"/>
  <c r="J37" i="11"/>
  <c r="I37" i="11"/>
  <c r="H37" i="11"/>
  <c r="G37" i="11"/>
  <c r="F37" i="11"/>
  <c r="E37" i="11"/>
  <c r="D37" i="11" s="1"/>
  <c r="N36" i="11"/>
  <c r="M36" i="11"/>
  <c r="L36" i="11"/>
  <c r="K36" i="11"/>
  <c r="J36" i="11"/>
  <c r="I36" i="11"/>
  <c r="H36" i="11"/>
  <c r="G36" i="11"/>
  <c r="F36" i="11"/>
  <c r="E36" i="11"/>
  <c r="D36" i="11"/>
  <c r="N35" i="11"/>
  <c r="M35" i="11"/>
  <c r="L35" i="11"/>
  <c r="K35" i="11"/>
  <c r="J35" i="11"/>
  <c r="I35" i="11"/>
  <c r="H35" i="11"/>
  <c r="G35" i="11"/>
  <c r="F35" i="11"/>
  <c r="E35" i="11"/>
  <c r="D35" i="11" s="1"/>
  <c r="N34" i="11"/>
  <c r="M34" i="11"/>
  <c r="L34" i="11"/>
  <c r="K34" i="11"/>
  <c r="J34" i="11"/>
  <c r="I34" i="11"/>
  <c r="H34" i="11"/>
  <c r="G34" i="11"/>
  <c r="F34" i="11"/>
  <c r="E34" i="11"/>
  <c r="D34" i="11" s="1"/>
  <c r="N33" i="11"/>
  <c r="M33" i="11"/>
  <c r="L33" i="11"/>
  <c r="K33" i="11"/>
  <c r="J33" i="11"/>
  <c r="I33" i="11"/>
  <c r="H33" i="11"/>
  <c r="G33" i="11"/>
  <c r="F33" i="11"/>
  <c r="E33" i="11"/>
  <c r="D33" i="11" s="1"/>
  <c r="N32" i="11"/>
  <c r="M32" i="11"/>
  <c r="L32" i="11"/>
  <c r="K32" i="11"/>
  <c r="J32" i="11"/>
  <c r="I32" i="11"/>
  <c r="H32" i="11"/>
  <c r="G32" i="11"/>
  <c r="F32" i="11"/>
  <c r="E32" i="11"/>
  <c r="D32" i="11" s="1"/>
  <c r="N31" i="11"/>
  <c r="M31" i="11"/>
  <c r="L31" i="11"/>
  <c r="K31" i="11"/>
  <c r="J31" i="11"/>
  <c r="I31" i="11"/>
  <c r="H31" i="11"/>
  <c r="G31" i="11"/>
  <c r="F31" i="11"/>
  <c r="E31" i="11"/>
  <c r="D31" i="11" s="1"/>
  <c r="N30" i="11"/>
  <c r="M30" i="11"/>
  <c r="L30" i="11"/>
  <c r="K30" i="11"/>
  <c r="J30" i="11"/>
  <c r="I30" i="11"/>
  <c r="H30" i="11"/>
  <c r="G30" i="11"/>
  <c r="F30" i="11"/>
  <c r="E30" i="11"/>
  <c r="D30" i="11" s="1"/>
  <c r="N29" i="11"/>
  <c r="M29" i="11"/>
  <c r="L29" i="11"/>
  <c r="K29" i="11"/>
  <c r="J29" i="11"/>
  <c r="I29" i="11"/>
  <c r="H29" i="11"/>
  <c r="G29" i="11"/>
  <c r="F29" i="11"/>
  <c r="E29" i="11"/>
  <c r="D29" i="11" s="1"/>
  <c r="N28" i="11"/>
  <c r="M28" i="11"/>
  <c r="L28" i="11"/>
  <c r="K28" i="11"/>
  <c r="J28" i="11"/>
  <c r="I28" i="11"/>
  <c r="H28" i="11"/>
  <c r="G28" i="11"/>
  <c r="F28" i="11"/>
  <c r="E28" i="11"/>
  <c r="D28" i="11"/>
  <c r="N27" i="11"/>
  <c r="M27" i="11"/>
  <c r="L27" i="11"/>
  <c r="K27" i="11"/>
  <c r="J27" i="11"/>
  <c r="I27" i="11"/>
  <c r="H27" i="11"/>
  <c r="G27" i="11"/>
  <c r="F27" i="11"/>
  <c r="E27" i="11"/>
  <c r="D27" i="11" s="1"/>
  <c r="N26" i="11"/>
  <c r="M26" i="11"/>
  <c r="L26" i="11"/>
  <c r="K26" i="11"/>
  <c r="J26" i="11"/>
  <c r="I26" i="11"/>
  <c r="H26" i="11"/>
  <c r="G26" i="11"/>
  <c r="F26" i="11"/>
  <c r="E26" i="11"/>
  <c r="D26" i="11" s="1"/>
  <c r="N25" i="11"/>
  <c r="M25" i="11"/>
  <c r="L25" i="11"/>
  <c r="K25" i="11"/>
  <c r="J25" i="11"/>
  <c r="I25" i="11"/>
  <c r="H25" i="11"/>
  <c r="G25" i="11"/>
  <c r="F25" i="11"/>
  <c r="E25" i="11"/>
  <c r="D25" i="11" s="1"/>
  <c r="N24" i="11"/>
  <c r="M24" i="11"/>
  <c r="L24" i="11"/>
  <c r="K24" i="11"/>
  <c r="J24" i="11"/>
  <c r="I24" i="11"/>
  <c r="H24" i="11"/>
  <c r="G24" i="11"/>
  <c r="F24" i="11"/>
  <c r="E24" i="11"/>
  <c r="D24" i="11" s="1"/>
  <c r="N23" i="11"/>
  <c r="M23" i="11"/>
  <c r="L23" i="11"/>
  <c r="K23" i="11"/>
  <c r="J23" i="11"/>
  <c r="I23" i="11"/>
  <c r="H23" i="11"/>
  <c r="G23" i="11"/>
  <c r="F23" i="11"/>
  <c r="E23" i="11"/>
  <c r="D23" i="11" s="1"/>
  <c r="N22" i="11"/>
  <c r="M22" i="11"/>
  <c r="L22" i="11"/>
  <c r="K22" i="11"/>
  <c r="J22" i="11"/>
  <c r="I22" i="11"/>
  <c r="H22" i="11"/>
  <c r="G22" i="11"/>
  <c r="F22" i="11"/>
  <c r="E22" i="11"/>
  <c r="D22" i="11" s="1"/>
  <c r="N21" i="11"/>
  <c r="M21" i="11"/>
  <c r="L21" i="11"/>
  <c r="K21" i="11"/>
  <c r="J21" i="11"/>
  <c r="I21" i="11"/>
  <c r="H21" i="11"/>
  <c r="G21" i="11"/>
  <c r="F21" i="11"/>
  <c r="E21" i="11"/>
  <c r="D21" i="11" s="1"/>
  <c r="N20" i="11"/>
  <c r="M20" i="11"/>
  <c r="L20" i="11"/>
  <c r="K20" i="11"/>
  <c r="J20" i="11"/>
  <c r="I20" i="11"/>
  <c r="H20" i="11"/>
  <c r="G20" i="11"/>
  <c r="F20" i="11"/>
  <c r="E20" i="11"/>
  <c r="D20" i="11"/>
  <c r="N19" i="11"/>
  <c r="M19" i="11"/>
  <c r="L19" i="11"/>
  <c r="K19" i="11"/>
  <c r="J19" i="11"/>
  <c r="I19" i="11"/>
  <c r="H19" i="11"/>
  <c r="G19" i="11"/>
  <c r="F19" i="11"/>
  <c r="E19" i="11"/>
  <c r="D19" i="11" s="1"/>
  <c r="N18" i="11"/>
  <c r="M18" i="11"/>
  <c r="L18" i="11"/>
  <c r="K18" i="11"/>
  <c r="J18" i="11"/>
  <c r="I18" i="11"/>
  <c r="H18" i="11"/>
  <c r="G18" i="11"/>
  <c r="F18" i="11"/>
  <c r="E18" i="11"/>
  <c r="D18" i="11" s="1"/>
  <c r="N17" i="11"/>
  <c r="M17" i="11"/>
  <c r="L17" i="11"/>
  <c r="K17" i="11"/>
  <c r="J17" i="11"/>
  <c r="I17" i="11"/>
  <c r="H17" i="11"/>
  <c r="G17" i="11"/>
  <c r="F17" i="11"/>
  <c r="E17" i="11"/>
  <c r="D17" i="11" s="1"/>
  <c r="N16" i="11"/>
  <c r="M16" i="11"/>
  <c r="L16" i="11"/>
  <c r="K16" i="11"/>
  <c r="J16" i="11"/>
  <c r="I16" i="11"/>
  <c r="H16" i="11"/>
  <c r="G16" i="11"/>
  <c r="F16" i="11"/>
  <c r="E16" i="11"/>
  <c r="D16" i="11"/>
  <c r="N15" i="11"/>
  <c r="M15" i="11"/>
  <c r="L15" i="11"/>
  <c r="K15" i="11"/>
  <c r="J15" i="11"/>
  <c r="I15" i="11"/>
  <c r="H15" i="11"/>
  <c r="G15" i="11"/>
  <c r="F15" i="11"/>
  <c r="E15" i="11"/>
  <c r="D15" i="11" s="1"/>
  <c r="N14" i="11"/>
  <c r="M14" i="11"/>
  <c r="L14" i="11"/>
  <c r="K14" i="11"/>
  <c r="J14" i="11"/>
  <c r="I14" i="11"/>
  <c r="H14" i="11"/>
  <c r="G14" i="11"/>
  <c r="F14" i="11"/>
  <c r="E14" i="11"/>
  <c r="D14" i="11" s="1"/>
  <c r="N13" i="11"/>
  <c r="M13" i="11"/>
  <c r="L13" i="11"/>
  <c r="K13" i="11"/>
  <c r="J13" i="11"/>
  <c r="I13" i="11"/>
  <c r="H13" i="11"/>
  <c r="G13" i="11"/>
  <c r="F13" i="11"/>
  <c r="E13" i="11"/>
  <c r="D13" i="11" s="1"/>
  <c r="N12" i="11"/>
  <c r="M12" i="11"/>
  <c r="L12" i="11"/>
  <c r="K12" i="11"/>
  <c r="J12" i="11"/>
  <c r="I12" i="11"/>
  <c r="H12" i="11"/>
  <c r="G12" i="11"/>
  <c r="F12" i="11"/>
  <c r="E12" i="11"/>
  <c r="D12" i="11"/>
  <c r="N11" i="11"/>
  <c r="M11" i="11"/>
  <c r="L11" i="11"/>
  <c r="K11" i="11"/>
  <c r="J11" i="11"/>
  <c r="I11" i="11"/>
  <c r="H11" i="11"/>
  <c r="G11" i="11"/>
  <c r="F11" i="11"/>
  <c r="E11" i="11"/>
  <c r="D11" i="11" s="1"/>
  <c r="N10" i="11"/>
  <c r="M10" i="11"/>
  <c r="L10" i="11"/>
  <c r="K10" i="11"/>
  <c r="J10" i="11"/>
  <c r="I10" i="11"/>
  <c r="H10" i="11"/>
  <c r="G10" i="11"/>
  <c r="F10" i="11"/>
  <c r="E10" i="11"/>
  <c r="N9" i="11"/>
  <c r="M9" i="11"/>
  <c r="L9" i="11"/>
  <c r="K9" i="11"/>
  <c r="J9" i="11"/>
  <c r="I9" i="11"/>
  <c r="H9" i="11"/>
  <c r="G9" i="11"/>
  <c r="F9" i="11"/>
  <c r="E9" i="11"/>
  <c r="N8" i="11"/>
  <c r="M8" i="11"/>
  <c r="L8" i="11"/>
  <c r="K8" i="11"/>
  <c r="J8" i="11"/>
  <c r="I8" i="11"/>
  <c r="H8" i="11"/>
  <c r="G8" i="11"/>
  <c r="F8" i="11"/>
  <c r="E8" i="11"/>
  <c r="N7" i="11"/>
  <c r="M7" i="11"/>
  <c r="L7" i="11"/>
  <c r="K7" i="11"/>
  <c r="J7" i="11"/>
  <c r="I7" i="11"/>
  <c r="H7" i="11"/>
  <c r="G7" i="11"/>
  <c r="F7" i="11"/>
  <c r="E7" i="11"/>
  <c r="N6" i="11"/>
  <c r="M6" i="11"/>
  <c r="L6" i="11"/>
  <c r="K6" i="11"/>
  <c r="J6" i="11"/>
  <c r="I6" i="11"/>
  <c r="H6" i="11"/>
  <c r="G6" i="11"/>
  <c r="F6" i="11"/>
  <c r="E6" i="11"/>
  <c r="S172" i="10"/>
  <c r="R172" i="10"/>
  <c r="Q172" i="10"/>
  <c r="P172" i="10"/>
  <c r="O172" i="10"/>
  <c r="N172" i="10"/>
  <c r="M172" i="10"/>
  <c r="L172" i="10"/>
  <c r="K172" i="10"/>
  <c r="J172" i="10"/>
  <c r="I172" i="10"/>
  <c r="H172" i="10"/>
  <c r="G172" i="10"/>
  <c r="F172" i="10"/>
  <c r="E172" i="10"/>
  <c r="D172" i="10"/>
  <c r="C172" i="10"/>
  <c r="B172" i="10"/>
  <c r="A172" i="10"/>
  <c r="S171" i="10"/>
  <c r="R171" i="10"/>
  <c r="Q171" i="10"/>
  <c r="P171" i="10"/>
  <c r="O171" i="10"/>
  <c r="N171" i="10"/>
  <c r="M171" i="10"/>
  <c r="L171" i="10"/>
  <c r="K171" i="10"/>
  <c r="J171" i="10"/>
  <c r="I171" i="10"/>
  <c r="H171" i="10"/>
  <c r="G171" i="10"/>
  <c r="F171" i="10"/>
  <c r="E171" i="10"/>
  <c r="D171" i="10"/>
  <c r="C171" i="10"/>
  <c r="B171" i="10"/>
  <c r="A171" i="10"/>
  <c r="S170" i="10"/>
  <c r="R170" i="10"/>
  <c r="Q170" i="10"/>
  <c r="P170" i="10"/>
  <c r="O170" i="10"/>
  <c r="N170" i="10"/>
  <c r="M170" i="10"/>
  <c r="L170" i="10"/>
  <c r="K170" i="10"/>
  <c r="J170" i="10"/>
  <c r="I170" i="10"/>
  <c r="H170" i="10"/>
  <c r="G170" i="10"/>
  <c r="F170" i="10"/>
  <c r="E170" i="10"/>
  <c r="D170" i="10"/>
  <c r="C170" i="10"/>
  <c r="B170" i="10"/>
  <c r="A170" i="10"/>
  <c r="S169" i="10"/>
  <c r="R169" i="10"/>
  <c r="Q169" i="10"/>
  <c r="P169" i="10"/>
  <c r="O169" i="10"/>
  <c r="N169" i="10"/>
  <c r="M169" i="10"/>
  <c r="L169" i="10"/>
  <c r="K169" i="10"/>
  <c r="J169" i="10"/>
  <c r="I169" i="10"/>
  <c r="H169" i="10"/>
  <c r="G169" i="10"/>
  <c r="F169" i="10"/>
  <c r="E169" i="10"/>
  <c r="D169" i="10"/>
  <c r="C169" i="10"/>
  <c r="B169" i="10"/>
  <c r="A169" i="10"/>
  <c r="S168" i="10"/>
  <c r="R168" i="10"/>
  <c r="Q168" i="10"/>
  <c r="P168" i="10"/>
  <c r="O168" i="10"/>
  <c r="N168" i="10"/>
  <c r="M168" i="10"/>
  <c r="L168" i="10"/>
  <c r="K168" i="10"/>
  <c r="J168" i="10"/>
  <c r="I168" i="10"/>
  <c r="H168" i="10"/>
  <c r="G168" i="10"/>
  <c r="F168" i="10"/>
  <c r="E168" i="10"/>
  <c r="D168" i="10"/>
  <c r="C168" i="10"/>
  <c r="B168" i="10"/>
  <c r="A168" i="10"/>
  <c r="S167" i="10"/>
  <c r="R167" i="10"/>
  <c r="Q167" i="10"/>
  <c r="P167" i="10"/>
  <c r="O167" i="10"/>
  <c r="N167" i="10"/>
  <c r="M167" i="10"/>
  <c r="L167" i="10"/>
  <c r="K167" i="10"/>
  <c r="J167" i="10"/>
  <c r="I167" i="10"/>
  <c r="H167" i="10"/>
  <c r="G167" i="10"/>
  <c r="F167" i="10"/>
  <c r="E167" i="10"/>
  <c r="D167" i="10"/>
  <c r="C167" i="10"/>
  <c r="B167" i="10"/>
  <c r="A167" i="10"/>
  <c r="S166" i="10"/>
  <c r="R166" i="10"/>
  <c r="Q166" i="10"/>
  <c r="P166" i="10"/>
  <c r="O166" i="10"/>
  <c r="N166" i="10"/>
  <c r="M166" i="10"/>
  <c r="L166" i="10"/>
  <c r="K166" i="10"/>
  <c r="J166" i="10"/>
  <c r="I166" i="10"/>
  <c r="H166" i="10"/>
  <c r="G166" i="10"/>
  <c r="F166" i="10"/>
  <c r="E166" i="10"/>
  <c r="D166" i="10"/>
  <c r="C166" i="10"/>
  <c r="B166" i="10"/>
  <c r="A166" i="10"/>
  <c r="S165" i="10"/>
  <c r="R165" i="10"/>
  <c r="Q165" i="10"/>
  <c r="P165" i="10"/>
  <c r="O165" i="10"/>
  <c r="N165" i="10"/>
  <c r="M165" i="10"/>
  <c r="L165" i="10"/>
  <c r="K165" i="10"/>
  <c r="J165" i="10"/>
  <c r="I165" i="10"/>
  <c r="H165" i="10"/>
  <c r="G165" i="10"/>
  <c r="F165" i="10"/>
  <c r="E165" i="10"/>
  <c r="D165" i="10"/>
  <c r="C165" i="10"/>
  <c r="B165" i="10"/>
  <c r="A165" i="10"/>
  <c r="S164" i="10"/>
  <c r="R164" i="10"/>
  <c r="Q164" i="10"/>
  <c r="P164" i="10"/>
  <c r="O164" i="10"/>
  <c r="N164" i="10"/>
  <c r="M164" i="10"/>
  <c r="L164" i="10"/>
  <c r="K164" i="10"/>
  <c r="J164" i="10"/>
  <c r="I164" i="10"/>
  <c r="H164" i="10"/>
  <c r="G164" i="10"/>
  <c r="F164" i="10"/>
  <c r="E164" i="10"/>
  <c r="D164" i="10"/>
  <c r="C164" i="10"/>
  <c r="B164" i="10"/>
  <c r="A164" i="10"/>
  <c r="S163" i="10"/>
  <c r="R163" i="10"/>
  <c r="Q163" i="10"/>
  <c r="P163" i="10"/>
  <c r="O163" i="10"/>
  <c r="N163" i="10"/>
  <c r="M163" i="10"/>
  <c r="L163" i="10"/>
  <c r="K163" i="10"/>
  <c r="J163" i="10"/>
  <c r="I163" i="10"/>
  <c r="H163" i="10"/>
  <c r="G163" i="10"/>
  <c r="F163" i="10"/>
  <c r="E163" i="10"/>
  <c r="D163" i="10"/>
  <c r="C163" i="10"/>
  <c r="B163" i="10"/>
  <c r="A163" i="10"/>
  <c r="S162" i="10"/>
  <c r="R162" i="10"/>
  <c r="Q162" i="10"/>
  <c r="P162" i="10"/>
  <c r="O162" i="10"/>
  <c r="N162" i="10"/>
  <c r="M162" i="10"/>
  <c r="L162" i="10"/>
  <c r="K162" i="10"/>
  <c r="J162" i="10"/>
  <c r="I162" i="10"/>
  <c r="H162" i="10"/>
  <c r="G162" i="10"/>
  <c r="F162" i="10"/>
  <c r="E162" i="10"/>
  <c r="D162" i="10"/>
  <c r="C162" i="10"/>
  <c r="B162" i="10"/>
  <c r="A162" i="10"/>
  <c r="S161" i="10"/>
  <c r="R161" i="10"/>
  <c r="Q161" i="10"/>
  <c r="P161" i="10"/>
  <c r="O161" i="10"/>
  <c r="N161" i="10"/>
  <c r="M161" i="10"/>
  <c r="L161" i="10"/>
  <c r="K161" i="10"/>
  <c r="J161" i="10"/>
  <c r="I161" i="10"/>
  <c r="H161" i="10"/>
  <c r="G161" i="10"/>
  <c r="F161" i="10"/>
  <c r="E161" i="10"/>
  <c r="D161" i="10"/>
  <c r="C161" i="10"/>
  <c r="B161" i="10"/>
  <c r="A161" i="10"/>
  <c r="S160" i="10"/>
  <c r="R160" i="10"/>
  <c r="Q160" i="10"/>
  <c r="P160" i="10"/>
  <c r="O160" i="10"/>
  <c r="N160" i="10"/>
  <c r="M160" i="10"/>
  <c r="L160" i="10"/>
  <c r="K160" i="10"/>
  <c r="J160" i="10"/>
  <c r="I160" i="10"/>
  <c r="H160" i="10"/>
  <c r="G160" i="10"/>
  <c r="F160" i="10"/>
  <c r="E160" i="10"/>
  <c r="D160" i="10"/>
  <c r="C160" i="10"/>
  <c r="B160" i="10"/>
  <c r="A160" i="10"/>
  <c r="S159" i="10"/>
  <c r="R159" i="10"/>
  <c r="Q159" i="10"/>
  <c r="P159" i="10"/>
  <c r="O159" i="10"/>
  <c r="N159" i="10"/>
  <c r="M159" i="10"/>
  <c r="L159" i="10"/>
  <c r="K159" i="10"/>
  <c r="J159" i="10"/>
  <c r="I159" i="10"/>
  <c r="H159" i="10"/>
  <c r="G159" i="10"/>
  <c r="F159" i="10"/>
  <c r="E159" i="10"/>
  <c r="D159" i="10"/>
  <c r="C159" i="10"/>
  <c r="B159" i="10"/>
  <c r="A159" i="10"/>
  <c r="S158" i="10"/>
  <c r="R158" i="10"/>
  <c r="Q158" i="10"/>
  <c r="P158" i="10"/>
  <c r="O158" i="10"/>
  <c r="N158" i="10"/>
  <c r="M158" i="10"/>
  <c r="L158" i="10"/>
  <c r="K158" i="10"/>
  <c r="J158" i="10"/>
  <c r="I158" i="10"/>
  <c r="H158" i="10"/>
  <c r="G158" i="10"/>
  <c r="F158" i="10"/>
  <c r="E158" i="10"/>
  <c r="D158" i="10"/>
  <c r="C158" i="10"/>
  <c r="B158" i="10"/>
  <c r="A158" i="10"/>
  <c r="S157" i="10"/>
  <c r="R157" i="10"/>
  <c r="Q157" i="10"/>
  <c r="P157" i="10"/>
  <c r="O157" i="10"/>
  <c r="N157" i="10"/>
  <c r="M157" i="10"/>
  <c r="L157" i="10"/>
  <c r="K157" i="10"/>
  <c r="J157" i="10"/>
  <c r="I157" i="10"/>
  <c r="H157" i="10"/>
  <c r="G157" i="10"/>
  <c r="F157" i="10"/>
  <c r="E157" i="10"/>
  <c r="D157" i="10"/>
  <c r="C157" i="10"/>
  <c r="B157" i="10"/>
  <c r="A157" i="10"/>
  <c r="S156" i="10"/>
  <c r="R156" i="10"/>
  <c r="Q156" i="10"/>
  <c r="P156" i="10"/>
  <c r="O156" i="10"/>
  <c r="N156" i="10"/>
  <c r="M156" i="10"/>
  <c r="L156" i="10"/>
  <c r="K156" i="10"/>
  <c r="J156" i="10"/>
  <c r="I156" i="10"/>
  <c r="H156" i="10"/>
  <c r="G156" i="10"/>
  <c r="F156" i="10"/>
  <c r="E156" i="10"/>
  <c r="D156" i="10"/>
  <c r="C156" i="10"/>
  <c r="B156" i="10"/>
  <c r="A156" i="10"/>
  <c r="S155" i="10"/>
  <c r="R155" i="10"/>
  <c r="Q155" i="10"/>
  <c r="P155" i="10"/>
  <c r="O155" i="10"/>
  <c r="N155" i="10"/>
  <c r="M155" i="10"/>
  <c r="L155" i="10"/>
  <c r="K155" i="10"/>
  <c r="J155" i="10"/>
  <c r="I155" i="10"/>
  <c r="H155" i="10"/>
  <c r="G155" i="10"/>
  <c r="F155" i="10"/>
  <c r="E155" i="10"/>
  <c r="D155" i="10"/>
  <c r="C155" i="10"/>
  <c r="B155" i="10"/>
  <c r="A155" i="10"/>
  <c r="S154" i="10"/>
  <c r="R154" i="10"/>
  <c r="Q154" i="10"/>
  <c r="P154" i="10"/>
  <c r="O154" i="10"/>
  <c r="N154" i="10"/>
  <c r="M154" i="10"/>
  <c r="L154" i="10"/>
  <c r="K154" i="10"/>
  <c r="J154" i="10"/>
  <c r="I154" i="10"/>
  <c r="H154" i="10"/>
  <c r="G154" i="10"/>
  <c r="F154" i="10"/>
  <c r="E154" i="10"/>
  <c r="D154" i="10"/>
  <c r="C154" i="10"/>
  <c r="B154" i="10"/>
  <c r="A154" i="10"/>
  <c r="S153" i="10"/>
  <c r="R153" i="10"/>
  <c r="Q153" i="10"/>
  <c r="P153" i="10"/>
  <c r="O153" i="10"/>
  <c r="N153" i="10"/>
  <c r="M153" i="10"/>
  <c r="L153" i="10"/>
  <c r="K153" i="10"/>
  <c r="J153" i="10"/>
  <c r="I153" i="10"/>
  <c r="H153" i="10"/>
  <c r="G153" i="10"/>
  <c r="F153" i="10"/>
  <c r="E153" i="10"/>
  <c r="D153" i="10"/>
  <c r="C153" i="10"/>
  <c r="B153" i="10"/>
  <c r="A153" i="10"/>
  <c r="S152" i="10"/>
  <c r="R152" i="10"/>
  <c r="Q152" i="10"/>
  <c r="P152" i="10"/>
  <c r="O152" i="10"/>
  <c r="N152" i="10"/>
  <c r="M152" i="10"/>
  <c r="L152" i="10"/>
  <c r="K152" i="10"/>
  <c r="J152" i="10"/>
  <c r="I152" i="10"/>
  <c r="H152" i="10"/>
  <c r="G152" i="10"/>
  <c r="F152" i="10"/>
  <c r="E152" i="10"/>
  <c r="D152" i="10"/>
  <c r="C152" i="10"/>
  <c r="B152" i="10"/>
  <c r="A152" i="10"/>
  <c r="S151" i="10"/>
  <c r="R151" i="10"/>
  <c r="Q151" i="10"/>
  <c r="P151" i="10"/>
  <c r="O151" i="10"/>
  <c r="N151" i="10"/>
  <c r="M151" i="10"/>
  <c r="L151" i="10"/>
  <c r="K151" i="10"/>
  <c r="J151" i="10"/>
  <c r="I151" i="10"/>
  <c r="H151" i="10"/>
  <c r="G151" i="10"/>
  <c r="F151" i="10"/>
  <c r="E151" i="10"/>
  <c r="D151" i="10"/>
  <c r="C151" i="10"/>
  <c r="B151" i="10"/>
  <c r="A151" i="10"/>
  <c r="S150" i="10"/>
  <c r="R150" i="10"/>
  <c r="Q150" i="10"/>
  <c r="P150" i="10"/>
  <c r="O150" i="10"/>
  <c r="N150" i="10"/>
  <c r="M150" i="10"/>
  <c r="L150" i="10"/>
  <c r="K150" i="10"/>
  <c r="J150" i="10"/>
  <c r="I150" i="10"/>
  <c r="H150" i="10"/>
  <c r="G150" i="10"/>
  <c r="F150" i="10"/>
  <c r="E150" i="10"/>
  <c r="D150" i="10"/>
  <c r="C150" i="10"/>
  <c r="B150" i="10"/>
  <c r="A150" i="10"/>
  <c r="S149" i="10"/>
  <c r="R149" i="10"/>
  <c r="Q149" i="10"/>
  <c r="P149" i="10"/>
  <c r="O149" i="10"/>
  <c r="N149" i="10"/>
  <c r="M149" i="10"/>
  <c r="L149" i="10"/>
  <c r="K149" i="10"/>
  <c r="J149" i="10"/>
  <c r="I149" i="10"/>
  <c r="H149" i="10"/>
  <c r="G149" i="10"/>
  <c r="F149" i="10"/>
  <c r="E149" i="10"/>
  <c r="D149" i="10"/>
  <c r="C149" i="10"/>
  <c r="B149" i="10"/>
  <c r="A149" i="10"/>
  <c r="S148" i="10"/>
  <c r="R148" i="10"/>
  <c r="Q148" i="10"/>
  <c r="P148" i="10"/>
  <c r="O148" i="10"/>
  <c r="N148" i="10"/>
  <c r="M148" i="10"/>
  <c r="L148" i="10"/>
  <c r="K148" i="10"/>
  <c r="J148" i="10"/>
  <c r="I148" i="10"/>
  <c r="H148" i="10"/>
  <c r="G148" i="10"/>
  <c r="F148" i="10"/>
  <c r="E148" i="10"/>
  <c r="D148" i="10"/>
  <c r="C148" i="10"/>
  <c r="B148" i="10"/>
  <c r="A148" i="10"/>
  <c r="S147" i="10"/>
  <c r="R147" i="10"/>
  <c r="Q147" i="10"/>
  <c r="P147" i="10"/>
  <c r="O147" i="10"/>
  <c r="N147" i="10"/>
  <c r="M147" i="10"/>
  <c r="L147" i="10"/>
  <c r="K147" i="10"/>
  <c r="J147" i="10"/>
  <c r="I147" i="10"/>
  <c r="H147" i="10"/>
  <c r="G147" i="10"/>
  <c r="F147" i="10"/>
  <c r="E147" i="10"/>
  <c r="D147" i="10"/>
  <c r="C147" i="10"/>
  <c r="B147" i="10"/>
  <c r="A147" i="10"/>
  <c r="S146" i="10"/>
  <c r="R146" i="10"/>
  <c r="Q146" i="10"/>
  <c r="P146" i="10"/>
  <c r="O146" i="10"/>
  <c r="N146" i="10"/>
  <c r="M146" i="10"/>
  <c r="L146" i="10"/>
  <c r="K146" i="10"/>
  <c r="J146" i="10"/>
  <c r="I146" i="10"/>
  <c r="H146" i="10"/>
  <c r="G146" i="10"/>
  <c r="F146" i="10"/>
  <c r="E146" i="10"/>
  <c r="D146" i="10"/>
  <c r="C146" i="10"/>
  <c r="B146" i="10"/>
  <c r="A146" i="10"/>
  <c r="S145" i="10"/>
  <c r="R145" i="10"/>
  <c r="Q145" i="10"/>
  <c r="P145" i="10"/>
  <c r="O145" i="10"/>
  <c r="N145" i="10"/>
  <c r="M145" i="10"/>
  <c r="L145" i="10"/>
  <c r="K145" i="10"/>
  <c r="J145" i="10"/>
  <c r="I145" i="10"/>
  <c r="H145" i="10"/>
  <c r="G145" i="10"/>
  <c r="F145" i="10"/>
  <c r="E145" i="10"/>
  <c r="D145" i="10"/>
  <c r="C145" i="10"/>
  <c r="B145" i="10"/>
  <c r="A145" i="10"/>
  <c r="S144" i="10"/>
  <c r="R144" i="10"/>
  <c r="Q144" i="10"/>
  <c r="P144" i="10"/>
  <c r="O144" i="10"/>
  <c r="N144" i="10"/>
  <c r="M144" i="10"/>
  <c r="L144" i="10"/>
  <c r="K144" i="10"/>
  <c r="J144" i="10"/>
  <c r="I144" i="10"/>
  <c r="H144" i="10"/>
  <c r="G144" i="10"/>
  <c r="F144" i="10"/>
  <c r="E144" i="10"/>
  <c r="D144" i="10"/>
  <c r="C144" i="10"/>
  <c r="B144" i="10"/>
  <c r="A144" i="10"/>
  <c r="S143" i="10"/>
  <c r="R143" i="10"/>
  <c r="Q143" i="10"/>
  <c r="P143" i="10"/>
  <c r="O143" i="10"/>
  <c r="N143" i="10"/>
  <c r="M143" i="10"/>
  <c r="L143" i="10"/>
  <c r="K143" i="10"/>
  <c r="J143" i="10"/>
  <c r="I143" i="10"/>
  <c r="H143" i="10"/>
  <c r="G143" i="10"/>
  <c r="F143" i="10"/>
  <c r="E143" i="10"/>
  <c r="D143" i="10"/>
  <c r="C143" i="10"/>
  <c r="B143" i="10"/>
  <c r="A143" i="10"/>
  <c r="S142" i="10"/>
  <c r="R142" i="10"/>
  <c r="Q142" i="10"/>
  <c r="P142" i="10"/>
  <c r="O142" i="10"/>
  <c r="N142" i="10"/>
  <c r="M142" i="10"/>
  <c r="L142" i="10"/>
  <c r="K142" i="10"/>
  <c r="J142" i="10"/>
  <c r="I142" i="10"/>
  <c r="H142" i="10"/>
  <c r="G142" i="10"/>
  <c r="F142" i="10"/>
  <c r="E142" i="10"/>
  <c r="D142" i="10"/>
  <c r="C142" i="10"/>
  <c r="B142" i="10"/>
  <c r="A142" i="10"/>
  <c r="S141" i="10"/>
  <c r="R141" i="10"/>
  <c r="Q141" i="10"/>
  <c r="P141" i="10"/>
  <c r="O141" i="10"/>
  <c r="N141" i="10"/>
  <c r="M141" i="10"/>
  <c r="L141" i="10"/>
  <c r="K141" i="10"/>
  <c r="J141" i="10"/>
  <c r="I141" i="10"/>
  <c r="H141" i="10"/>
  <c r="G141" i="10"/>
  <c r="F141" i="10"/>
  <c r="E141" i="10"/>
  <c r="D141" i="10"/>
  <c r="C141" i="10"/>
  <c r="B141" i="10"/>
  <c r="A141" i="10"/>
  <c r="S140" i="10"/>
  <c r="R140" i="10"/>
  <c r="Q140" i="10"/>
  <c r="P140" i="10"/>
  <c r="O140" i="10"/>
  <c r="N140" i="10"/>
  <c r="M140" i="10"/>
  <c r="L140" i="10"/>
  <c r="K140" i="10"/>
  <c r="J140" i="10"/>
  <c r="I140" i="10"/>
  <c r="H140" i="10"/>
  <c r="G140" i="10"/>
  <c r="F140" i="10"/>
  <c r="E140" i="10"/>
  <c r="D140" i="10"/>
  <c r="C140" i="10"/>
  <c r="B140" i="10"/>
  <c r="A140" i="10"/>
  <c r="S139" i="10"/>
  <c r="R139" i="10"/>
  <c r="Q139" i="10"/>
  <c r="P139" i="10"/>
  <c r="O139" i="10"/>
  <c r="N139" i="10"/>
  <c r="M139" i="10"/>
  <c r="L139" i="10"/>
  <c r="K139" i="10"/>
  <c r="J139" i="10"/>
  <c r="I139" i="10"/>
  <c r="H139" i="10"/>
  <c r="G139" i="10"/>
  <c r="F139" i="10"/>
  <c r="E139" i="10"/>
  <c r="D139" i="10"/>
  <c r="C139" i="10"/>
  <c r="B139" i="10"/>
  <c r="A139" i="10"/>
  <c r="S138" i="10"/>
  <c r="R138" i="10"/>
  <c r="Q138" i="10"/>
  <c r="P138" i="10"/>
  <c r="O138" i="10"/>
  <c r="N138" i="10"/>
  <c r="M138" i="10"/>
  <c r="L138" i="10"/>
  <c r="K138" i="10"/>
  <c r="J138" i="10"/>
  <c r="I138" i="10"/>
  <c r="H138" i="10"/>
  <c r="G138" i="10"/>
  <c r="F138" i="10"/>
  <c r="E138" i="10"/>
  <c r="D138" i="10"/>
  <c r="C138" i="10"/>
  <c r="B138" i="10"/>
  <c r="A138" i="10"/>
  <c r="S137" i="10"/>
  <c r="R137" i="10"/>
  <c r="Q137" i="10"/>
  <c r="P137" i="10"/>
  <c r="O137" i="10"/>
  <c r="N137" i="10"/>
  <c r="M137" i="10"/>
  <c r="L137" i="10"/>
  <c r="K137" i="10"/>
  <c r="J137" i="10"/>
  <c r="I137" i="10"/>
  <c r="H137" i="10"/>
  <c r="G137" i="10"/>
  <c r="F137" i="10"/>
  <c r="E137" i="10"/>
  <c r="D137" i="10"/>
  <c r="C137" i="10"/>
  <c r="B137" i="10"/>
  <c r="A137" i="10"/>
  <c r="S136" i="10"/>
  <c r="R136" i="10"/>
  <c r="Q136" i="10"/>
  <c r="P136" i="10"/>
  <c r="O136" i="10"/>
  <c r="N136" i="10"/>
  <c r="M136" i="10"/>
  <c r="L136" i="10"/>
  <c r="K136" i="10"/>
  <c r="J136" i="10"/>
  <c r="I136" i="10"/>
  <c r="H136" i="10"/>
  <c r="G136" i="10"/>
  <c r="F136" i="10"/>
  <c r="E136" i="10"/>
  <c r="D136" i="10"/>
  <c r="C136" i="10"/>
  <c r="B136" i="10"/>
  <c r="A136" i="10"/>
  <c r="S135" i="10"/>
  <c r="R135" i="10"/>
  <c r="Q135" i="10"/>
  <c r="P135" i="10"/>
  <c r="O135" i="10"/>
  <c r="N135" i="10"/>
  <c r="M135" i="10"/>
  <c r="L135" i="10"/>
  <c r="K135" i="10"/>
  <c r="J135" i="10"/>
  <c r="I135" i="10"/>
  <c r="H135" i="10"/>
  <c r="G135" i="10"/>
  <c r="F135" i="10"/>
  <c r="E135" i="10"/>
  <c r="D135" i="10"/>
  <c r="C135" i="10"/>
  <c r="B135" i="10"/>
  <c r="A135" i="10"/>
  <c r="S134" i="10"/>
  <c r="R134" i="10"/>
  <c r="Q134" i="10"/>
  <c r="P134" i="10"/>
  <c r="O134" i="10"/>
  <c r="N134" i="10"/>
  <c r="M134" i="10"/>
  <c r="L134" i="10"/>
  <c r="K134" i="10"/>
  <c r="J134" i="10"/>
  <c r="I134" i="10"/>
  <c r="H134" i="10"/>
  <c r="G134" i="10"/>
  <c r="F134" i="10"/>
  <c r="E134" i="10"/>
  <c r="D134" i="10"/>
  <c r="C134" i="10"/>
  <c r="B134" i="10"/>
  <c r="A134" i="10"/>
  <c r="S133" i="10"/>
  <c r="R133" i="10"/>
  <c r="Q133" i="10"/>
  <c r="P133" i="10"/>
  <c r="O133" i="10"/>
  <c r="N133" i="10"/>
  <c r="M133" i="10"/>
  <c r="L133" i="10"/>
  <c r="K133" i="10"/>
  <c r="J133" i="10"/>
  <c r="I133" i="10"/>
  <c r="H133" i="10"/>
  <c r="G133" i="10"/>
  <c r="F133" i="10"/>
  <c r="E133" i="10"/>
  <c r="D133" i="10"/>
  <c r="C133" i="10"/>
  <c r="B133" i="10"/>
  <c r="A133" i="10"/>
  <c r="S132" i="10"/>
  <c r="R132" i="10"/>
  <c r="Q132" i="10"/>
  <c r="P132" i="10"/>
  <c r="O132" i="10"/>
  <c r="N132" i="10"/>
  <c r="M132" i="10"/>
  <c r="L132" i="10"/>
  <c r="K132" i="10"/>
  <c r="J132" i="10"/>
  <c r="I132" i="10"/>
  <c r="H132" i="10"/>
  <c r="G132" i="10"/>
  <c r="F132" i="10"/>
  <c r="E132" i="10"/>
  <c r="D132" i="10"/>
  <c r="C132" i="10"/>
  <c r="B132" i="10"/>
  <c r="A132" i="10"/>
  <c r="S131" i="10"/>
  <c r="R131" i="10"/>
  <c r="Q131" i="10"/>
  <c r="P131" i="10"/>
  <c r="O131" i="10"/>
  <c r="N131" i="10"/>
  <c r="M131" i="10"/>
  <c r="L131" i="10"/>
  <c r="K131" i="10"/>
  <c r="J131" i="10"/>
  <c r="I131" i="10"/>
  <c r="H131" i="10"/>
  <c r="G131" i="10"/>
  <c r="F131" i="10"/>
  <c r="E131" i="10"/>
  <c r="D131" i="10"/>
  <c r="C131" i="10"/>
  <c r="B131" i="10"/>
  <c r="A131" i="10"/>
  <c r="S130" i="10"/>
  <c r="R130" i="10"/>
  <c r="Q130" i="10"/>
  <c r="P130" i="10"/>
  <c r="O130" i="10"/>
  <c r="N130" i="10"/>
  <c r="M130" i="10"/>
  <c r="L130" i="10"/>
  <c r="K130" i="10"/>
  <c r="J130" i="10"/>
  <c r="I130" i="10"/>
  <c r="H130" i="10"/>
  <c r="G130" i="10"/>
  <c r="F130" i="10"/>
  <c r="E130" i="10"/>
  <c r="D130" i="10"/>
  <c r="C130" i="10"/>
  <c r="B130" i="10"/>
  <c r="A130" i="10"/>
  <c r="S129" i="10"/>
  <c r="R129" i="10"/>
  <c r="Q129" i="10"/>
  <c r="P129" i="10"/>
  <c r="O129" i="10"/>
  <c r="N129" i="10"/>
  <c r="M129" i="10"/>
  <c r="L129" i="10"/>
  <c r="K129" i="10"/>
  <c r="J129" i="10"/>
  <c r="I129" i="10"/>
  <c r="H129" i="10"/>
  <c r="G129" i="10"/>
  <c r="F129" i="10"/>
  <c r="E129" i="10"/>
  <c r="D129" i="10"/>
  <c r="C129" i="10"/>
  <c r="B129" i="10"/>
  <c r="A129" i="10"/>
  <c r="S128" i="10"/>
  <c r="R128" i="10"/>
  <c r="Q128" i="10"/>
  <c r="P128" i="10"/>
  <c r="O128" i="10"/>
  <c r="N128" i="10"/>
  <c r="M128" i="10"/>
  <c r="L128" i="10"/>
  <c r="K128" i="10"/>
  <c r="J128" i="10"/>
  <c r="I128" i="10"/>
  <c r="H128" i="10"/>
  <c r="G128" i="10"/>
  <c r="F128" i="10"/>
  <c r="E128" i="10"/>
  <c r="D128" i="10"/>
  <c r="C128" i="10"/>
  <c r="B128" i="10"/>
  <c r="A128" i="10"/>
  <c r="S127" i="10"/>
  <c r="R127" i="10"/>
  <c r="Q127" i="10"/>
  <c r="P127" i="10"/>
  <c r="O127" i="10"/>
  <c r="N127" i="10"/>
  <c r="M127" i="10"/>
  <c r="L127" i="10"/>
  <c r="K127" i="10"/>
  <c r="J127" i="10"/>
  <c r="I127" i="10"/>
  <c r="H127" i="10"/>
  <c r="G127" i="10"/>
  <c r="F127" i="10"/>
  <c r="E127" i="10"/>
  <c r="D127" i="10"/>
  <c r="C127" i="10"/>
  <c r="B127" i="10"/>
  <c r="A127" i="10"/>
  <c r="S126" i="10"/>
  <c r="R126" i="10"/>
  <c r="Q126" i="10"/>
  <c r="P126" i="10"/>
  <c r="O126" i="10"/>
  <c r="N126" i="10"/>
  <c r="M126" i="10"/>
  <c r="L126" i="10"/>
  <c r="K126" i="10"/>
  <c r="J126" i="10"/>
  <c r="I126" i="10"/>
  <c r="H126" i="10"/>
  <c r="G126" i="10"/>
  <c r="F126" i="10"/>
  <c r="E126" i="10"/>
  <c r="D126" i="10"/>
  <c r="C126" i="10"/>
  <c r="B126" i="10"/>
  <c r="A126" i="10"/>
  <c r="S125" i="10"/>
  <c r="R125" i="10"/>
  <c r="Q125" i="10"/>
  <c r="P125" i="10"/>
  <c r="O125" i="10"/>
  <c r="N125" i="10"/>
  <c r="M125" i="10"/>
  <c r="L125" i="10"/>
  <c r="K125" i="10"/>
  <c r="J125" i="10"/>
  <c r="I125" i="10"/>
  <c r="H125" i="10"/>
  <c r="G125" i="10"/>
  <c r="F125" i="10"/>
  <c r="E125" i="10"/>
  <c r="D125" i="10"/>
  <c r="C125" i="10"/>
  <c r="B125" i="10"/>
  <c r="A125" i="10"/>
  <c r="S124" i="10"/>
  <c r="R124" i="10"/>
  <c r="Q124" i="10"/>
  <c r="P124" i="10"/>
  <c r="O124" i="10"/>
  <c r="N124" i="10"/>
  <c r="M124" i="10"/>
  <c r="L124" i="10"/>
  <c r="K124" i="10"/>
  <c r="J124" i="10"/>
  <c r="I124" i="10"/>
  <c r="H124" i="10"/>
  <c r="G124" i="10"/>
  <c r="F124" i="10"/>
  <c r="E124" i="10"/>
  <c r="D124" i="10"/>
  <c r="C124" i="10"/>
  <c r="B124" i="10"/>
  <c r="A124" i="10"/>
  <c r="S123" i="10"/>
  <c r="R123" i="10"/>
  <c r="Q123" i="10"/>
  <c r="P123" i="10"/>
  <c r="O123" i="10"/>
  <c r="N123" i="10"/>
  <c r="M123" i="10"/>
  <c r="L123" i="10"/>
  <c r="K123" i="10"/>
  <c r="J123" i="10"/>
  <c r="I123" i="10"/>
  <c r="H123" i="10"/>
  <c r="G123" i="10"/>
  <c r="F123" i="10"/>
  <c r="E123" i="10"/>
  <c r="D123" i="10"/>
  <c r="C123" i="10"/>
  <c r="B123" i="10"/>
  <c r="A123" i="10"/>
  <c r="S122" i="10"/>
  <c r="R122" i="10"/>
  <c r="Q122" i="10"/>
  <c r="P122" i="10"/>
  <c r="O122" i="10"/>
  <c r="N122" i="10"/>
  <c r="M122" i="10"/>
  <c r="L122" i="10"/>
  <c r="K122" i="10"/>
  <c r="J122" i="10"/>
  <c r="I122" i="10"/>
  <c r="H122" i="10"/>
  <c r="G122" i="10"/>
  <c r="F122" i="10"/>
  <c r="E122" i="10"/>
  <c r="D122" i="10"/>
  <c r="C122" i="10"/>
  <c r="B122" i="10"/>
  <c r="A122" i="10"/>
  <c r="S121" i="10"/>
  <c r="R121" i="10"/>
  <c r="Q121" i="10"/>
  <c r="P121" i="10"/>
  <c r="O121" i="10"/>
  <c r="N121" i="10"/>
  <c r="M121" i="10"/>
  <c r="L121" i="10"/>
  <c r="K121" i="10"/>
  <c r="J121" i="10"/>
  <c r="I121" i="10"/>
  <c r="H121" i="10"/>
  <c r="G121" i="10"/>
  <c r="F121" i="10"/>
  <c r="E121" i="10"/>
  <c r="D121" i="10"/>
  <c r="C121" i="10"/>
  <c r="B121" i="10"/>
  <c r="A121" i="10"/>
  <c r="S120" i="10"/>
  <c r="R120" i="10"/>
  <c r="Q120" i="10"/>
  <c r="P120" i="10"/>
  <c r="O120" i="10"/>
  <c r="N120" i="10"/>
  <c r="M120" i="10"/>
  <c r="L120" i="10"/>
  <c r="K120" i="10"/>
  <c r="J120" i="10"/>
  <c r="I120" i="10"/>
  <c r="H120" i="10"/>
  <c r="G120" i="10"/>
  <c r="F120" i="10"/>
  <c r="E120" i="10"/>
  <c r="D120" i="10"/>
  <c r="C120" i="10"/>
  <c r="B120" i="10"/>
  <c r="A120" i="10"/>
  <c r="S119" i="10"/>
  <c r="R119" i="10"/>
  <c r="Q119" i="10"/>
  <c r="P119" i="10"/>
  <c r="O119" i="10"/>
  <c r="N119" i="10"/>
  <c r="M119" i="10"/>
  <c r="L119" i="10"/>
  <c r="K119" i="10"/>
  <c r="J119" i="10"/>
  <c r="I119" i="10"/>
  <c r="H119" i="10"/>
  <c r="G119" i="10"/>
  <c r="F119" i="10"/>
  <c r="E119" i="10"/>
  <c r="D119" i="10"/>
  <c r="C119" i="10"/>
  <c r="B119" i="10"/>
  <c r="A119" i="10"/>
  <c r="S118" i="10"/>
  <c r="R118" i="10"/>
  <c r="Q118" i="10"/>
  <c r="P118" i="10"/>
  <c r="O118" i="10"/>
  <c r="N118" i="10"/>
  <c r="M118" i="10"/>
  <c r="L118" i="10"/>
  <c r="K118" i="10"/>
  <c r="J118" i="10"/>
  <c r="I118" i="10"/>
  <c r="H118" i="10"/>
  <c r="G118" i="10"/>
  <c r="F118" i="10"/>
  <c r="E118" i="10"/>
  <c r="D118" i="10"/>
  <c r="C118" i="10"/>
  <c r="B118" i="10"/>
  <c r="A118" i="10"/>
  <c r="S117" i="10"/>
  <c r="R117" i="10"/>
  <c r="Q117" i="10"/>
  <c r="P117" i="10"/>
  <c r="O117" i="10"/>
  <c r="N117" i="10"/>
  <c r="M117" i="10"/>
  <c r="L117" i="10"/>
  <c r="K117" i="10"/>
  <c r="J117" i="10"/>
  <c r="I117" i="10"/>
  <c r="H117" i="10"/>
  <c r="G117" i="10"/>
  <c r="F117" i="10"/>
  <c r="E117" i="10"/>
  <c r="D117" i="10"/>
  <c r="C117" i="10"/>
  <c r="B117" i="10"/>
  <c r="A117" i="10"/>
  <c r="S116" i="10"/>
  <c r="R116" i="10"/>
  <c r="Q116" i="10"/>
  <c r="P116" i="10"/>
  <c r="O116" i="10"/>
  <c r="N116" i="10"/>
  <c r="M116" i="10"/>
  <c r="L116" i="10"/>
  <c r="K116" i="10"/>
  <c r="J116" i="10"/>
  <c r="I116" i="10"/>
  <c r="H116" i="10"/>
  <c r="G116" i="10"/>
  <c r="F116" i="10"/>
  <c r="E116" i="10"/>
  <c r="D116" i="10"/>
  <c r="C116" i="10"/>
  <c r="B116" i="10"/>
  <c r="A116" i="10"/>
  <c r="S115" i="10"/>
  <c r="R115" i="10"/>
  <c r="Q115" i="10"/>
  <c r="P115" i="10"/>
  <c r="O115" i="10"/>
  <c r="N115" i="10"/>
  <c r="M115" i="10"/>
  <c r="L115" i="10"/>
  <c r="K115" i="10"/>
  <c r="J115" i="10"/>
  <c r="I115" i="10"/>
  <c r="H115" i="10"/>
  <c r="G115" i="10"/>
  <c r="F115" i="10"/>
  <c r="E115" i="10"/>
  <c r="D115" i="10"/>
  <c r="C115" i="10"/>
  <c r="B115" i="10"/>
  <c r="A115" i="10"/>
  <c r="S114" i="10"/>
  <c r="R114" i="10"/>
  <c r="Q114" i="10"/>
  <c r="P114" i="10"/>
  <c r="O114" i="10"/>
  <c r="N114" i="10"/>
  <c r="M114" i="10"/>
  <c r="L114" i="10"/>
  <c r="K114" i="10"/>
  <c r="J114" i="10"/>
  <c r="I114" i="10"/>
  <c r="H114" i="10"/>
  <c r="G114" i="10"/>
  <c r="F114" i="10"/>
  <c r="E114" i="10"/>
  <c r="D114" i="10"/>
  <c r="C114" i="10"/>
  <c r="B114" i="10"/>
  <c r="A114" i="10"/>
  <c r="S113" i="10"/>
  <c r="R113" i="10"/>
  <c r="Q113" i="10"/>
  <c r="P113" i="10"/>
  <c r="O113" i="10"/>
  <c r="N113" i="10"/>
  <c r="M113" i="10"/>
  <c r="L113" i="10"/>
  <c r="K113" i="10"/>
  <c r="J113" i="10"/>
  <c r="I113" i="10"/>
  <c r="H113" i="10"/>
  <c r="G113" i="10"/>
  <c r="F113" i="10"/>
  <c r="E113" i="10"/>
  <c r="D113" i="10"/>
  <c r="C113" i="10"/>
  <c r="B113" i="10"/>
  <c r="A113" i="10"/>
  <c r="S112" i="10"/>
  <c r="R112" i="10"/>
  <c r="Q112" i="10"/>
  <c r="P112" i="10"/>
  <c r="O112" i="10"/>
  <c r="N112" i="10"/>
  <c r="M112" i="10"/>
  <c r="L112" i="10"/>
  <c r="K112" i="10"/>
  <c r="J112" i="10"/>
  <c r="I112" i="10"/>
  <c r="H112" i="10"/>
  <c r="G112" i="10"/>
  <c r="F112" i="10"/>
  <c r="E112" i="10"/>
  <c r="D112" i="10"/>
  <c r="C112" i="10"/>
  <c r="B112" i="10"/>
  <c r="A112" i="10"/>
  <c r="S111" i="10"/>
  <c r="R111" i="10"/>
  <c r="Q111" i="10"/>
  <c r="P111" i="10"/>
  <c r="O111" i="10"/>
  <c r="N111" i="10"/>
  <c r="M111" i="10"/>
  <c r="L111" i="10"/>
  <c r="K111" i="10"/>
  <c r="J111" i="10"/>
  <c r="I111" i="10"/>
  <c r="H111" i="10"/>
  <c r="G111" i="10"/>
  <c r="F111" i="10"/>
  <c r="E111" i="10"/>
  <c r="D111" i="10"/>
  <c r="C111" i="10"/>
  <c r="B111" i="10"/>
  <c r="A111" i="10"/>
  <c r="S110" i="10"/>
  <c r="R110" i="10"/>
  <c r="Q110" i="10"/>
  <c r="P110" i="10"/>
  <c r="O110" i="10"/>
  <c r="N110" i="10"/>
  <c r="M110" i="10"/>
  <c r="L110" i="10"/>
  <c r="K110" i="10"/>
  <c r="J110" i="10"/>
  <c r="I110" i="10"/>
  <c r="H110" i="10"/>
  <c r="G110" i="10"/>
  <c r="F110" i="10"/>
  <c r="E110" i="10"/>
  <c r="D110" i="10"/>
  <c r="C110" i="10"/>
  <c r="B110" i="10"/>
  <c r="A110" i="10"/>
  <c r="S109" i="10"/>
  <c r="R109" i="10"/>
  <c r="Q109" i="10"/>
  <c r="P109" i="10"/>
  <c r="O109" i="10"/>
  <c r="N109" i="10"/>
  <c r="M109" i="10"/>
  <c r="L109" i="10"/>
  <c r="K109" i="10"/>
  <c r="J109" i="10"/>
  <c r="I109" i="10"/>
  <c r="H109" i="10"/>
  <c r="G109" i="10"/>
  <c r="F109" i="10"/>
  <c r="E109" i="10"/>
  <c r="D109" i="10"/>
  <c r="C109" i="10"/>
  <c r="B109" i="10"/>
  <c r="A109" i="10"/>
  <c r="S108" i="10"/>
  <c r="R108" i="10"/>
  <c r="Q108" i="10"/>
  <c r="P108" i="10"/>
  <c r="O108" i="10"/>
  <c r="N108" i="10"/>
  <c r="M108" i="10"/>
  <c r="L108" i="10"/>
  <c r="K108" i="10"/>
  <c r="J108" i="10"/>
  <c r="I108" i="10"/>
  <c r="H108" i="10"/>
  <c r="G108" i="10"/>
  <c r="F108" i="10"/>
  <c r="E108" i="10"/>
  <c r="D108" i="10"/>
  <c r="C108" i="10"/>
  <c r="B108" i="10"/>
  <c r="A108" i="10"/>
  <c r="S107" i="10"/>
  <c r="R107" i="10"/>
  <c r="Q107" i="10"/>
  <c r="P107" i="10"/>
  <c r="O107" i="10"/>
  <c r="N107" i="10"/>
  <c r="M107" i="10"/>
  <c r="L107" i="10"/>
  <c r="K107" i="10"/>
  <c r="J107" i="10"/>
  <c r="I107" i="10"/>
  <c r="H107" i="10"/>
  <c r="G107" i="10"/>
  <c r="F107" i="10"/>
  <c r="E107" i="10"/>
  <c r="D107" i="10"/>
  <c r="C107" i="10"/>
  <c r="B107" i="10"/>
  <c r="A107" i="10"/>
  <c r="S106" i="10"/>
  <c r="R106" i="10"/>
  <c r="Q106" i="10"/>
  <c r="P106" i="10"/>
  <c r="O106" i="10"/>
  <c r="N106" i="10"/>
  <c r="M106" i="10"/>
  <c r="L106" i="10"/>
  <c r="K106" i="10"/>
  <c r="J106" i="10"/>
  <c r="I106" i="10"/>
  <c r="H106" i="10"/>
  <c r="G106" i="10"/>
  <c r="F106" i="10"/>
  <c r="E106" i="10"/>
  <c r="D106" i="10"/>
  <c r="C106" i="10"/>
  <c r="B106" i="10"/>
  <c r="A106" i="10"/>
  <c r="S105" i="10"/>
  <c r="R105" i="10"/>
  <c r="Q105" i="10"/>
  <c r="P105" i="10"/>
  <c r="O105" i="10"/>
  <c r="N105" i="10"/>
  <c r="M105" i="10"/>
  <c r="L105" i="10"/>
  <c r="K105" i="10"/>
  <c r="J105" i="10"/>
  <c r="I105" i="10"/>
  <c r="H105" i="10"/>
  <c r="G105" i="10"/>
  <c r="F105" i="10"/>
  <c r="E105" i="10"/>
  <c r="D105" i="10"/>
  <c r="C105" i="10"/>
  <c r="B105" i="10"/>
  <c r="A105" i="10"/>
  <c r="S104" i="10"/>
  <c r="R104" i="10"/>
  <c r="Q104" i="10"/>
  <c r="P104" i="10"/>
  <c r="O104" i="10"/>
  <c r="N104" i="10"/>
  <c r="M104" i="10"/>
  <c r="L104" i="10"/>
  <c r="K104" i="10"/>
  <c r="J104" i="10"/>
  <c r="I104" i="10"/>
  <c r="H104" i="10"/>
  <c r="G104" i="10"/>
  <c r="F104" i="10"/>
  <c r="E104" i="10"/>
  <c r="D104" i="10"/>
  <c r="C104" i="10"/>
  <c r="B104" i="10"/>
  <c r="A104" i="10"/>
  <c r="S103" i="10"/>
  <c r="R103" i="10"/>
  <c r="Q103" i="10"/>
  <c r="P103" i="10"/>
  <c r="O103" i="10"/>
  <c r="N103" i="10"/>
  <c r="M103" i="10"/>
  <c r="L103" i="10"/>
  <c r="K103" i="10"/>
  <c r="J103" i="10"/>
  <c r="I103" i="10"/>
  <c r="H103" i="10"/>
  <c r="G103" i="10"/>
  <c r="F103" i="10"/>
  <c r="E103" i="10"/>
  <c r="D103" i="10"/>
  <c r="C103" i="10"/>
  <c r="B103" i="10"/>
  <c r="A103" i="10"/>
  <c r="S102" i="10"/>
  <c r="R102" i="10"/>
  <c r="Q102" i="10"/>
  <c r="P102" i="10"/>
  <c r="O102" i="10"/>
  <c r="N102" i="10"/>
  <c r="M102" i="10"/>
  <c r="L102" i="10"/>
  <c r="K102" i="10"/>
  <c r="J102" i="10"/>
  <c r="I102" i="10"/>
  <c r="H102" i="10"/>
  <c r="G102" i="10"/>
  <c r="F102" i="10"/>
  <c r="E102" i="10"/>
  <c r="D102" i="10"/>
  <c r="C102" i="10"/>
  <c r="B102" i="10"/>
  <c r="A102" i="10"/>
  <c r="S101" i="10"/>
  <c r="R101" i="10"/>
  <c r="Q101" i="10"/>
  <c r="P101" i="10"/>
  <c r="O101" i="10"/>
  <c r="N101" i="10"/>
  <c r="M101" i="10"/>
  <c r="L101" i="10"/>
  <c r="K101" i="10"/>
  <c r="J101" i="10"/>
  <c r="I101" i="10"/>
  <c r="H101" i="10"/>
  <c r="G101" i="10"/>
  <c r="F101" i="10"/>
  <c r="E101" i="10"/>
  <c r="D101" i="10"/>
  <c r="C101" i="10"/>
  <c r="B101" i="10"/>
  <c r="A101" i="10"/>
  <c r="S100" i="10"/>
  <c r="R100" i="10"/>
  <c r="Q100" i="10"/>
  <c r="P100" i="10"/>
  <c r="O100" i="10"/>
  <c r="N100" i="10"/>
  <c r="M100" i="10"/>
  <c r="L100" i="10"/>
  <c r="K100" i="10"/>
  <c r="J100" i="10"/>
  <c r="I100" i="10"/>
  <c r="H100" i="10"/>
  <c r="G100" i="10"/>
  <c r="F100" i="10"/>
  <c r="E100" i="10"/>
  <c r="D100" i="10"/>
  <c r="C100" i="10"/>
  <c r="B100" i="10"/>
  <c r="A100" i="10"/>
  <c r="S99" i="10"/>
  <c r="R99" i="10"/>
  <c r="Q99" i="10"/>
  <c r="P99" i="10"/>
  <c r="O99" i="10"/>
  <c r="N99" i="10"/>
  <c r="M99" i="10"/>
  <c r="L99" i="10"/>
  <c r="K99" i="10"/>
  <c r="J99" i="10"/>
  <c r="I99" i="10"/>
  <c r="H99" i="10"/>
  <c r="G99" i="10"/>
  <c r="F99" i="10"/>
  <c r="E99" i="10"/>
  <c r="D99" i="10"/>
  <c r="C99" i="10"/>
  <c r="B99" i="10"/>
  <c r="A99" i="10"/>
  <c r="S98" i="10"/>
  <c r="R98" i="10"/>
  <c r="Q98" i="10"/>
  <c r="P98" i="10"/>
  <c r="O98" i="10"/>
  <c r="N98" i="10"/>
  <c r="M98" i="10"/>
  <c r="L98" i="10"/>
  <c r="K98" i="10"/>
  <c r="J98" i="10"/>
  <c r="I98" i="10"/>
  <c r="H98" i="10"/>
  <c r="G98" i="10"/>
  <c r="F98" i="10"/>
  <c r="E98" i="10"/>
  <c r="D98" i="10"/>
  <c r="C98" i="10"/>
  <c r="B98" i="10"/>
  <c r="A98" i="10"/>
  <c r="S97" i="10"/>
  <c r="R97" i="10"/>
  <c r="Q97" i="10"/>
  <c r="P97" i="10"/>
  <c r="O97" i="10"/>
  <c r="N97" i="10"/>
  <c r="M97" i="10"/>
  <c r="L97" i="10"/>
  <c r="K97" i="10"/>
  <c r="J97" i="10"/>
  <c r="I97" i="10"/>
  <c r="H97" i="10"/>
  <c r="G97" i="10"/>
  <c r="F97" i="10"/>
  <c r="E97" i="10"/>
  <c r="D97" i="10"/>
  <c r="C97" i="10"/>
  <c r="B97" i="10"/>
  <c r="A97" i="10"/>
  <c r="S96" i="10"/>
  <c r="R96" i="10"/>
  <c r="Q96" i="10"/>
  <c r="P96" i="10"/>
  <c r="O96" i="10"/>
  <c r="N96" i="10"/>
  <c r="M96" i="10"/>
  <c r="L96" i="10"/>
  <c r="K96" i="10"/>
  <c r="J96" i="10"/>
  <c r="I96" i="10"/>
  <c r="H96" i="10"/>
  <c r="G96" i="10"/>
  <c r="F96" i="10"/>
  <c r="E96" i="10"/>
  <c r="D96" i="10"/>
  <c r="C96" i="10"/>
  <c r="B96" i="10"/>
  <c r="A96" i="10"/>
  <c r="S95" i="10"/>
  <c r="R95" i="10"/>
  <c r="Q95" i="10"/>
  <c r="P95" i="10"/>
  <c r="O95" i="10"/>
  <c r="N95" i="10"/>
  <c r="M95" i="10"/>
  <c r="L95" i="10"/>
  <c r="K95" i="10"/>
  <c r="J95" i="10"/>
  <c r="I95" i="10"/>
  <c r="H95" i="10"/>
  <c r="G95" i="10"/>
  <c r="F95" i="10"/>
  <c r="E95" i="10"/>
  <c r="D95" i="10"/>
  <c r="C95" i="10"/>
  <c r="B95" i="10"/>
  <c r="A95" i="10"/>
  <c r="S94" i="10"/>
  <c r="R94" i="10"/>
  <c r="Q94" i="10"/>
  <c r="P94" i="10"/>
  <c r="O94" i="10"/>
  <c r="N94" i="10"/>
  <c r="M94" i="10"/>
  <c r="L94" i="10"/>
  <c r="K94" i="10"/>
  <c r="J94" i="10"/>
  <c r="I94" i="10"/>
  <c r="H94" i="10"/>
  <c r="G94" i="10"/>
  <c r="F94" i="10"/>
  <c r="E94" i="10"/>
  <c r="D94" i="10"/>
  <c r="C94" i="10"/>
  <c r="B94" i="10"/>
  <c r="A94" i="10"/>
  <c r="S93" i="10"/>
  <c r="R93" i="10"/>
  <c r="Q93" i="10"/>
  <c r="P93" i="10"/>
  <c r="O93" i="10"/>
  <c r="N93" i="10"/>
  <c r="M93" i="10"/>
  <c r="L93" i="10"/>
  <c r="K93" i="10"/>
  <c r="J93" i="10"/>
  <c r="I93" i="10"/>
  <c r="H93" i="10"/>
  <c r="G93" i="10"/>
  <c r="F93" i="10"/>
  <c r="E93" i="10"/>
  <c r="D93" i="10"/>
  <c r="C93" i="10"/>
  <c r="B93" i="10"/>
  <c r="A93" i="10"/>
  <c r="S92" i="10"/>
  <c r="R92" i="10"/>
  <c r="Q92" i="10"/>
  <c r="P92" i="10"/>
  <c r="O92" i="10"/>
  <c r="N92" i="10"/>
  <c r="M92" i="10"/>
  <c r="L92" i="10"/>
  <c r="K92" i="10"/>
  <c r="J92" i="10"/>
  <c r="I92" i="10"/>
  <c r="H92" i="10"/>
  <c r="G92" i="10"/>
  <c r="F92" i="10"/>
  <c r="E92" i="10"/>
  <c r="D92" i="10"/>
  <c r="C92" i="10"/>
  <c r="B92" i="10"/>
  <c r="A92" i="10"/>
  <c r="S91" i="10"/>
  <c r="R91" i="10"/>
  <c r="Q91" i="10"/>
  <c r="P91" i="10"/>
  <c r="O91" i="10"/>
  <c r="N91" i="10"/>
  <c r="M91" i="10"/>
  <c r="L91" i="10"/>
  <c r="K91" i="10"/>
  <c r="J91" i="10"/>
  <c r="I91" i="10"/>
  <c r="H91" i="10"/>
  <c r="G91" i="10"/>
  <c r="F91" i="10"/>
  <c r="E91" i="10"/>
  <c r="D91" i="10"/>
  <c r="C91" i="10"/>
  <c r="B91" i="10"/>
  <c r="A91" i="10"/>
  <c r="S90" i="10"/>
  <c r="R90" i="10"/>
  <c r="Q90" i="10"/>
  <c r="P90" i="10"/>
  <c r="O90" i="10"/>
  <c r="N90" i="10"/>
  <c r="M90" i="10"/>
  <c r="L90" i="10"/>
  <c r="K90" i="10"/>
  <c r="J90" i="10"/>
  <c r="I90" i="10"/>
  <c r="H90" i="10"/>
  <c r="G90" i="10"/>
  <c r="F90" i="10"/>
  <c r="E90" i="10"/>
  <c r="D90" i="10"/>
  <c r="C90" i="10"/>
  <c r="B90" i="10"/>
  <c r="A90" i="10"/>
  <c r="S89" i="10"/>
  <c r="R89" i="10"/>
  <c r="Q89" i="10"/>
  <c r="P89" i="10"/>
  <c r="O89" i="10"/>
  <c r="N89" i="10"/>
  <c r="M89" i="10"/>
  <c r="L89" i="10"/>
  <c r="K89" i="10"/>
  <c r="J89" i="10"/>
  <c r="I89" i="10"/>
  <c r="H89" i="10"/>
  <c r="G89" i="10"/>
  <c r="F89" i="10"/>
  <c r="E89" i="10"/>
  <c r="D89" i="10"/>
  <c r="C89" i="10"/>
  <c r="B89" i="10"/>
  <c r="A89" i="10"/>
  <c r="S88" i="10"/>
  <c r="R88" i="10"/>
  <c r="Q88" i="10"/>
  <c r="P88" i="10"/>
  <c r="O88" i="10"/>
  <c r="N88" i="10"/>
  <c r="M88" i="10"/>
  <c r="L88" i="10"/>
  <c r="K88" i="10"/>
  <c r="J88" i="10"/>
  <c r="I88" i="10"/>
  <c r="H88" i="10"/>
  <c r="G88" i="10"/>
  <c r="F88" i="10"/>
  <c r="E88" i="10"/>
  <c r="D88" i="10"/>
  <c r="C88" i="10"/>
  <c r="B88" i="10"/>
  <c r="A88" i="10"/>
  <c r="S87" i="10"/>
  <c r="R87" i="10"/>
  <c r="Q87" i="10"/>
  <c r="P87" i="10"/>
  <c r="O87" i="10"/>
  <c r="N87" i="10"/>
  <c r="M87" i="10"/>
  <c r="L87" i="10"/>
  <c r="K87" i="10"/>
  <c r="J87" i="10"/>
  <c r="I87" i="10"/>
  <c r="H87" i="10"/>
  <c r="G87" i="10"/>
  <c r="F87" i="10"/>
  <c r="E87" i="10"/>
  <c r="D87" i="10"/>
  <c r="C87" i="10"/>
  <c r="B87" i="10"/>
  <c r="A87" i="10"/>
  <c r="S86" i="10"/>
  <c r="R86" i="10"/>
  <c r="Q86" i="10"/>
  <c r="P86" i="10"/>
  <c r="O86" i="10"/>
  <c r="N86" i="10"/>
  <c r="M86" i="10"/>
  <c r="L86" i="10"/>
  <c r="K86" i="10"/>
  <c r="J86" i="10"/>
  <c r="I86" i="10"/>
  <c r="H86" i="10"/>
  <c r="G86" i="10"/>
  <c r="F86" i="10"/>
  <c r="E86" i="10"/>
  <c r="D86" i="10"/>
  <c r="C86" i="10"/>
  <c r="B86" i="10"/>
  <c r="A86" i="10"/>
  <c r="S85" i="10"/>
  <c r="R85" i="10"/>
  <c r="Q85" i="10"/>
  <c r="P85" i="10"/>
  <c r="O85" i="10"/>
  <c r="N85" i="10"/>
  <c r="M85" i="10"/>
  <c r="L85" i="10"/>
  <c r="K85" i="10"/>
  <c r="J85" i="10"/>
  <c r="I85" i="10"/>
  <c r="H85" i="10"/>
  <c r="G85" i="10"/>
  <c r="F85" i="10"/>
  <c r="E85" i="10"/>
  <c r="D85" i="10"/>
  <c r="C85" i="10"/>
  <c r="B85" i="10"/>
  <c r="A85" i="10"/>
  <c r="S84" i="10"/>
  <c r="R84" i="10"/>
  <c r="Q84" i="10"/>
  <c r="P84" i="10"/>
  <c r="O84" i="10"/>
  <c r="N84" i="10"/>
  <c r="M84" i="10"/>
  <c r="L84" i="10"/>
  <c r="K84" i="10"/>
  <c r="J84" i="10"/>
  <c r="I84" i="10"/>
  <c r="H84" i="10"/>
  <c r="G84" i="10"/>
  <c r="F84" i="10"/>
  <c r="E84" i="10"/>
  <c r="D84" i="10"/>
  <c r="C84" i="10"/>
  <c r="B84" i="10"/>
  <c r="A84" i="10"/>
  <c r="S83" i="10"/>
  <c r="R83" i="10"/>
  <c r="Q83" i="10"/>
  <c r="P83" i="10"/>
  <c r="O83" i="10"/>
  <c r="N83" i="10"/>
  <c r="M83" i="10"/>
  <c r="L83" i="10"/>
  <c r="K83" i="10"/>
  <c r="J83" i="10"/>
  <c r="I83" i="10"/>
  <c r="H83" i="10"/>
  <c r="G83" i="10"/>
  <c r="F83" i="10"/>
  <c r="E83" i="10"/>
  <c r="D83" i="10"/>
  <c r="C83" i="10"/>
  <c r="B83" i="10"/>
  <c r="A83" i="10"/>
  <c r="S82" i="10"/>
  <c r="R82" i="10"/>
  <c r="Q82" i="10"/>
  <c r="P82" i="10"/>
  <c r="O82" i="10"/>
  <c r="N82" i="10"/>
  <c r="M82" i="10"/>
  <c r="L82" i="10"/>
  <c r="K82" i="10"/>
  <c r="J82" i="10"/>
  <c r="I82" i="10"/>
  <c r="H82" i="10"/>
  <c r="G82" i="10"/>
  <c r="F82" i="10"/>
  <c r="E82" i="10"/>
  <c r="D82" i="10"/>
  <c r="C82" i="10"/>
  <c r="B82" i="10"/>
  <c r="A82" i="10"/>
  <c r="S81" i="10"/>
  <c r="R81" i="10"/>
  <c r="Q81" i="10"/>
  <c r="P81" i="10"/>
  <c r="O81" i="10"/>
  <c r="N81" i="10"/>
  <c r="M81" i="10"/>
  <c r="L81" i="10"/>
  <c r="K81" i="10"/>
  <c r="J81" i="10"/>
  <c r="I81" i="10"/>
  <c r="H81" i="10"/>
  <c r="G81" i="10"/>
  <c r="F81" i="10"/>
  <c r="E81" i="10"/>
  <c r="D81" i="10"/>
  <c r="C81" i="10"/>
  <c r="B81" i="10"/>
  <c r="A81" i="10"/>
  <c r="S80" i="10"/>
  <c r="R80" i="10"/>
  <c r="Q80" i="10"/>
  <c r="P80" i="10"/>
  <c r="O80" i="10"/>
  <c r="N80" i="10"/>
  <c r="M80" i="10"/>
  <c r="L80" i="10"/>
  <c r="K80" i="10"/>
  <c r="J80" i="10"/>
  <c r="I80" i="10"/>
  <c r="H80" i="10"/>
  <c r="G80" i="10"/>
  <c r="F80" i="10"/>
  <c r="E80" i="10"/>
  <c r="D80" i="10"/>
  <c r="C80" i="10"/>
  <c r="B80" i="10"/>
  <c r="A80" i="10"/>
  <c r="S79" i="10"/>
  <c r="R79" i="10"/>
  <c r="Q79" i="10"/>
  <c r="P79" i="10"/>
  <c r="O79" i="10"/>
  <c r="N79" i="10"/>
  <c r="M79" i="10"/>
  <c r="L79" i="10"/>
  <c r="K79" i="10"/>
  <c r="J79" i="10"/>
  <c r="I79" i="10"/>
  <c r="H79" i="10"/>
  <c r="G79" i="10"/>
  <c r="F79" i="10"/>
  <c r="E79" i="10"/>
  <c r="D79" i="10"/>
  <c r="C79" i="10"/>
  <c r="B79" i="10"/>
  <c r="A79" i="10"/>
  <c r="S78" i="10"/>
  <c r="R78" i="10"/>
  <c r="Q78" i="10"/>
  <c r="P78" i="10"/>
  <c r="O78" i="10"/>
  <c r="N78" i="10"/>
  <c r="M78" i="10"/>
  <c r="L78" i="10"/>
  <c r="K78" i="10"/>
  <c r="J78" i="10"/>
  <c r="I78" i="10"/>
  <c r="H78" i="10"/>
  <c r="G78" i="10"/>
  <c r="F78" i="10"/>
  <c r="E78" i="10"/>
  <c r="D78" i="10"/>
  <c r="C78" i="10"/>
  <c r="B78" i="10"/>
  <c r="A78" i="10"/>
  <c r="S77" i="10"/>
  <c r="R77" i="10"/>
  <c r="Q77" i="10"/>
  <c r="P77" i="10"/>
  <c r="O77" i="10"/>
  <c r="N77" i="10"/>
  <c r="M77" i="10"/>
  <c r="L77" i="10"/>
  <c r="K77" i="10"/>
  <c r="J77" i="10"/>
  <c r="I77" i="10"/>
  <c r="H77" i="10"/>
  <c r="G77" i="10"/>
  <c r="F77" i="10"/>
  <c r="E77" i="10"/>
  <c r="D77" i="10"/>
  <c r="C77" i="10"/>
  <c r="B77" i="10"/>
  <c r="A77" i="10"/>
  <c r="S76" i="10"/>
  <c r="R76" i="10"/>
  <c r="Q76" i="10"/>
  <c r="P76" i="10"/>
  <c r="O76" i="10"/>
  <c r="N76" i="10"/>
  <c r="M76" i="10"/>
  <c r="L76" i="10"/>
  <c r="K76" i="10"/>
  <c r="J76" i="10"/>
  <c r="I76" i="10"/>
  <c r="H76" i="10"/>
  <c r="G76" i="10"/>
  <c r="F76" i="10"/>
  <c r="E76" i="10"/>
  <c r="D76" i="10"/>
  <c r="C76" i="10"/>
  <c r="B76" i="10"/>
  <c r="A76" i="10"/>
  <c r="S75" i="10"/>
  <c r="R75" i="10"/>
  <c r="Q75" i="10"/>
  <c r="P75" i="10"/>
  <c r="O75" i="10"/>
  <c r="N75" i="10"/>
  <c r="M75" i="10"/>
  <c r="L75" i="10"/>
  <c r="K75" i="10"/>
  <c r="J75" i="10"/>
  <c r="I75" i="10"/>
  <c r="H75" i="10"/>
  <c r="G75" i="10"/>
  <c r="F75" i="10"/>
  <c r="E75" i="10"/>
  <c r="D75" i="10"/>
  <c r="C75" i="10"/>
  <c r="B75" i="10"/>
  <c r="A75" i="10"/>
  <c r="S74" i="10"/>
  <c r="R74" i="10"/>
  <c r="Q74" i="10"/>
  <c r="P74" i="10"/>
  <c r="O74" i="10"/>
  <c r="N74" i="10"/>
  <c r="M74" i="10"/>
  <c r="L74" i="10"/>
  <c r="K74" i="10"/>
  <c r="J74" i="10"/>
  <c r="I74" i="10"/>
  <c r="H74" i="10"/>
  <c r="G74" i="10"/>
  <c r="F74" i="10"/>
  <c r="E74" i="10"/>
  <c r="D74" i="10"/>
  <c r="C74" i="10"/>
  <c r="B74" i="10"/>
  <c r="A74" i="10"/>
  <c r="S73" i="10"/>
  <c r="R73" i="10"/>
  <c r="Q73" i="10"/>
  <c r="P73" i="10"/>
  <c r="O73" i="10"/>
  <c r="N73" i="10"/>
  <c r="M73" i="10"/>
  <c r="L73" i="10"/>
  <c r="K73" i="10"/>
  <c r="J73" i="10"/>
  <c r="I73" i="10"/>
  <c r="H73" i="10"/>
  <c r="G73" i="10"/>
  <c r="F73" i="10"/>
  <c r="E73" i="10"/>
  <c r="D73" i="10"/>
  <c r="C73" i="10"/>
  <c r="B73" i="10"/>
  <c r="A73" i="10"/>
  <c r="S72" i="10"/>
  <c r="R72" i="10"/>
  <c r="Q72" i="10"/>
  <c r="P72" i="10"/>
  <c r="O72" i="10"/>
  <c r="N72" i="10"/>
  <c r="M72" i="10"/>
  <c r="L72" i="10"/>
  <c r="K72" i="10"/>
  <c r="J72" i="10"/>
  <c r="I72" i="10"/>
  <c r="H72" i="10"/>
  <c r="G72" i="10"/>
  <c r="F72" i="10"/>
  <c r="E72" i="10"/>
  <c r="D72" i="10"/>
  <c r="C72" i="10"/>
  <c r="B72" i="10"/>
  <c r="A72" i="10"/>
  <c r="S71" i="10"/>
  <c r="R71" i="10"/>
  <c r="Q71" i="10"/>
  <c r="P71" i="10"/>
  <c r="O71" i="10"/>
  <c r="N71" i="10"/>
  <c r="M71" i="10"/>
  <c r="L71" i="10"/>
  <c r="K71" i="10"/>
  <c r="J71" i="10"/>
  <c r="I71" i="10"/>
  <c r="H71" i="10"/>
  <c r="G71" i="10"/>
  <c r="F71" i="10"/>
  <c r="E71" i="10"/>
  <c r="D71" i="10"/>
  <c r="C71" i="10"/>
  <c r="B71" i="10"/>
  <c r="A71" i="10"/>
  <c r="S70" i="10"/>
  <c r="R70" i="10"/>
  <c r="Q70" i="10"/>
  <c r="P70" i="10"/>
  <c r="O70" i="10"/>
  <c r="N70" i="10"/>
  <c r="M70" i="10"/>
  <c r="L70" i="10"/>
  <c r="K70" i="10"/>
  <c r="J70" i="10"/>
  <c r="I70" i="10"/>
  <c r="H70" i="10"/>
  <c r="G70" i="10"/>
  <c r="F70" i="10"/>
  <c r="E70" i="10"/>
  <c r="D70" i="10"/>
  <c r="C70" i="10"/>
  <c r="B70" i="10"/>
  <c r="A70" i="10"/>
  <c r="S69" i="10"/>
  <c r="R69" i="10"/>
  <c r="Q69" i="10"/>
  <c r="P69" i="10"/>
  <c r="O69" i="10"/>
  <c r="N69" i="10"/>
  <c r="M69" i="10"/>
  <c r="L69" i="10"/>
  <c r="K69" i="10"/>
  <c r="J69" i="10"/>
  <c r="I69" i="10"/>
  <c r="H69" i="10"/>
  <c r="G69" i="10"/>
  <c r="F69" i="10"/>
  <c r="E69" i="10"/>
  <c r="D69" i="10"/>
  <c r="C69" i="10"/>
  <c r="B69" i="10"/>
  <c r="A69" i="10"/>
  <c r="S68" i="10"/>
  <c r="R68" i="10"/>
  <c r="Q68" i="10"/>
  <c r="P68" i="10"/>
  <c r="O68" i="10"/>
  <c r="N68" i="10"/>
  <c r="M68" i="10"/>
  <c r="L68" i="10"/>
  <c r="K68" i="10"/>
  <c r="J68" i="10"/>
  <c r="I68" i="10"/>
  <c r="H68" i="10"/>
  <c r="G68" i="10"/>
  <c r="F68" i="10"/>
  <c r="E68" i="10"/>
  <c r="D68" i="10"/>
  <c r="C68" i="10"/>
  <c r="B68" i="10"/>
  <c r="A68" i="10"/>
  <c r="S67" i="10"/>
  <c r="R67" i="10"/>
  <c r="Q67" i="10"/>
  <c r="P67" i="10"/>
  <c r="O67" i="10"/>
  <c r="N67" i="10"/>
  <c r="M67" i="10"/>
  <c r="L67" i="10"/>
  <c r="K67" i="10"/>
  <c r="J67" i="10"/>
  <c r="I67" i="10"/>
  <c r="H67" i="10"/>
  <c r="G67" i="10"/>
  <c r="F67" i="10"/>
  <c r="E67" i="10"/>
  <c r="D67" i="10"/>
  <c r="C67" i="10"/>
  <c r="B67" i="10"/>
  <c r="A67" i="10"/>
  <c r="S66" i="10"/>
  <c r="R66" i="10"/>
  <c r="Q66" i="10"/>
  <c r="P66" i="10"/>
  <c r="O66" i="10"/>
  <c r="N66" i="10"/>
  <c r="M66" i="10"/>
  <c r="L66" i="10"/>
  <c r="K66" i="10"/>
  <c r="J66" i="10"/>
  <c r="I66" i="10"/>
  <c r="H66" i="10"/>
  <c r="G66" i="10"/>
  <c r="F66" i="10"/>
  <c r="E66" i="10"/>
  <c r="D66" i="10"/>
  <c r="C66" i="10"/>
  <c r="B66" i="10"/>
  <c r="A66" i="10"/>
  <c r="S65" i="10"/>
  <c r="R65" i="10"/>
  <c r="Q65" i="10"/>
  <c r="P65" i="10"/>
  <c r="O65" i="10"/>
  <c r="N65" i="10"/>
  <c r="M65" i="10"/>
  <c r="L65" i="10"/>
  <c r="K65" i="10"/>
  <c r="J65" i="10"/>
  <c r="I65" i="10"/>
  <c r="H65" i="10"/>
  <c r="G65" i="10"/>
  <c r="F65" i="10"/>
  <c r="E65" i="10"/>
  <c r="D65" i="10"/>
  <c r="C65" i="10"/>
  <c r="B65" i="10"/>
  <c r="A65" i="10"/>
  <c r="S64" i="10"/>
  <c r="R64" i="10"/>
  <c r="Q64" i="10"/>
  <c r="P64" i="10"/>
  <c r="O64" i="10"/>
  <c r="N64" i="10"/>
  <c r="M64" i="10"/>
  <c r="L64" i="10"/>
  <c r="K64" i="10"/>
  <c r="J64" i="10"/>
  <c r="I64" i="10"/>
  <c r="H64" i="10"/>
  <c r="G64" i="10"/>
  <c r="F64" i="10"/>
  <c r="E64" i="10"/>
  <c r="D64" i="10"/>
  <c r="C64" i="10"/>
  <c r="B64" i="10"/>
  <c r="A64" i="10"/>
  <c r="S63" i="10"/>
  <c r="R63" i="10"/>
  <c r="Q63" i="10"/>
  <c r="P63" i="10"/>
  <c r="O63" i="10"/>
  <c r="N63" i="10"/>
  <c r="M63" i="10"/>
  <c r="L63" i="10"/>
  <c r="K63" i="10"/>
  <c r="J63" i="10"/>
  <c r="I63" i="10"/>
  <c r="H63" i="10"/>
  <c r="G63" i="10"/>
  <c r="F63" i="10"/>
  <c r="E63" i="10"/>
  <c r="D63" i="10"/>
  <c r="C63" i="10"/>
  <c r="B63" i="10"/>
  <c r="A63" i="10"/>
  <c r="S62" i="10"/>
  <c r="R62" i="10"/>
  <c r="Q62" i="10"/>
  <c r="P62" i="10"/>
  <c r="O62" i="10"/>
  <c r="N62" i="10"/>
  <c r="M62" i="10"/>
  <c r="L62" i="10"/>
  <c r="K62" i="10"/>
  <c r="J62" i="10"/>
  <c r="I62" i="10"/>
  <c r="H62" i="10"/>
  <c r="G62" i="10"/>
  <c r="F62" i="10"/>
  <c r="E62" i="10"/>
  <c r="D62" i="10"/>
  <c r="C62" i="10"/>
  <c r="B62" i="10"/>
  <c r="A62" i="10"/>
  <c r="S61" i="10"/>
  <c r="R61" i="10"/>
  <c r="Q61" i="10"/>
  <c r="P61" i="10"/>
  <c r="O61" i="10"/>
  <c r="N61" i="10"/>
  <c r="M61" i="10"/>
  <c r="L61" i="10"/>
  <c r="K61" i="10"/>
  <c r="J61" i="10"/>
  <c r="I61" i="10"/>
  <c r="H61" i="10"/>
  <c r="G61" i="10"/>
  <c r="F61" i="10"/>
  <c r="E61" i="10"/>
  <c r="D61" i="10"/>
  <c r="C61" i="10"/>
  <c r="B61" i="10"/>
  <c r="A61" i="10"/>
  <c r="S60" i="10"/>
  <c r="R60" i="10"/>
  <c r="Q60" i="10"/>
  <c r="P60" i="10"/>
  <c r="O60" i="10"/>
  <c r="N60" i="10"/>
  <c r="M60" i="10"/>
  <c r="L60" i="10"/>
  <c r="K60" i="10"/>
  <c r="J60" i="10"/>
  <c r="I60" i="10"/>
  <c r="H60" i="10"/>
  <c r="G60" i="10"/>
  <c r="F60" i="10"/>
  <c r="E60" i="10"/>
  <c r="D60" i="10"/>
  <c r="C60" i="10"/>
  <c r="B60" i="10"/>
  <c r="A60" i="10"/>
  <c r="S59" i="10"/>
  <c r="R59" i="10"/>
  <c r="Q59" i="10"/>
  <c r="P59" i="10"/>
  <c r="O59" i="10"/>
  <c r="N59" i="10"/>
  <c r="M59" i="10"/>
  <c r="L59" i="10"/>
  <c r="K59" i="10"/>
  <c r="J59" i="10"/>
  <c r="I59" i="10"/>
  <c r="H59" i="10"/>
  <c r="G59" i="10"/>
  <c r="F59" i="10"/>
  <c r="E59" i="10"/>
  <c r="D59" i="10"/>
  <c r="C59" i="10"/>
  <c r="B59" i="10"/>
  <c r="A59" i="10"/>
  <c r="S58" i="10"/>
  <c r="R58" i="10"/>
  <c r="Q58" i="10"/>
  <c r="P58" i="10"/>
  <c r="O58" i="10"/>
  <c r="N58" i="10"/>
  <c r="M58" i="10"/>
  <c r="L58" i="10"/>
  <c r="K58" i="10"/>
  <c r="J58" i="10"/>
  <c r="I58" i="10"/>
  <c r="H58" i="10"/>
  <c r="G58" i="10"/>
  <c r="F58" i="10"/>
  <c r="E58" i="10"/>
  <c r="D58" i="10"/>
  <c r="C58" i="10"/>
  <c r="B58" i="10"/>
  <c r="A58" i="10"/>
  <c r="S57" i="10"/>
  <c r="R57" i="10"/>
  <c r="Q57" i="10"/>
  <c r="P57" i="10"/>
  <c r="O57" i="10"/>
  <c r="N57" i="10"/>
  <c r="M57" i="10"/>
  <c r="L57" i="10"/>
  <c r="K57" i="10"/>
  <c r="J57" i="10"/>
  <c r="I57" i="10"/>
  <c r="H57" i="10"/>
  <c r="G57" i="10"/>
  <c r="F57" i="10"/>
  <c r="E57" i="10"/>
  <c r="D57" i="10"/>
  <c r="C57" i="10"/>
  <c r="B57" i="10"/>
  <c r="A57" i="10"/>
  <c r="S56" i="10"/>
  <c r="R56" i="10"/>
  <c r="Q56" i="10"/>
  <c r="P56" i="10"/>
  <c r="O56" i="10"/>
  <c r="N56" i="10"/>
  <c r="M56" i="10"/>
  <c r="L56" i="10"/>
  <c r="K56" i="10"/>
  <c r="J56" i="10"/>
  <c r="I56" i="10"/>
  <c r="H56" i="10"/>
  <c r="G56" i="10"/>
  <c r="F56" i="10"/>
  <c r="E56" i="10"/>
  <c r="D56" i="10"/>
  <c r="C56" i="10"/>
  <c r="B56" i="10"/>
  <c r="A56" i="10"/>
  <c r="S55" i="10"/>
  <c r="R55" i="10"/>
  <c r="Q55" i="10"/>
  <c r="P55" i="10"/>
  <c r="O55" i="10"/>
  <c r="N55" i="10"/>
  <c r="M55" i="10"/>
  <c r="L55" i="10"/>
  <c r="K55" i="10"/>
  <c r="J55" i="10"/>
  <c r="I55" i="10"/>
  <c r="H55" i="10"/>
  <c r="G55" i="10"/>
  <c r="F55" i="10"/>
  <c r="E55" i="10"/>
  <c r="D55" i="10"/>
  <c r="C55" i="10"/>
  <c r="B55" i="10"/>
  <c r="A55" i="10"/>
  <c r="S54" i="10"/>
  <c r="R54" i="10"/>
  <c r="Q54" i="10"/>
  <c r="P54" i="10"/>
  <c r="O54" i="10"/>
  <c r="N54" i="10"/>
  <c r="M54" i="10"/>
  <c r="L54" i="10"/>
  <c r="K54" i="10"/>
  <c r="J54" i="10"/>
  <c r="I54" i="10"/>
  <c r="H54" i="10"/>
  <c r="G54" i="10"/>
  <c r="F54" i="10"/>
  <c r="E54" i="10"/>
  <c r="D54" i="10"/>
  <c r="C54" i="10"/>
  <c r="B54" i="10"/>
  <c r="A54" i="10"/>
  <c r="S53" i="10"/>
  <c r="R53" i="10"/>
  <c r="Q53" i="10"/>
  <c r="P53" i="10"/>
  <c r="O53" i="10"/>
  <c r="N53" i="10"/>
  <c r="M53" i="10"/>
  <c r="L53" i="10"/>
  <c r="K53" i="10"/>
  <c r="J53" i="10"/>
  <c r="I53" i="10"/>
  <c r="H53" i="10"/>
  <c r="G53" i="10"/>
  <c r="F53" i="10"/>
  <c r="E53" i="10"/>
  <c r="D53" i="10"/>
  <c r="C53" i="10"/>
  <c r="B53" i="10"/>
  <c r="A53" i="10"/>
  <c r="S52" i="10"/>
  <c r="R52" i="10"/>
  <c r="Q52" i="10"/>
  <c r="P52" i="10"/>
  <c r="O52" i="10"/>
  <c r="N52" i="10"/>
  <c r="M52" i="10"/>
  <c r="L52" i="10"/>
  <c r="K52" i="10"/>
  <c r="J52" i="10"/>
  <c r="I52" i="10"/>
  <c r="H52" i="10"/>
  <c r="G52" i="10"/>
  <c r="F52" i="10"/>
  <c r="E52" i="10"/>
  <c r="D52" i="10"/>
  <c r="C52" i="10"/>
  <c r="B52" i="10"/>
  <c r="A52" i="10"/>
  <c r="S51" i="10"/>
  <c r="R51" i="10"/>
  <c r="Q51" i="10"/>
  <c r="P51" i="10"/>
  <c r="O51" i="10"/>
  <c r="N51" i="10"/>
  <c r="M51" i="10"/>
  <c r="L51" i="10"/>
  <c r="K51" i="10"/>
  <c r="J51" i="10"/>
  <c r="I51" i="10"/>
  <c r="H51" i="10"/>
  <c r="G51" i="10"/>
  <c r="F51" i="10"/>
  <c r="E51" i="10"/>
  <c r="D51" i="10"/>
  <c r="C51" i="10"/>
  <c r="B51" i="10"/>
  <c r="A51" i="10"/>
  <c r="S50" i="10"/>
  <c r="R50" i="10"/>
  <c r="Q50" i="10"/>
  <c r="P50" i="10"/>
  <c r="O50" i="10"/>
  <c r="N50" i="10"/>
  <c r="M50" i="10"/>
  <c r="L50" i="10"/>
  <c r="K50" i="10"/>
  <c r="J50" i="10"/>
  <c r="I50" i="10"/>
  <c r="H50" i="10"/>
  <c r="G50" i="10"/>
  <c r="F50" i="10"/>
  <c r="E50" i="10"/>
  <c r="D50" i="10"/>
  <c r="C50" i="10"/>
  <c r="B50" i="10"/>
  <c r="A50" i="10"/>
  <c r="S49" i="10"/>
  <c r="R49" i="10"/>
  <c r="Q49" i="10"/>
  <c r="P49" i="10"/>
  <c r="O49" i="10"/>
  <c r="N49" i="10"/>
  <c r="M49" i="10"/>
  <c r="L49" i="10"/>
  <c r="K49" i="10"/>
  <c r="J49" i="10"/>
  <c r="I49" i="10"/>
  <c r="H49" i="10"/>
  <c r="G49" i="10"/>
  <c r="F49" i="10"/>
  <c r="E49" i="10"/>
  <c r="D49" i="10"/>
  <c r="C49" i="10"/>
  <c r="B49" i="10"/>
  <c r="A49" i="10"/>
  <c r="S48" i="10"/>
  <c r="R48" i="10"/>
  <c r="Q48" i="10"/>
  <c r="P48" i="10"/>
  <c r="O48" i="10"/>
  <c r="N48" i="10"/>
  <c r="M48" i="10"/>
  <c r="L48" i="10"/>
  <c r="K48" i="10"/>
  <c r="J48" i="10"/>
  <c r="I48" i="10"/>
  <c r="H48" i="10"/>
  <c r="G48" i="10"/>
  <c r="F48" i="10"/>
  <c r="E48" i="10"/>
  <c r="D48" i="10"/>
  <c r="C48" i="10"/>
  <c r="B48" i="10"/>
  <c r="A48" i="10"/>
  <c r="S47" i="10"/>
  <c r="R47" i="10"/>
  <c r="Q47" i="10"/>
  <c r="P47" i="10"/>
  <c r="O47" i="10"/>
  <c r="N47" i="10"/>
  <c r="M47" i="10"/>
  <c r="L47" i="10"/>
  <c r="K47" i="10"/>
  <c r="J47" i="10"/>
  <c r="I47" i="10"/>
  <c r="H47" i="10"/>
  <c r="G47" i="10"/>
  <c r="F47" i="10"/>
  <c r="E47" i="10"/>
  <c r="D47" i="10"/>
  <c r="C47" i="10"/>
  <c r="B47" i="10"/>
  <c r="A47" i="10"/>
  <c r="S46" i="10"/>
  <c r="R46" i="10"/>
  <c r="Q46" i="10"/>
  <c r="P46" i="10"/>
  <c r="O46" i="10"/>
  <c r="N46" i="10"/>
  <c r="M46" i="10"/>
  <c r="L46" i="10"/>
  <c r="K46" i="10"/>
  <c r="J46" i="10"/>
  <c r="I46" i="10"/>
  <c r="H46" i="10"/>
  <c r="G46" i="10"/>
  <c r="F46" i="10"/>
  <c r="E46" i="10"/>
  <c r="D46" i="10"/>
  <c r="C46" i="10"/>
  <c r="B46" i="10"/>
  <c r="A46" i="10"/>
  <c r="S45" i="10"/>
  <c r="R45" i="10"/>
  <c r="Q45" i="10"/>
  <c r="P45" i="10"/>
  <c r="O45" i="10"/>
  <c r="N45" i="10"/>
  <c r="M45" i="10"/>
  <c r="L45" i="10"/>
  <c r="K45" i="10"/>
  <c r="J45" i="10"/>
  <c r="I45" i="10"/>
  <c r="H45" i="10"/>
  <c r="G45" i="10"/>
  <c r="F45" i="10"/>
  <c r="E45" i="10"/>
  <c r="D45" i="10"/>
  <c r="C45" i="10"/>
  <c r="B45" i="10"/>
  <c r="A45" i="10"/>
  <c r="S44" i="10"/>
  <c r="R44" i="10"/>
  <c r="Q44" i="10"/>
  <c r="P44" i="10"/>
  <c r="O44" i="10"/>
  <c r="N44" i="10"/>
  <c r="M44" i="10"/>
  <c r="L44" i="10"/>
  <c r="K44" i="10"/>
  <c r="J44" i="10"/>
  <c r="I44" i="10"/>
  <c r="H44" i="10"/>
  <c r="G44" i="10"/>
  <c r="F44" i="10"/>
  <c r="E44" i="10"/>
  <c r="D44" i="10"/>
  <c r="C44" i="10"/>
  <c r="B44" i="10"/>
  <c r="A44" i="10"/>
  <c r="S43" i="10"/>
  <c r="R43" i="10"/>
  <c r="Q43" i="10"/>
  <c r="P43" i="10"/>
  <c r="O43" i="10"/>
  <c r="N43" i="10"/>
  <c r="M43" i="10"/>
  <c r="L43" i="10"/>
  <c r="K43" i="10"/>
  <c r="J43" i="10"/>
  <c r="I43" i="10"/>
  <c r="H43" i="10"/>
  <c r="G43" i="10"/>
  <c r="F43" i="10"/>
  <c r="E43" i="10"/>
  <c r="D43" i="10"/>
  <c r="C43" i="10"/>
  <c r="B43" i="10"/>
  <c r="A43" i="10"/>
  <c r="S42" i="10"/>
  <c r="R42" i="10"/>
  <c r="Q42" i="10"/>
  <c r="P42" i="10"/>
  <c r="O42" i="10"/>
  <c r="N42" i="10"/>
  <c r="M42" i="10"/>
  <c r="L42" i="10"/>
  <c r="K42" i="10"/>
  <c r="J42" i="10"/>
  <c r="I42" i="10"/>
  <c r="H42" i="10"/>
  <c r="G42" i="10"/>
  <c r="F42" i="10"/>
  <c r="E42" i="10"/>
  <c r="D42" i="10"/>
  <c r="C42" i="10"/>
  <c r="B42" i="10"/>
  <c r="A42" i="10"/>
  <c r="S41" i="10"/>
  <c r="R41" i="10"/>
  <c r="Q41" i="10"/>
  <c r="P41" i="10"/>
  <c r="O41" i="10"/>
  <c r="N41" i="10"/>
  <c r="M41" i="10"/>
  <c r="L41" i="10"/>
  <c r="K41" i="10"/>
  <c r="J41" i="10"/>
  <c r="I41" i="10"/>
  <c r="H41" i="10"/>
  <c r="G41" i="10"/>
  <c r="F41" i="10"/>
  <c r="E41" i="10"/>
  <c r="D41" i="10"/>
  <c r="C41" i="10"/>
  <c r="B41" i="10"/>
  <c r="A41" i="10"/>
  <c r="S40" i="10"/>
  <c r="R40" i="10"/>
  <c r="Q40" i="10"/>
  <c r="P40" i="10"/>
  <c r="O40" i="10"/>
  <c r="N40" i="10"/>
  <c r="M40" i="10"/>
  <c r="L40" i="10"/>
  <c r="K40" i="10"/>
  <c r="J40" i="10"/>
  <c r="I40" i="10"/>
  <c r="H40" i="10"/>
  <c r="G40" i="10"/>
  <c r="F40" i="10"/>
  <c r="E40" i="10"/>
  <c r="D40" i="10"/>
  <c r="C40" i="10"/>
  <c r="B40" i="10"/>
  <c r="A40" i="10"/>
  <c r="S39" i="10"/>
  <c r="R39" i="10"/>
  <c r="Q39" i="10"/>
  <c r="P39" i="10"/>
  <c r="O39" i="10"/>
  <c r="N39" i="10"/>
  <c r="M39" i="10"/>
  <c r="L39" i="10"/>
  <c r="K39" i="10"/>
  <c r="J39" i="10"/>
  <c r="I39" i="10"/>
  <c r="H39" i="10"/>
  <c r="G39" i="10"/>
  <c r="F39" i="10"/>
  <c r="E39" i="10"/>
  <c r="D39" i="10"/>
  <c r="C39" i="10"/>
  <c r="B39" i="10"/>
  <c r="A39" i="10"/>
  <c r="S38" i="10"/>
  <c r="R38" i="10"/>
  <c r="Q38" i="10"/>
  <c r="P38" i="10"/>
  <c r="O38" i="10"/>
  <c r="N38" i="10"/>
  <c r="M38" i="10"/>
  <c r="L38" i="10"/>
  <c r="K38" i="10"/>
  <c r="J38" i="10"/>
  <c r="I38" i="10"/>
  <c r="H38" i="10"/>
  <c r="G38" i="10"/>
  <c r="F38" i="10"/>
  <c r="E38" i="10"/>
  <c r="D38" i="10"/>
  <c r="C38" i="10"/>
  <c r="B38" i="10"/>
  <c r="A38" i="10"/>
  <c r="S37" i="10"/>
  <c r="R37" i="10"/>
  <c r="Q37" i="10"/>
  <c r="P37" i="10"/>
  <c r="O37" i="10"/>
  <c r="N37" i="10"/>
  <c r="M37" i="10"/>
  <c r="L37" i="10"/>
  <c r="K37" i="10"/>
  <c r="J37" i="10"/>
  <c r="I37" i="10"/>
  <c r="H37" i="10"/>
  <c r="G37" i="10"/>
  <c r="F37" i="10"/>
  <c r="E37" i="10"/>
  <c r="D37" i="10"/>
  <c r="C37" i="10"/>
  <c r="B37" i="10"/>
  <c r="A37" i="10"/>
  <c r="S36" i="10"/>
  <c r="R36" i="10"/>
  <c r="Q36" i="10"/>
  <c r="P36" i="10"/>
  <c r="O36" i="10"/>
  <c r="N36" i="10"/>
  <c r="M36" i="10"/>
  <c r="L36" i="10"/>
  <c r="K36" i="10"/>
  <c r="J36" i="10"/>
  <c r="I36" i="10"/>
  <c r="H36" i="10"/>
  <c r="G36" i="10"/>
  <c r="F36" i="10"/>
  <c r="E36" i="10"/>
  <c r="D36" i="10"/>
  <c r="C36" i="10"/>
  <c r="B36" i="10"/>
  <c r="A36" i="10"/>
  <c r="S35" i="10"/>
  <c r="R35" i="10"/>
  <c r="Q35" i="10"/>
  <c r="P35" i="10"/>
  <c r="O35" i="10"/>
  <c r="N35" i="10"/>
  <c r="M35" i="10"/>
  <c r="L35" i="10"/>
  <c r="K35" i="10"/>
  <c r="J35" i="10"/>
  <c r="I35" i="10"/>
  <c r="H35" i="10"/>
  <c r="G35" i="10"/>
  <c r="F35" i="10"/>
  <c r="E35" i="10"/>
  <c r="D35" i="10"/>
  <c r="C35" i="10"/>
  <c r="B35" i="10"/>
  <c r="A35" i="10"/>
  <c r="S34" i="10"/>
  <c r="R34" i="10"/>
  <c r="Q34" i="10"/>
  <c r="P34" i="10"/>
  <c r="O34" i="10"/>
  <c r="N34" i="10"/>
  <c r="M34" i="10"/>
  <c r="L34" i="10"/>
  <c r="K34" i="10"/>
  <c r="J34" i="10"/>
  <c r="I34" i="10"/>
  <c r="H34" i="10"/>
  <c r="G34" i="10"/>
  <c r="F34" i="10"/>
  <c r="E34" i="10"/>
  <c r="D34" i="10"/>
  <c r="C34" i="10"/>
  <c r="B34" i="10"/>
  <c r="A34" i="10"/>
  <c r="S33" i="10"/>
  <c r="R33" i="10"/>
  <c r="Q33" i="10"/>
  <c r="P33" i="10"/>
  <c r="O33" i="10"/>
  <c r="N33" i="10"/>
  <c r="M33" i="10"/>
  <c r="L33" i="10"/>
  <c r="K33" i="10"/>
  <c r="J33" i="10"/>
  <c r="I33" i="10"/>
  <c r="H33" i="10"/>
  <c r="G33" i="10"/>
  <c r="F33" i="10"/>
  <c r="E33" i="10"/>
  <c r="D33" i="10"/>
  <c r="C33" i="10"/>
  <c r="B33" i="10"/>
  <c r="A33" i="10"/>
  <c r="S32" i="10"/>
  <c r="R32" i="10"/>
  <c r="Q32" i="10"/>
  <c r="P32" i="10"/>
  <c r="O32" i="10"/>
  <c r="N32" i="10"/>
  <c r="M32" i="10"/>
  <c r="L32" i="10"/>
  <c r="K32" i="10"/>
  <c r="J32" i="10"/>
  <c r="I32" i="10"/>
  <c r="H32" i="10"/>
  <c r="G32" i="10"/>
  <c r="F32" i="10"/>
  <c r="E32" i="10"/>
  <c r="D32" i="10"/>
  <c r="C32" i="10"/>
  <c r="B32" i="10"/>
  <c r="A32" i="10"/>
  <c r="S31" i="10"/>
  <c r="R31" i="10"/>
  <c r="Q31" i="10"/>
  <c r="P31" i="10"/>
  <c r="O31" i="10"/>
  <c r="N31" i="10"/>
  <c r="M31" i="10"/>
  <c r="L31" i="10"/>
  <c r="K31" i="10"/>
  <c r="J31" i="10"/>
  <c r="I31" i="10"/>
  <c r="H31" i="10"/>
  <c r="G31" i="10"/>
  <c r="F31" i="10"/>
  <c r="E31" i="10"/>
  <c r="D31" i="10"/>
  <c r="C31" i="10"/>
  <c r="B31" i="10"/>
  <c r="A31" i="10"/>
  <c r="S30" i="10"/>
  <c r="R30" i="10"/>
  <c r="Q30" i="10"/>
  <c r="P30" i="10"/>
  <c r="O30" i="10"/>
  <c r="N30" i="10"/>
  <c r="M30" i="10"/>
  <c r="L30" i="10"/>
  <c r="K30" i="10"/>
  <c r="J30" i="10"/>
  <c r="I30" i="10"/>
  <c r="H30" i="10"/>
  <c r="G30" i="10"/>
  <c r="F30" i="10"/>
  <c r="E30" i="10"/>
  <c r="D30" i="10"/>
  <c r="C30" i="10"/>
  <c r="B30" i="10"/>
  <c r="A30" i="10"/>
  <c r="S29" i="10"/>
  <c r="R29" i="10"/>
  <c r="Q29" i="10"/>
  <c r="P29" i="10"/>
  <c r="O29" i="10"/>
  <c r="N29" i="10"/>
  <c r="M29" i="10"/>
  <c r="L29" i="10"/>
  <c r="K29" i="10"/>
  <c r="J29" i="10"/>
  <c r="I29" i="10"/>
  <c r="H29" i="10"/>
  <c r="G29" i="10"/>
  <c r="F29" i="10"/>
  <c r="E29" i="10"/>
  <c r="D29" i="10"/>
  <c r="C29" i="10"/>
  <c r="B29" i="10"/>
  <c r="A29" i="10"/>
  <c r="S28" i="10"/>
  <c r="R28" i="10"/>
  <c r="Q28" i="10"/>
  <c r="P28" i="10"/>
  <c r="O28" i="10"/>
  <c r="N28" i="10"/>
  <c r="M28" i="10"/>
  <c r="L28" i="10"/>
  <c r="K28" i="10"/>
  <c r="J28" i="10"/>
  <c r="I28" i="10"/>
  <c r="H28" i="10"/>
  <c r="G28" i="10"/>
  <c r="F28" i="10"/>
  <c r="E28" i="10"/>
  <c r="D28" i="10"/>
  <c r="C28" i="10"/>
  <c r="B28" i="10"/>
  <c r="A28" i="10"/>
  <c r="S27" i="10"/>
  <c r="R27" i="10"/>
  <c r="Q27" i="10"/>
  <c r="P27" i="10"/>
  <c r="O27" i="10"/>
  <c r="N27" i="10"/>
  <c r="M27" i="10"/>
  <c r="L27" i="10"/>
  <c r="K27" i="10"/>
  <c r="J27" i="10"/>
  <c r="I27" i="10"/>
  <c r="H27" i="10"/>
  <c r="G27" i="10"/>
  <c r="F27" i="10"/>
  <c r="E27" i="10"/>
  <c r="D27" i="10"/>
  <c r="C27" i="10"/>
  <c r="B27" i="10"/>
  <c r="A27" i="10"/>
  <c r="S26" i="10"/>
  <c r="R26" i="10"/>
  <c r="Q26" i="10"/>
  <c r="P26" i="10"/>
  <c r="O26" i="10"/>
  <c r="N26" i="10"/>
  <c r="M26" i="10"/>
  <c r="L26" i="10"/>
  <c r="K26" i="10"/>
  <c r="J26" i="10"/>
  <c r="I26" i="10"/>
  <c r="H26" i="10"/>
  <c r="G26" i="10"/>
  <c r="F26" i="10"/>
  <c r="E26" i="10"/>
  <c r="D26" i="10"/>
  <c r="C26" i="10"/>
  <c r="B26" i="10"/>
  <c r="A26" i="10"/>
  <c r="S25" i="10"/>
  <c r="R25" i="10"/>
  <c r="Q25" i="10"/>
  <c r="P25" i="10"/>
  <c r="O25" i="10"/>
  <c r="N25" i="10"/>
  <c r="M25" i="10"/>
  <c r="L25" i="10"/>
  <c r="K25" i="10"/>
  <c r="J25" i="10"/>
  <c r="I25" i="10"/>
  <c r="H25" i="10"/>
  <c r="G25" i="10"/>
  <c r="F25" i="10"/>
  <c r="E25" i="10"/>
  <c r="D25" i="10"/>
  <c r="C25" i="10"/>
  <c r="B25" i="10"/>
  <c r="A25" i="10"/>
  <c r="S24" i="10"/>
  <c r="R24" i="10"/>
  <c r="Q24" i="10"/>
  <c r="P24" i="10"/>
  <c r="O24" i="10"/>
  <c r="N24" i="10"/>
  <c r="M24" i="10"/>
  <c r="L24" i="10"/>
  <c r="K24" i="10"/>
  <c r="J24" i="10"/>
  <c r="I24" i="10"/>
  <c r="H24" i="10"/>
  <c r="G24" i="10"/>
  <c r="F24" i="10"/>
  <c r="E24" i="10"/>
  <c r="D24" i="10"/>
  <c r="C24" i="10"/>
  <c r="B24" i="10"/>
  <c r="A24" i="10"/>
  <c r="S23" i="10"/>
  <c r="R23" i="10"/>
  <c r="Q23" i="10"/>
  <c r="P23" i="10"/>
  <c r="O23" i="10"/>
  <c r="N23" i="10"/>
  <c r="M23" i="10"/>
  <c r="L23" i="10"/>
  <c r="K23" i="10"/>
  <c r="J23" i="10"/>
  <c r="I23" i="10"/>
  <c r="H23" i="10"/>
  <c r="G23" i="10"/>
  <c r="F23" i="10"/>
  <c r="E23" i="10"/>
  <c r="D23" i="10"/>
  <c r="C23" i="10"/>
  <c r="B23" i="10"/>
  <c r="A23" i="10"/>
  <c r="S22" i="10"/>
  <c r="R22" i="10"/>
  <c r="Q22" i="10"/>
  <c r="P22" i="10"/>
  <c r="O22" i="10"/>
  <c r="N22" i="10"/>
  <c r="M22" i="10"/>
  <c r="L22" i="10"/>
  <c r="K22" i="10"/>
  <c r="J22" i="10"/>
  <c r="I22" i="10"/>
  <c r="H22" i="10"/>
  <c r="G22" i="10"/>
  <c r="F22" i="10"/>
  <c r="E22" i="10"/>
  <c r="D22" i="10"/>
  <c r="C22" i="10"/>
  <c r="B22" i="10"/>
  <c r="A22" i="10"/>
  <c r="S21" i="10"/>
  <c r="R21" i="10"/>
  <c r="Q21" i="10"/>
  <c r="P21" i="10"/>
  <c r="O21" i="10"/>
  <c r="N21" i="10"/>
  <c r="M21" i="10"/>
  <c r="L21" i="10"/>
  <c r="K21" i="10"/>
  <c r="J21" i="10"/>
  <c r="I21" i="10"/>
  <c r="H21" i="10"/>
  <c r="G21" i="10"/>
  <c r="F21" i="10"/>
  <c r="E21" i="10"/>
  <c r="D21" i="10"/>
  <c r="C21" i="10"/>
  <c r="B21" i="10"/>
  <c r="A21" i="10"/>
  <c r="S20" i="10"/>
  <c r="R20" i="10"/>
  <c r="Q20" i="10"/>
  <c r="P20" i="10"/>
  <c r="O20" i="10"/>
  <c r="N20" i="10"/>
  <c r="M20" i="10"/>
  <c r="L20" i="10"/>
  <c r="K20" i="10"/>
  <c r="J20" i="10"/>
  <c r="I20" i="10"/>
  <c r="H20" i="10"/>
  <c r="G20" i="10"/>
  <c r="F20" i="10"/>
  <c r="E20" i="10"/>
  <c r="D20" i="10"/>
  <c r="C20" i="10"/>
  <c r="B20" i="10"/>
  <c r="A20" i="10"/>
  <c r="S19" i="10"/>
  <c r="R19" i="10"/>
  <c r="Q19" i="10"/>
  <c r="P19" i="10"/>
  <c r="O19" i="10"/>
  <c r="N19" i="10"/>
  <c r="M19" i="10"/>
  <c r="L19" i="10"/>
  <c r="K19" i="10"/>
  <c r="J19" i="10"/>
  <c r="I19" i="10"/>
  <c r="H19" i="10"/>
  <c r="G19" i="10"/>
  <c r="F19" i="10"/>
  <c r="E19" i="10"/>
  <c r="D19" i="10"/>
  <c r="C19" i="10"/>
  <c r="B19" i="10"/>
  <c r="A19" i="10"/>
  <c r="S18" i="10"/>
  <c r="R18" i="10"/>
  <c r="Q18" i="10"/>
  <c r="P18" i="10"/>
  <c r="O18" i="10"/>
  <c r="N18" i="10"/>
  <c r="M18" i="10"/>
  <c r="L18" i="10"/>
  <c r="K18" i="10"/>
  <c r="J18" i="10"/>
  <c r="I18" i="10"/>
  <c r="H18" i="10"/>
  <c r="G18" i="10"/>
  <c r="F18" i="10"/>
  <c r="E18" i="10"/>
  <c r="D18" i="10"/>
  <c r="C18" i="10"/>
  <c r="B18" i="10"/>
  <c r="A18" i="10"/>
  <c r="S17" i="10"/>
  <c r="R17" i="10"/>
  <c r="Q17" i="10"/>
  <c r="P17" i="10"/>
  <c r="O17" i="10"/>
  <c r="N17" i="10"/>
  <c r="M17" i="10"/>
  <c r="L17" i="10"/>
  <c r="K17" i="10"/>
  <c r="J17" i="10"/>
  <c r="I17" i="10"/>
  <c r="H17" i="10"/>
  <c r="G17" i="10"/>
  <c r="F17" i="10"/>
  <c r="E17" i="10"/>
  <c r="D17" i="10"/>
  <c r="C17" i="10"/>
  <c r="B17" i="10"/>
  <c r="A17" i="10"/>
  <c r="S16" i="10"/>
  <c r="R16" i="10"/>
  <c r="Q16" i="10"/>
  <c r="P16" i="10"/>
  <c r="O16" i="10"/>
  <c r="N16" i="10"/>
  <c r="M16" i="10"/>
  <c r="L16" i="10"/>
  <c r="K16" i="10"/>
  <c r="J16" i="10"/>
  <c r="I16" i="10"/>
  <c r="H16" i="10"/>
  <c r="G16" i="10"/>
  <c r="F16" i="10"/>
  <c r="E16" i="10"/>
  <c r="D16" i="10"/>
  <c r="C16" i="10"/>
  <c r="B16" i="10"/>
  <c r="A16" i="10"/>
  <c r="S15" i="10"/>
  <c r="R15" i="10"/>
  <c r="Q15" i="10"/>
  <c r="P15" i="10"/>
  <c r="O15" i="10"/>
  <c r="N15" i="10"/>
  <c r="M15" i="10"/>
  <c r="L15" i="10"/>
  <c r="K15" i="10"/>
  <c r="J15" i="10"/>
  <c r="I15" i="10"/>
  <c r="H15" i="10"/>
  <c r="G15" i="10"/>
  <c r="F15" i="10"/>
  <c r="E15" i="10"/>
  <c r="D15" i="10"/>
  <c r="C15" i="10"/>
  <c r="B15" i="10"/>
  <c r="A15" i="10"/>
  <c r="S14" i="10"/>
  <c r="R14" i="10"/>
  <c r="Q14" i="10"/>
  <c r="P14" i="10"/>
  <c r="O14" i="10"/>
  <c r="N14" i="10"/>
  <c r="M14" i="10"/>
  <c r="L14" i="10"/>
  <c r="K14" i="10"/>
  <c r="J14" i="10"/>
  <c r="I14" i="10"/>
  <c r="H14" i="10"/>
  <c r="G14" i="10"/>
  <c r="F14" i="10"/>
  <c r="E14" i="10"/>
  <c r="D14" i="10"/>
  <c r="C14" i="10"/>
  <c r="B14" i="10"/>
  <c r="A14" i="10"/>
  <c r="S13" i="10"/>
  <c r="R13" i="10"/>
  <c r="Q13" i="10"/>
  <c r="P13" i="10"/>
  <c r="O13" i="10"/>
  <c r="N13" i="10"/>
  <c r="M13" i="10"/>
  <c r="L13" i="10"/>
  <c r="K13" i="10"/>
  <c r="J13" i="10"/>
  <c r="I13" i="10"/>
  <c r="H13" i="10"/>
  <c r="G13" i="10"/>
  <c r="F13" i="10"/>
  <c r="E13" i="10"/>
  <c r="D13" i="10"/>
  <c r="C13" i="10"/>
  <c r="B13" i="10"/>
  <c r="A13" i="10"/>
  <c r="S12" i="10"/>
  <c r="R12" i="10"/>
  <c r="Q12" i="10"/>
  <c r="P12" i="10"/>
  <c r="O12" i="10"/>
  <c r="N12" i="10"/>
  <c r="M12" i="10"/>
  <c r="L12" i="10"/>
  <c r="K12" i="10"/>
  <c r="J12" i="10"/>
  <c r="I12" i="10"/>
  <c r="H12" i="10"/>
  <c r="G12" i="10"/>
  <c r="F12" i="10"/>
  <c r="E12" i="10"/>
  <c r="D12" i="10"/>
  <c r="C12" i="10"/>
  <c r="B12" i="10"/>
  <c r="A12" i="10"/>
  <c r="S11" i="10"/>
  <c r="R11" i="10"/>
  <c r="Q11" i="10"/>
  <c r="P11" i="10"/>
  <c r="O11" i="10"/>
  <c r="N11" i="10"/>
  <c r="M11" i="10"/>
  <c r="L11" i="10"/>
  <c r="K11" i="10"/>
  <c r="J11" i="10"/>
  <c r="I11" i="10"/>
  <c r="H11" i="10"/>
  <c r="G11" i="10"/>
  <c r="F11" i="10"/>
  <c r="E11" i="10"/>
  <c r="D11" i="10"/>
  <c r="C11" i="10"/>
  <c r="B11" i="10"/>
  <c r="A11" i="10"/>
  <c r="S10" i="10"/>
  <c r="R10" i="10"/>
  <c r="Q10" i="10"/>
  <c r="P10" i="10"/>
  <c r="O10" i="10"/>
  <c r="N10" i="10"/>
  <c r="M10" i="10"/>
  <c r="L10" i="10"/>
  <c r="K10" i="10"/>
  <c r="J10" i="10"/>
  <c r="I10" i="10"/>
  <c r="H10" i="10"/>
  <c r="G10" i="10"/>
  <c r="F10" i="10"/>
  <c r="E10" i="10"/>
  <c r="D10" i="10"/>
  <c r="C10" i="10"/>
  <c r="B10" i="10"/>
  <c r="A10" i="10"/>
  <c r="S9" i="10"/>
  <c r="R9" i="10"/>
  <c r="Q9" i="10"/>
  <c r="P9" i="10"/>
  <c r="O9" i="10"/>
  <c r="N9" i="10"/>
  <c r="M9" i="10"/>
  <c r="L9" i="10"/>
  <c r="K9" i="10"/>
  <c r="J9" i="10"/>
  <c r="I9" i="10"/>
  <c r="H9" i="10"/>
  <c r="G9" i="10"/>
  <c r="F9" i="10"/>
  <c r="E9" i="10"/>
  <c r="D9" i="10"/>
  <c r="C9" i="10"/>
  <c r="B9" i="10"/>
  <c r="A9" i="10"/>
  <c r="S8" i="10"/>
  <c r="R8" i="10"/>
  <c r="Q8" i="10"/>
  <c r="P8" i="10"/>
  <c r="O8" i="10"/>
  <c r="N8" i="10"/>
  <c r="M8" i="10"/>
  <c r="L8" i="10"/>
  <c r="K8" i="10"/>
  <c r="J8" i="10"/>
  <c r="I8" i="10"/>
  <c r="H8" i="10"/>
  <c r="G8" i="10"/>
  <c r="F8" i="10"/>
  <c r="E8" i="10"/>
  <c r="D8" i="10"/>
  <c r="C8" i="10"/>
  <c r="B8" i="10"/>
  <c r="A8" i="10"/>
  <c r="S7" i="10"/>
  <c r="R7" i="10"/>
  <c r="Q7" i="10"/>
  <c r="P7" i="10"/>
  <c r="O7" i="10"/>
  <c r="N7" i="10"/>
  <c r="M7" i="10"/>
  <c r="L7" i="10"/>
  <c r="K7" i="10"/>
  <c r="J7" i="10"/>
  <c r="I7" i="10"/>
  <c r="H7" i="10"/>
  <c r="G7" i="10"/>
  <c r="F7" i="10"/>
  <c r="E7" i="10"/>
  <c r="D7" i="10"/>
  <c r="C7" i="10"/>
  <c r="B7" i="10"/>
  <c r="A7" i="10"/>
  <c r="S6" i="10"/>
  <c r="R6" i="10"/>
  <c r="Q6" i="10"/>
  <c r="P6" i="10"/>
  <c r="O6" i="10"/>
  <c r="N6" i="10"/>
  <c r="M6" i="10"/>
  <c r="L6" i="10"/>
  <c r="K6" i="10"/>
  <c r="J6" i="10"/>
  <c r="I6" i="10"/>
  <c r="H6" i="10"/>
  <c r="G6" i="10"/>
  <c r="F6" i="10"/>
  <c r="E6" i="10"/>
  <c r="D6" i="10"/>
  <c r="C6" i="10"/>
  <c r="B6" i="10"/>
  <c r="A6" i="10"/>
  <c r="S5" i="10"/>
  <c r="R5" i="10"/>
  <c r="Q5" i="10"/>
  <c r="P5" i="10"/>
  <c r="O5" i="10"/>
  <c r="N5" i="10"/>
  <c r="M5" i="10"/>
  <c r="L5" i="10"/>
  <c r="K5" i="10"/>
  <c r="J5" i="10"/>
  <c r="I5" i="10"/>
  <c r="H5" i="10"/>
  <c r="G5" i="10"/>
  <c r="F5" i="10"/>
  <c r="E5" i="10"/>
  <c r="D5" i="10"/>
  <c r="C5" i="10"/>
  <c r="B5" i="10"/>
  <c r="A5" i="10"/>
  <c r="S4" i="10"/>
  <c r="R4" i="10"/>
  <c r="Q4" i="10"/>
  <c r="P4" i="10"/>
  <c r="O4" i="10"/>
  <c r="N4" i="10"/>
  <c r="M4" i="10"/>
  <c r="L4" i="10"/>
  <c r="K4" i="10"/>
  <c r="J4" i="10"/>
  <c r="I4" i="10"/>
  <c r="H4" i="10"/>
  <c r="G4" i="10"/>
  <c r="F4" i="10"/>
  <c r="E4" i="10"/>
  <c r="D4" i="10"/>
  <c r="C4" i="10"/>
  <c r="B4" i="10"/>
  <c r="A4" i="10"/>
  <c r="S3" i="10"/>
  <c r="R3" i="10"/>
  <c r="Q3" i="10"/>
  <c r="P3" i="10"/>
  <c r="O3" i="10"/>
  <c r="N3" i="10"/>
  <c r="M3" i="10"/>
  <c r="L3" i="10"/>
  <c r="K3" i="10"/>
  <c r="J3" i="10"/>
  <c r="I3" i="10"/>
  <c r="H3" i="10"/>
  <c r="G3" i="10"/>
  <c r="F3" i="10"/>
  <c r="E3" i="10"/>
  <c r="D3" i="10"/>
  <c r="C3" i="10"/>
  <c r="B3" i="10"/>
  <c r="A3" i="10"/>
  <c r="S2" i="10"/>
  <c r="R2" i="10"/>
  <c r="Q2" i="10"/>
  <c r="P2" i="10"/>
  <c r="O2" i="10"/>
  <c r="N2" i="10"/>
  <c r="M2" i="10"/>
  <c r="L2" i="10"/>
  <c r="K2" i="10"/>
  <c r="J2" i="10"/>
  <c r="I2" i="10"/>
  <c r="H2" i="10"/>
  <c r="G2" i="10"/>
  <c r="F2" i="10"/>
  <c r="E2" i="10"/>
  <c r="D2" i="10"/>
  <c r="C2" i="10"/>
  <c r="B2" i="10"/>
  <c r="A2" i="10"/>
  <c r="S1" i="10"/>
  <c r="R1" i="10"/>
  <c r="Q1" i="10"/>
  <c r="P1" i="10"/>
  <c r="O1" i="10"/>
  <c r="N1" i="10"/>
  <c r="M1" i="10"/>
  <c r="L1" i="10"/>
  <c r="K1" i="10"/>
  <c r="J1" i="10"/>
  <c r="I1" i="10"/>
  <c r="H1" i="10"/>
  <c r="G1" i="10"/>
  <c r="F1" i="10"/>
  <c r="E1" i="10"/>
  <c r="D1" i="10"/>
  <c r="C1" i="10"/>
  <c r="B1" i="10"/>
  <c r="A1" i="10"/>
  <c r="K46" i="7"/>
  <c r="E42" i="7"/>
  <c r="E41" i="7"/>
  <c r="E40" i="7"/>
  <c r="E39" i="7"/>
  <c r="E38" i="7"/>
  <c r="E37" i="7"/>
  <c r="E36" i="7"/>
  <c r="E35" i="7"/>
  <c r="K34" i="7"/>
  <c r="G19" i="7"/>
  <c r="I27" i="7" s="1"/>
  <c r="G15" i="7"/>
  <c r="G14" i="7"/>
  <c r="G13" i="7"/>
  <c r="AD80" i="6"/>
  <c r="AB80" i="6"/>
  <c r="Z80" i="6"/>
  <c r="X80" i="6"/>
  <c r="V80" i="6"/>
  <c r="T80" i="6"/>
  <c r="R80" i="6"/>
  <c r="AD79" i="6"/>
  <c r="AB79" i="6"/>
  <c r="Z79" i="6"/>
  <c r="X79" i="6"/>
  <c r="V79" i="6"/>
  <c r="T79" i="6"/>
  <c r="R79" i="6"/>
  <c r="O79" i="6"/>
  <c r="AF78" i="6"/>
  <c r="AD78" i="6"/>
  <c r="AB78" i="6"/>
  <c r="Z78" i="6"/>
  <c r="X78" i="6"/>
  <c r="V78" i="6"/>
  <c r="T78" i="6"/>
  <c r="J78" i="6"/>
  <c r="G42" i="7" s="1"/>
  <c r="H78" i="6"/>
  <c r="I78" i="6" s="1"/>
  <c r="F78" i="6"/>
  <c r="G78" i="6" s="1"/>
  <c r="E78" i="6"/>
  <c r="AF77" i="6"/>
  <c r="AD77" i="6"/>
  <c r="AB77" i="6"/>
  <c r="Z77" i="6"/>
  <c r="X77" i="6"/>
  <c r="V77" i="6"/>
  <c r="T77" i="6"/>
  <c r="J77" i="6"/>
  <c r="G41" i="7" s="1"/>
  <c r="H77" i="6"/>
  <c r="I77" i="6" s="1"/>
  <c r="F77" i="6"/>
  <c r="G77" i="6" s="1"/>
  <c r="K76" i="6"/>
  <c r="E76" i="6"/>
  <c r="AD75" i="6"/>
  <c r="AB75" i="6"/>
  <c r="Z75" i="6"/>
  <c r="X75" i="6"/>
  <c r="V75" i="6"/>
  <c r="E71" i="6" s="1"/>
  <c r="T75" i="6"/>
  <c r="AD74" i="6"/>
  <c r="AB74" i="6"/>
  <c r="Z74" i="6"/>
  <c r="X74" i="6"/>
  <c r="V74" i="6"/>
  <c r="T74" i="6"/>
  <c r="R74" i="6"/>
  <c r="AD73" i="6"/>
  <c r="AB73" i="6"/>
  <c r="Z73" i="6"/>
  <c r="X73" i="6"/>
  <c r="V73" i="6"/>
  <c r="T73" i="6"/>
  <c r="R73" i="6"/>
  <c r="J73" i="6"/>
  <c r="G40" i="7" s="1"/>
  <c r="H73" i="6"/>
  <c r="I73" i="6" s="1"/>
  <c r="F73" i="6"/>
  <c r="G73" i="6" s="1"/>
  <c r="E73" i="6"/>
  <c r="AD72" i="6"/>
  <c r="AB72" i="6"/>
  <c r="Z72" i="6"/>
  <c r="X72" i="6"/>
  <c r="V72" i="6"/>
  <c r="T72" i="6"/>
  <c r="R72" i="6"/>
  <c r="J72" i="6"/>
  <c r="G39" i="7" s="1"/>
  <c r="H72" i="6"/>
  <c r="I72" i="6" s="1"/>
  <c r="F72" i="6"/>
  <c r="G72" i="6" s="1"/>
  <c r="E72" i="6"/>
  <c r="AD71" i="6"/>
  <c r="AB71" i="6"/>
  <c r="Z71" i="6"/>
  <c r="X71" i="6"/>
  <c r="V71" i="6"/>
  <c r="T71" i="6"/>
  <c r="R71" i="6"/>
  <c r="J71" i="6"/>
  <c r="G38" i="7" s="1"/>
  <c r="H71" i="6"/>
  <c r="I71" i="6" s="1"/>
  <c r="AD70" i="6"/>
  <c r="AB70" i="6"/>
  <c r="Z70" i="6"/>
  <c r="X70" i="6"/>
  <c r="V70" i="6"/>
  <c r="T70" i="6"/>
  <c r="R70" i="6"/>
  <c r="E70" i="6" s="1"/>
  <c r="J70" i="6"/>
  <c r="K70" i="6" s="1"/>
  <c r="H37" i="7" s="1"/>
  <c r="H70" i="6"/>
  <c r="I70" i="6" s="1"/>
  <c r="F70" i="6"/>
  <c r="G70" i="6" s="1"/>
  <c r="AD69" i="6"/>
  <c r="AB69" i="6"/>
  <c r="Z69" i="6"/>
  <c r="X69" i="6"/>
  <c r="V69" i="6"/>
  <c r="T69" i="6"/>
  <c r="R69" i="6"/>
  <c r="L69" i="6"/>
  <c r="L70" i="6" s="1"/>
  <c r="L71" i="6" s="1"/>
  <c r="L72" i="6" s="1"/>
  <c r="L73" i="6" s="1"/>
  <c r="J69" i="6"/>
  <c r="G36" i="7" s="1"/>
  <c r="H69" i="6"/>
  <c r="I69" i="6" s="1"/>
  <c r="F69" i="6"/>
  <c r="G69" i="6" s="1"/>
  <c r="E69" i="6"/>
  <c r="AD68" i="6"/>
  <c r="AB68" i="6"/>
  <c r="Z68" i="6"/>
  <c r="X68" i="6"/>
  <c r="V68" i="6"/>
  <c r="T68" i="6"/>
  <c r="R68" i="6"/>
  <c r="J68" i="6"/>
  <c r="K68" i="6" s="1"/>
  <c r="H35" i="7" s="1"/>
  <c r="H44" i="7" s="1"/>
  <c r="H68" i="6"/>
  <c r="I68" i="6" s="1"/>
  <c r="I79" i="6" s="1"/>
  <c r="I80" i="6" s="1"/>
  <c r="F68" i="6"/>
  <c r="G68" i="6" s="1"/>
  <c r="G79" i="6" s="1"/>
  <c r="G80" i="6" s="1"/>
  <c r="E68" i="6"/>
  <c r="E67" i="6"/>
  <c r="E36" i="6"/>
  <c r="E35" i="6" s="1"/>
  <c r="D35" i="6"/>
  <c r="J31" i="6"/>
  <c r="H31" i="6"/>
  <c r="F31" i="6"/>
  <c r="J29" i="6"/>
  <c r="H29" i="6"/>
  <c r="F29" i="6"/>
  <c r="J28" i="6"/>
  <c r="H28" i="6"/>
  <c r="F28" i="6"/>
  <c r="J27" i="6"/>
  <c r="H27" i="6"/>
  <c r="F27" i="6"/>
  <c r="J26" i="6"/>
  <c r="H26" i="6"/>
  <c r="F26" i="6"/>
  <c r="J25" i="6"/>
  <c r="H25" i="6"/>
  <c r="F25" i="6"/>
  <c r="J24" i="6"/>
  <c r="H24" i="6"/>
  <c r="F24" i="6"/>
  <c r="J21" i="6"/>
  <c r="H21" i="6"/>
  <c r="F21" i="6"/>
  <c r="J20" i="6"/>
  <c r="H20" i="6"/>
  <c r="F20" i="6"/>
  <c r="J19" i="6"/>
  <c r="H19" i="6"/>
  <c r="F19" i="6"/>
  <c r="J16" i="6"/>
  <c r="H16" i="6"/>
  <c r="F16" i="6"/>
  <c r="J15" i="6"/>
  <c r="H15" i="6"/>
  <c r="F15" i="6"/>
  <c r="J14" i="6"/>
  <c r="H14" i="6"/>
  <c r="F14" i="6"/>
  <c r="J11" i="6"/>
  <c r="H11" i="6"/>
  <c r="F11" i="6"/>
  <c r="N10" i="6"/>
  <c r="G20" i="7" s="1"/>
  <c r="J10" i="6"/>
  <c r="H10" i="6"/>
  <c r="F10" i="6"/>
  <c r="J9" i="6"/>
  <c r="H9" i="6"/>
  <c r="J8" i="6"/>
  <c r="H8" i="6"/>
  <c r="J7" i="6"/>
  <c r="H7" i="6"/>
  <c r="J5" i="6"/>
  <c r="K67" i="6" s="1"/>
  <c r="H5" i="6"/>
  <c r="I67" i="6" s="1"/>
  <c r="F5" i="6"/>
  <c r="G67" i="6" s="1"/>
  <c r="A2" i="6"/>
  <c r="A63" i="6" s="1"/>
  <c r="G54" i="5"/>
  <c r="F54" i="5"/>
  <c r="G47" i="5"/>
  <c r="E47" i="5"/>
  <c r="H42" i="5"/>
  <c r="H44" i="5" s="1"/>
  <c r="H31" i="5"/>
  <c r="H23" i="5"/>
  <c r="H25" i="5" s="1"/>
  <c r="B7" i="5"/>
  <c r="B69" i="5" s="1"/>
  <c r="B5" i="5"/>
  <c r="B67" i="5" s="1"/>
  <c r="G45" i="4"/>
  <c r="F45" i="4"/>
  <c r="H41" i="4"/>
  <c r="H39" i="4"/>
  <c r="H37" i="4"/>
  <c r="H35" i="4"/>
  <c r="H33" i="4"/>
  <c r="H31" i="4"/>
  <c r="H29" i="4"/>
  <c r="H27" i="4"/>
  <c r="H25" i="4"/>
  <c r="H23" i="4"/>
  <c r="H21" i="4"/>
  <c r="H19" i="4"/>
  <c r="C13" i="4"/>
  <c r="C9" i="4"/>
  <c r="F122" i="3"/>
  <c r="F120" i="3"/>
  <c r="F118" i="3"/>
  <c r="D118" i="3"/>
  <c r="F116" i="3"/>
  <c r="L92" i="3"/>
  <c r="F92" i="3"/>
  <c r="K87" i="3"/>
  <c r="J87" i="3"/>
  <c r="K85" i="3"/>
  <c r="J85" i="3"/>
  <c r="J92" i="3" s="1"/>
  <c r="F79" i="3"/>
  <c r="G61" i="3"/>
  <c r="G49" i="3"/>
  <c r="G38" i="3"/>
  <c r="G41" i="3" s="1"/>
  <c r="G50" i="3" s="1"/>
  <c r="K26" i="3"/>
  <c r="G74" i="3" s="1"/>
  <c r="H26" i="3"/>
  <c r="G26" i="3"/>
  <c r="G66" i="3" s="1"/>
  <c r="I24" i="3"/>
  <c r="I23" i="3"/>
  <c r="I22" i="3"/>
  <c r="I21" i="3"/>
  <c r="I19" i="3"/>
  <c r="I18" i="3"/>
  <c r="I17" i="3"/>
  <c r="E10" i="3"/>
  <c r="L8" i="3"/>
  <c r="B7" i="3"/>
  <c r="G12" i="3" s="1"/>
  <c r="B5" i="3"/>
  <c r="I87" i="2"/>
  <c r="F87" i="2"/>
  <c r="I86" i="2"/>
  <c r="F86" i="2"/>
  <c r="I85" i="2"/>
  <c r="F85" i="2"/>
  <c r="I84" i="2"/>
  <c r="F84" i="2"/>
  <c r="I77" i="2"/>
  <c r="F77" i="2"/>
  <c r="I76" i="2"/>
  <c r="F76" i="2"/>
  <c r="I75" i="2"/>
  <c r="F75" i="2"/>
  <c r="I74" i="2"/>
  <c r="F74" i="2"/>
  <c r="I73" i="2"/>
  <c r="F73" i="2"/>
  <c r="I72" i="2"/>
  <c r="F72" i="2"/>
  <c r="I71" i="2"/>
  <c r="I83" i="2" s="1"/>
  <c r="F71" i="2"/>
  <c r="F83" i="2" s="1"/>
  <c r="F56" i="2"/>
  <c r="K53" i="2"/>
  <c r="K52" i="2"/>
  <c r="K56" i="2" s="1"/>
  <c r="J52" i="2"/>
  <c r="J51" i="2"/>
  <c r="J49" i="2"/>
  <c r="J56" i="2" s="1"/>
  <c r="F40" i="2"/>
  <c r="H31" i="2"/>
  <c r="K30" i="2"/>
  <c r="L36" i="2" s="1"/>
  <c r="H30" i="2"/>
  <c r="G30" i="2"/>
  <c r="G37" i="2" s="1"/>
  <c r="I27" i="2"/>
  <c r="I26" i="2"/>
  <c r="I25" i="2"/>
  <c r="I24" i="2"/>
  <c r="I22" i="2"/>
  <c r="I21" i="2"/>
  <c r="I20" i="2"/>
  <c r="L12" i="2"/>
  <c r="F12" i="2"/>
  <c r="F3" i="2"/>
  <c r="D13" i="18" l="1"/>
  <c r="D14" i="18" s="1"/>
  <c r="J11" i="18"/>
  <c r="H15" i="13"/>
  <c r="D60" i="15"/>
  <c r="G71" i="6"/>
  <c r="E77" i="6"/>
  <c r="E79" i="6" s="1"/>
  <c r="E80" i="6" s="1"/>
  <c r="G35" i="7"/>
  <c r="F33" i="15"/>
  <c r="K12" i="15"/>
  <c r="K15" i="15" s="1"/>
  <c r="Q30" i="21"/>
  <c r="T12" i="20"/>
  <c r="Q12" i="20" s="1"/>
  <c r="V4" i="21"/>
  <c r="F36" i="20" s="1"/>
  <c r="E35" i="21"/>
  <c r="F30" i="6"/>
  <c r="I30" i="2"/>
  <c r="K92" i="3"/>
  <c r="H30" i="6"/>
  <c r="K72" i="6"/>
  <c r="H39" i="7" s="1"/>
  <c r="F19" i="12"/>
  <c r="I34" i="13"/>
  <c r="H15" i="14" s="1"/>
  <c r="I19" i="15"/>
  <c r="I32" i="15"/>
  <c r="I26" i="3"/>
  <c r="I27" i="3" s="1"/>
  <c r="F124" i="3"/>
  <c r="H45" i="4"/>
  <c r="H33" i="5"/>
  <c r="J30" i="6"/>
  <c r="G76" i="6"/>
  <c r="E44" i="7"/>
  <c r="G34" i="13"/>
  <c r="K34" i="13"/>
  <c r="I15" i="14" s="1"/>
  <c r="G33" i="13"/>
  <c r="G19" i="15"/>
  <c r="K19" i="15"/>
  <c r="K32" i="15"/>
  <c r="G12" i="18"/>
  <c r="C13" i="18" s="1"/>
  <c r="G13" i="18" s="1"/>
  <c r="C14" i="18" s="1"/>
  <c r="K69" i="6"/>
  <c r="H36" i="7" s="1"/>
  <c r="E14" i="12"/>
  <c r="L15" i="13"/>
  <c r="K33" i="13"/>
  <c r="I12" i="15"/>
  <c r="I33" i="15" s="1"/>
  <c r="I34" i="15"/>
  <c r="T23" i="20"/>
  <c r="Q23" i="20" s="1"/>
  <c r="S23" i="20"/>
  <c r="R23" i="20" s="1"/>
  <c r="I10" i="20"/>
  <c r="M11" i="20"/>
  <c r="N11" i="20" s="1"/>
  <c r="B18" i="20"/>
  <c r="G7" i="21"/>
  <c r="G9" i="21"/>
  <c r="I33" i="21"/>
  <c r="I11" i="20"/>
  <c r="J11" i="20" s="1"/>
  <c r="J20" i="20" s="1"/>
  <c r="K20" i="20" s="1"/>
  <c r="G11" i="21"/>
  <c r="I15" i="21"/>
  <c r="U3" i="21"/>
  <c r="I31" i="2"/>
  <c r="G31" i="2"/>
  <c r="E19" i="12"/>
  <c r="E15" i="12"/>
  <c r="K79" i="6"/>
  <c r="K80" i="6" s="1"/>
  <c r="C35" i="6" s="1"/>
  <c r="C36" i="6" s="1"/>
  <c r="E27" i="7" s="1"/>
  <c r="J27" i="7"/>
  <c r="G37" i="7"/>
  <c r="L49" i="2"/>
  <c r="L56" i="2" s="1"/>
  <c r="K71" i="6"/>
  <c r="H38" i="7" s="1"/>
  <c r="K73" i="6"/>
  <c r="H40" i="7" s="1"/>
  <c r="I76" i="6"/>
  <c r="K77" i="6"/>
  <c r="H41" i="7" s="1"/>
  <c r="K78" i="6"/>
  <c r="H42" i="7" s="1"/>
  <c r="G19" i="12"/>
  <c r="G15" i="12"/>
  <c r="I19" i="12"/>
  <c r="I15" i="12"/>
  <c r="F28" i="12"/>
  <c r="F29" i="12" s="1"/>
  <c r="F20" i="12"/>
  <c r="H20" i="13"/>
  <c r="H16" i="13"/>
  <c r="L20" i="13"/>
  <c r="L16" i="13"/>
  <c r="F32" i="15"/>
  <c r="F15" i="15"/>
  <c r="F13" i="15"/>
  <c r="H32" i="15"/>
  <c r="G13" i="16" s="1"/>
  <c r="G16" i="16" s="1"/>
  <c r="H12" i="15"/>
  <c r="H15" i="15" s="1"/>
  <c r="H19" i="15"/>
  <c r="J32" i="15"/>
  <c r="J12" i="15"/>
  <c r="J15" i="15" s="1"/>
  <c r="J27" i="15"/>
  <c r="I24" i="16" s="1"/>
  <c r="L32" i="15"/>
  <c r="L12" i="15"/>
  <c r="L15" i="15" s="1"/>
  <c r="L19" i="15"/>
  <c r="G33" i="15"/>
  <c r="G34" i="15"/>
  <c r="K33" i="15"/>
  <c r="K34" i="15"/>
  <c r="F19" i="15"/>
  <c r="L27" i="15"/>
  <c r="J38" i="15"/>
  <c r="D12" i="17"/>
  <c r="E12" i="17"/>
  <c r="H28" i="12"/>
  <c r="H29" i="12" s="1"/>
  <c r="H20" i="12"/>
  <c r="G32" i="13"/>
  <c r="F13" i="14" s="1"/>
  <c r="F16" i="14" s="1"/>
  <c r="G15" i="13"/>
  <c r="I32" i="13"/>
  <c r="H13" i="14" s="1"/>
  <c r="H16" i="14" s="1"/>
  <c r="I15" i="13"/>
  <c r="K32" i="13"/>
  <c r="J13" i="14" s="1"/>
  <c r="J16" i="14" s="1"/>
  <c r="K15" i="13"/>
  <c r="F33" i="13"/>
  <c r="F13" i="13"/>
  <c r="H34" i="13"/>
  <c r="F15" i="14" s="1"/>
  <c r="H33" i="13"/>
  <c r="G14" i="14" s="1"/>
  <c r="H13" i="13"/>
  <c r="J33" i="13"/>
  <c r="I14" i="14" s="1"/>
  <c r="J13" i="13"/>
  <c r="L34" i="13"/>
  <c r="J15" i="14" s="1"/>
  <c r="L33" i="13"/>
  <c r="J14" i="14" s="1"/>
  <c r="L13" i="13"/>
  <c r="I13" i="13"/>
  <c r="F15" i="13"/>
  <c r="J15" i="13"/>
  <c r="F34" i="13"/>
  <c r="G15" i="15"/>
  <c r="J19" i="15"/>
  <c r="H27" i="15"/>
  <c r="G24" i="16" s="1"/>
  <c r="G12" i="17"/>
  <c r="C13" i="17" s="1"/>
  <c r="G14" i="18"/>
  <c r="C15" i="18" s="1"/>
  <c r="E14" i="18"/>
  <c r="D15" i="18"/>
  <c r="F14" i="18"/>
  <c r="F34" i="15"/>
  <c r="I15" i="15"/>
  <c r="E13" i="18"/>
  <c r="F13" i="18"/>
  <c r="E12" i="18"/>
  <c r="G19" i="21"/>
  <c r="G13" i="21"/>
  <c r="E33" i="21"/>
  <c r="G31" i="21"/>
  <c r="G29" i="21"/>
  <c r="G23" i="21"/>
  <c r="G21" i="21"/>
  <c r="G17" i="21"/>
  <c r="J13" i="16" l="1"/>
  <c r="J16" i="16" s="1"/>
  <c r="I13" i="16"/>
  <c r="I16" i="16" s="1"/>
  <c r="H27" i="3"/>
  <c r="K11" i="18"/>
  <c r="H55" i="15"/>
  <c r="G15" i="14"/>
  <c r="G27" i="3"/>
  <c r="U11" i="21"/>
  <c r="U6" i="21"/>
  <c r="U8" i="21"/>
  <c r="R12" i="20"/>
  <c r="R24" i="20" s="1"/>
  <c r="Q24" i="20"/>
  <c r="H13" i="16"/>
  <c r="H16" i="16" s="1"/>
  <c r="G13" i="14"/>
  <c r="G16" i="14" s="1"/>
  <c r="J18" i="20"/>
  <c r="K18" i="20" s="1"/>
  <c r="N18" i="20"/>
  <c r="O18" i="20" s="1"/>
  <c r="F35" i="20"/>
  <c r="H30" i="20" s="1"/>
  <c r="I29" i="20" s="1"/>
  <c r="J17" i="20"/>
  <c r="K17" i="20" s="1"/>
  <c r="L20" i="15"/>
  <c r="L16" i="15"/>
  <c r="H20" i="15"/>
  <c r="H16" i="15"/>
  <c r="J20" i="15"/>
  <c r="J16" i="15"/>
  <c r="F12" i="18"/>
  <c r="E13" i="17"/>
  <c r="J20" i="13"/>
  <c r="J16" i="13"/>
  <c r="F12" i="17"/>
  <c r="J11" i="17"/>
  <c r="D13" i="17"/>
  <c r="F14" i="14"/>
  <c r="H14" i="14"/>
  <c r="E28" i="12"/>
  <c r="E29" i="12" s="1"/>
  <c r="E20" i="12"/>
  <c r="I16" i="15"/>
  <c r="I20" i="15"/>
  <c r="D16" i="18"/>
  <c r="E15" i="18"/>
  <c r="F15" i="18" s="1"/>
  <c r="G15" i="18"/>
  <c r="C16" i="18" s="1"/>
  <c r="G16" i="15"/>
  <c r="G20" i="15"/>
  <c r="F20" i="13"/>
  <c r="F16" i="13"/>
  <c r="K20" i="13"/>
  <c r="K16" i="13"/>
  <c r="I20" i="13"/>
  <c r="I16" i="13"/>
  <c r="G20" i="13"/>
  <c r="G16" i="13"/>
  <c r="K38" i="15"/>
  <c r="K16" i="15"/>
  <c r="K20" i="15"/>
  <c r="L34" i="15"/>
  <c r="J15" i="16" s="1"/>
  <c r="L33" i="15"/>
  <c r="J14" i="16" s="1"/>
  <c r="J34" i="15"/>
  <c r="H15" i="16" s="1"/>
  <c r="J33" i="15"/>
  <c r="H34" i="15"/>
  <c r="H33" i="15"/>
  <c r="G14" i="16" s="1"/>
  <c r="F20" i="15"/>
  <c r="F16" i="15"/>
  <c r="I13" i="14"/>
  <c r="I16" i="14" s="1"/>
  <c r="L21" i="13"/>
  <c r="J7" i="14"/>
  <c r="J11" i="14" s="1"/>
  <c r="J18" i="14" s="1"/>
  <c r="L29" i="13"/>
  <c r="L30" i="13" s="1"/>
  <c r="F7" i="14"/>
  <c r="F11" i="14" s="1"/>
  <c r="F18" i="14" s="1"/>
  <c r="H21" i="13"/>
  <c r="H29" i="13"/>
  <c r="H30" i="13" s="1"/>
  <c r="I28" i="12"/>
  <c r="I29" i="12" s="1"/>
  <c r="I20" i="12"/>
  <c r="G28" i="12"/>
  <c r="G29" i="12" s="1"/>
  <c r="G20" i="12"/>
  <c r="F13" i="16"/>
  <c r="F16" i="16" s="1"/>
  <c r="F35" i="6"/>
  <c r="M13" i="20" l="1"/>
  <c r="N20" i="20" s="1"/>
  <c r="O20" i="20" s="1"/>
  <c r="L11" i="18"/>
  <c r="I55" i="15"/>
  <c r="R26" i="20"/>
  <c r="P29" i="20" s="1"/>
  <c r="M9" i="20"/>
  <c r="H26" i="20" s="1"/>
  <c r="J21" i="20"/>
  <c r="H22" i="20" s="1"/>
  <c r="N17" i="20"/>
  <c r="O17" i="20" s="1"/>
  <c r="N21" i="20" s="1"/>
  <c r="L22" i="20" s="1"/>
  <c r="F37" i="6"/>
  <c r="F36" i="6"/>
  <c r="L27" i="7" s="1"/>
  <c r="G17" i="7" s="1"/>
  <c r="J22" i="14"/>
  <c r="J26" i="14" s="1"/>
  <c r="J54" i="14"/>
  <c r="F29" i="15"/>
  <c r="F30" i="15" s="1"/>
  <c r="F21" i="15"/>
  <c r="L38" i="15"/>
  <c r="G21" i="15"/>
  <c r="G29" i="15"/>
  <c r="G30" i="15" s="1"/>
  <c r="G16" i="18"/>
  <c r="C17" i="18" s="1"/>
  <c r="E16" i="18"/>
  <c r="D17" i="18"/>
  <c r="F16" i="18"/>
  <c r="G7" i="16"/>
  <c r="G11" i="16" s="1"/>
  <c r="G18" i="16" s="1"/>
  <c r="I21" i="15"/>
  <c r="I29" i="15"/>
  <c r="I30" i="15" s="1"/>
  <c r="I14" i="16"/>
  <c r="H14" i="16"/>
  <c r="F14" i="16"/>
  <c r="I7" i="16"/>
  <c r="I11" i="16" s="1"/>
  <c r="I18" i="16" s="1"/>
  <c r="K21" i="15"/>
  <c r="K29" i="15"/>
  <c r="K30" i="15" s="1"/>
  <c r="G29" i="13"/>
  <c r="G30" i="13" s="1"/>
  <c r="G21" i="13"/>
  <c r="G7" i="14"/>
  <c r="G11" i="14" s="1"/>
  <c r="G18" i="14" s="1"/>
  <c r="I29" i="13"/>
  <c r="I30" i="13" s="1"/>
  <c r="I21" i="13"/>
  <c r="I7" i="14"/>
  <c r="I11" i="14" s="1"/>
  <c r="I18" i="14" s="1"/>
  <c r="K29" i="13"/>
  <c r="K30" i="13" s="1"/>
  <c r="K21" i="13"/>
  <c r="F29" i="13"/>
  <c r="F30" i="13" s="1"/>
  <c r="F21" i="13"/>
  <c r="I15" i="16"/>
  <c r="H54" i="15"/>
  <c r="H60" i="15" s="1"/>
  <c r="F40" i="16" s="1"/>
  <c r="F46" i="16" s="1"/>
  <c r="K11" i="17"/>
  <c r="F22" i="14"/>
  <c r="F26" i="14" s="1"/>
  <c r="F54" i="14"/>
  <c r="F15" i="16"/>
  <c r="G15" i="16"/>
  <c r="D14" i="17"/>
  <c r="F13" i="17"/>
  <c r="H7" i="14"/>
  <c r="H11" i="14" s="1"/>
  <c r="H18" i="14" s="1"/>
  <c r="J29" i="13"/>
  <c r="J30" i="13" s="1"/>
  <c r="J21" i="13"/>
  <c r="G13" i="17"/>
  <c r="C14" i="17" s="1"/>
  <c r="J29" i="15"/>
  <c r="J30" i="15" s="1"/>
  <c r="J21" i="15"/>
  <c r="H7" i="16"/>
  <c r="H11" i="16" s="1"/>
  <c r="H18" i="16" s="1"/>
  <c r="H29" i="15"/>
  <c r="H30" i="15" s="1"/>
  <c r="F7" i="16"/>
  <c r="F11" i="16" s="1"/>
  <c r="F18" i="16" s="1"/>
  <c r="H21" i="15"/>
  <c r="L29" i="15"/>
  <c r="L30" i="15" s="1"/>
  <c r="J7" i="16"/>
  <c r="J11" i="16" s="1"/>
  <c r="J18" i="16" s="1"/>
  <c r="L21" i="15"/>
  <c r="M11" i="18" l="1"/>
  <c r="N11" i="18" s="1"/>
  <c r="J55" i="15"/>
  <c r="I25" i="20"/>
  <c r="R27" i="20"/>
  <c r="P33" i="20" s="1"/>
  <c r="G14" i="17"/>
  <c r="C15" i="17" s="1"/>
  <c r="E14" i="17"/>
  <c r="F14" i="17" s="1"/>
  <c r="F54" i="16"/>
  <c r="F22" i="16"/>
  <c r="F26" i="16" s="1"/>
  <c r="H22" i="16"/>
  <c r="H26" i="16" s="1"/>
  <c r="H54" i="16"/>
  <c r="H54" i="14"/>
  <c r="H22" i="14"/>
  <c r="H26" i="14" s="1"/>
  <c r="D15" i="17"/>
  <c r="F52" i="14"/>
  <c r="F37" i="14"/>
  <c r="F48" i="14" s="1"/>
  <c r="L11" i="17"/>
  <c r="I54" i="15"/>
  <c r="I60" i="15" s="1"/>
  <c r="G40" i="16" s="1"/>
  <c r="G46" i="16" s="1"/>
  <c r="G54" i="14"/>
  <c r="G22" i="14"/>
  <c r="G26" i="14" s="1"/>
  <c r="J54" i="16"/>
  <c r="J22" i="16"/>
  <c r="J26" i="16" s="1"/>
  <c r="I54" i="14"/>
  <c r="I22" i="14"/>
  <c r="I26" i="14" s="1"/>
  <c r="I54" i="16"/>
  <c r="I22" i="16"/>
  <c r="I26" i="16" s="1"/>
  <c r="G54" i="16"/>
  <c r="G22" i="16"/>
  <c r="G26" i="16" s="1"/>
  <c r="D18" i="18"/>
  <c r="G17" i="18"/>
  <c r="C18" i="18" s="1"/>
  <c r="E17" i="18"/>
  <c r="J52" i="14"/>
  <c r="J37" i="14"/>
  <c r="J48" i="14" s="1"/>
  <c r="G52" i="16" l="1"/>
  <c r="G37" i="16"/>
  <c r="G48" i="16" s="1"/>
  <c r="I52" i="14"/>
  <c r="I37" i="14"/>
  <c r="I48" i="14" s="1"/>
  <c r="J37" i="16"/>
  <c r="G52" i="14"/>
  <c r="G37" i="14"/>
  <c r="G48" i="14" s="1"/>
  <c r="D16" i="17"/>
  <c r="H52" i="14"/>
  <c r="H37" i="14"/>
  <c r="H48" i="14" s="1"/>
  <c r="F52" i="16"/>
  <c r="F37" i="16"/>
  <c r="F48" i="16" s="1"/>
  <c r="D19" i="18"/>
  <c r="I37" i="16"/>
  <c r="G18" i="18"/>
  <c r="C19" i="18" s="1"/>
  <c r="E18" i="18"/>
  <c r="F18" i="18" s="1"/>
  <c r="F17" i="18"/>
  <c r="M11" i="17"/>
  <c r="J54" i="15"/>
  <c r="J60" i="15" s="1"/>
  <c r="H40" i="16" s="1"/>
  <c r="H46" i="16" s="1"/>
  <c r="H37" i="16"/>
  <c r="G15" i="17"/>
  <c r="C16" i="17" s="1"/>
  <c r="E15" i="17"/>
  <c r="F15" i="17" s="1"/>
  <c r="D20" i="18" l="1"/>
  <c r="E16" i="17"/>
  <c r="G16" i="17"/>
  <c r="C17" i="17" s="1"/>
  <c r="H52" i="16"/>
  <c r="N11" i="17"/>
  <c r="L54" i="15" s="1"/>
  <c r="L60" i="15" s="1"/>
  <c r="J40" i="16" s="1"/>
  <c r="K54" i="15"/>
  <c r="K60" i="15" s="1"/>
  <c r="I40" i="16" s="1"/>
  <c r="F16" i="17"/>
  <c r="D17" i="17"/>
  <c r="H48" i="16"/>
  <c r="E19" i="18"/>
  <c r="F19" i="18" s="1"/>
  <c r="G19" i="18"/>
  <c r="C20" i="18" s="1"/>
  <c r="D18" i="17" l="1"/>
  <c r="G20" i="18"/>
  <c r="C21" i="18" s="1"/>
  <c r="E20" i="18"/>
  <c r="J46" i="16"/>
  <c r="J48" i="16" s="1"/>
  <c r="J52" i="16"/>
  <c r="G17" i="17"/>
  <c r="C18" i="17" s="1"/>
  <c r="E17" i="17"/>
  <c r="F17" i="17" s="1"/>
  <c r="D21" i="18"/>
  <c r="F20" i="18"/>
  <c r="I46" i="16"/>
  <c r="I48" i="16" s="1"/>
  <c r="I52" i="16"/>
  <c r="G18" i="17" l="1"/>
  <c r="C19" i="17" s="1"/>
  <c r="E18" i="17"/>
  <c r="F18" i="17" s="1"/>
  <c r="D22" i="18"/>
  <c r="G21" i="18"/>
  <c r="C22" i="18" s="1"/>
  <c r="E21" i="18"/>
  <c r="F21" i="18" s="1"/>
  <c r="D19" i="17"/>
  <c r="G22" i="18" l="1"/>
  <c r="C23" i="18" s="1"/>
  <c r="E22" i="18"/>
  <c r="F22" i="18" s="1"/>
  <c r="D20" i="17"/>
  <c r="D23" i="18"/>
  <c r="G19" i="17"/>
  <c r="C20" i="17" s="1"/>
  <c r="E19" i="17"/>
  <c r="F19" i="17" s="1"/>
  <c r="E20" i="17" l="1"/>
  <c r="F20" i="17" s="1"/>
  <c r="G20" i="17"/>
  <c r="C21" i="17" s="1"/>
  <c r="D24" i="18"/>
  <c r="D21" i="17"/>
  <c r="E23" i="18"/>
  <c r="H23" i="18" s="1"/>
  <c r="J10" i="18" s="1"/>
  <c r="H42" i="15" s="1"/>
  <c r="G23" i="18"/>
  <c r="C24" i="18" s="1"/>
  <c r="G24" i="18" l="1"/>
  <c r="C25" i="18" s="1"/>
  <c r="E24" i="18"/>
  <c r="D22" i="17"/>
  <c r="F23" i="18"/>
  <c r="G21" i="17"/>
  <c r="C22" i="17" s="1"/>
  <c r="E21" i="17"/>
  <c r="F21" i="17" s="1"/>
  <c r="F24" i="18"/>
  <c r="D25" i="18"/>
  <c r="G22" i="17" l="1"/>
  <c r="C23" i="17" s="1"/>
  <c r="E22" i="17"/>
  <c r="D26" i="18"/>
  <c r="F22" i="17"/>
  <c r="D23" i="17"/>
  <c r="G25" i="18"/>
  <c r="C26" i="18" s="1"/>
  <c r="E25" i="18"/>
  <c r="D24" i="17" l="1"/>
  <c r="E26" i="18"/>
  <c r="G26" i="18"/>
  <c r="C27" i="18" s="1"/>
  <c r="F26" i="18"/>
  <c r="D27" i="18"/>
  <c r="F25" i="18"/>
  <c r="G23" i="17"/>
  <c r="C24" i="17" s="1"/>
  <c r="E23" i="17"/>
  <c r="H23" i="17" s="1"/>
  <c r="J10" i="17" s="1"/>
  <c r="H41" i="15" s="1"/>
  <c r="H47" i="15" s="1"/>
  <c r="D25" i="17" l="1"/>
  <c r="G24" i="17"/>
  <c r="C25" i="17" s="1"/>
  <c r="E24" i="17"/>
  <c r="D28" i="18"/>
  <c r="G27" i="18"/>
  <c r="C28" i="18" s="1"/>
  <c r="E27" i="18"/>
  <c r="F27" i="18" s="1"/>
  <c r="F23" i="17"/>
  <c r="F24" i="17" l="1"/>
  <c r="G28" i="18"/>
  <c r="C29" i="18" s="1"/>
  <c r="E28" i="18"/>
  <c r="F28" i="18"/>
  <c r="D29" i="18"/>
  <c r="G25" i="17"/>
  <c r="C26" i="17" s="1"/>
  <c r="E25" i="17"/>
  <c r="F25" i="17"/>
  <c r="D26" i="17"/>
  <c r="G26" i="17" l="1"/>
  <c r="C27" i="17" s="1"/>
  <c r="E26" i="17"/>
  <c r="D27" i="17"/>
  <c r="F26" i="17"/>
  <c r="D30" i="18"/>
  <c r="G29" i="18"/>
  <c r="C30" i="18" s="1"/>
  <c r="E29" i="18"/>
  <c r="F29" i="18" s="1"/>
  <c r="E30" i="18" l="1"/>
  <c r="G30" i="18"/>
  <c r="C31" i="18" s="1"/>
  <c r="F30" i="18"/>
  <c r="D31" i="18"/>
  <c r="D28" i="17"/>
  <c r="E27" i="17"/>
  <c r="F27" i="17" s="1"/>
  <c r="G27" i="17"/>
  <c r="C28" i="17" s="1"/>
  <c r="G28" i="17" l="1"/>
  <c r="C29" i="17" s="1"/>
  <c r="E28" i="17"/>
  <c r="D29" i="17"/>
  <c r="F28" i="17"/>
  <c r="D32" i="18"/>
  <c r="G31" i="18"/>
  <c r="C32" i="18" s="1"/>
  <c r="E31" i="18"/>
  <c r="F31" i="18" s="1"/>
  <c r="G32" i="18" l="1"/>
  <c r="C33" i="18" s="1"/>
  <c r="E32" i="18"/>
  <c r="F32" i="18"/>
  <c r="D33" i="18"/>
  <c r="D30" i="17"/>
  <c r="G29" i="17"/>
  <c r="C30" i="17" s="1"/>
  <c r="E29" i="17"/>
  <c r="F29" i="17" s="1"/>
  <c r="D31" i="17" l="1"/>
  <c r="D34" i="18"/>
  <c r="G30" i="17"/>
  <c r="C31" i="17" s="1"/>
  <c r="E30" i="17"/>
  <c r="F30" i="17" s="1"/>
  <c r="G33" i="18"/>
  <c r="C34" i="18" s="1"/>
  <c r="E33" i="18"/>
  <c r="F33" i="18" s="1"/>
  <c r="E34" i="18" l="1"/>
  <c r="G34" i="18"/>
  <c r="C35" i="18" s="1"/>
  <c r="E31" i="17"/>
  <c r="G31" i="17"/>
  <c r="C32" i="17" s="1"/>
  <c r="F34" i="18"/>
  <c r="D35" i="18"/>
  <c r="F31" i="17"/>
  <c r="D32" i="17"/>
  <c r="D33" i="17" l="1"/>
  <c r="G32" i="17"/>
  <c r="C33" i="17" s="1"/>
  <c r="E32" i="17"/>
  <c r="F32" i="17" s="1"/>
  <c r="G35" i="18"/>
  <c r="C36" i="18" s="1"/>
  <c r="E35" i="18"/>
  <c r="H35" i="18" s="1"/>
  <c r="K10" i="18" s="1"/>
  <c r="I42" i="15" s="1"/>
  <c r="D36" i="18"/>
  <c r="F35" i="18" l="1"/>
  <c r="D37" i="18"/>
  <c r="G36" i="18"/>
  <c r="C37" i="18" s="1"/>
  <c r="E36" i="18"/>
  <c r="G33" i="17"/>
  <c r="C34" i="17" s="1"/>
  <c r="E33" i="17"/>
  <c r="F33" i="17" s="1"/>
  <c r="D34" i="17"/>
  <c r="D35" i="17" l="1"/>
  <c r="F36" i="18"/>
  <c r="G34" i="17"/>
  <c r="C35" i="17" s="1"/>
  <c r="E34" i="17"/>
  <c r="F34" i="17" s="1"/>
  <c r="E37" i="18"/>
  <c r="G37" i="18"/>
  <c r="C38" i="18" s="1"/>
  <c r="F37" i="18"/>
  <c r="D38" i="18"/>
  <c r="D39" i="18" l="1"/>
  <c r="G38" i="18"/>
  <c r="C39" i="18" s="1"/>
  <c r="E38" i="18"/>
  <c r="E35" i="17"/>
  <c r="H35" i="17" s="1"/>
  <c r="K10" i="17" s="1"/>
  <c r="I41" i="15" s="1"/>
  <c r="I47" i="15" s="1"/>
  <c r="G35" i="17"/>
  <c r="C36" i="17" s="1"/>
  <c r="D36" i="17"/>
  <c r="F35" i="17" l="1"/>
  <c r="D37" i="17"/>
  <c r="G39" i="18"/>
  <c r="C40" i="18" s="1"/>
  <c r="E39" i="18"/>
  <c r="F39" i="18" s="1"/>
  <c r="D40" i="18"/>
  <c r="G36" i="17"/>
  <c r="C37" i="17" s="1"/>
  <c r="E36" i="17"/>
  <c r="F38" i="18"/>
  <c r="D41" i="18" l="1"/>
  <c r="G37" i="17"/>
  <c r="C38" i="17" s="1"/>
  <c r="E37" i="17"/>
  <c r="G40" i="18"/>
  <c r="C41" i="18" s="1"/>
  <c r="E40" i="18"/>
  <c r="F40" i="18" s="1"/>
  <c r="F36" i="17"/>
  <c r="D38" i="17"/>
  <c r="F37" i="17" l="1"/>
  <c r="E41" i="18"/>
  <c r="G41" i="18"/>
  <c r="C42" i="18" s="1"/>
  <c r="E38" i="17"/>
  <c r="G38" i="17"/>
  <c r="C39" i="17" s="1"/>
  <c r="F41" i="18"/>
  <c r="D42" i="18"/>
  <c r="F38" i="17"/>
  <c r="D39" i="17"/>
  <c r="D40" i="17" l="1"/>
  <c r="D43" i="18"/>
  <c r="G39" i="17"/>
  <c r="C40" i="17" s="1"/>
  <c r="E39" i="17"/>
  <c r="F39" i="17" s="1"/>
  <c r="G42" i="18"/>
  <c r="C43" i="18" s="1"/>
  <c r="E42" i="18"/>
  <c r="F42" i="18" s="1"/>
  <c r="G43" i="18" l="1"/>
  <c r="C44" i="18" s="1"/>
  <c r="E43" i="18"/>
  <c r="G40" i="17"/>
  <c r="C41" i="17" s="1"/>
  <c r="E40" i="17"/>
  <c r="F40" i="17" s="1"/>
  <c r="F43" i="18"/>
  <c r="D44" i="18"/>
  <c r="D41" i="17"/>
  <c r="D42" i="17" l="1"/>
  <c r="D45" i="18"/>
  <c r="G41" i="17"/>
  <c r="C42" i="17" s="1"/>
  <c r="E41" i="17"/>
  <c r="F41" i="17" s="1"/>
  <c r="G44" i="18"/>
  <c r="C45" i="18" s="1"/>
  <c r="E44" i="18"/>
  <c r="F44" i="18" s="1"/>
  <c r="E45" i="18" l="1"/>
  <c r="G45" i="18"/>
  <c r="C46" i="18" s="1"/>
  <c r="E42" i="17"/>
  <c r="G42" i="17"/>
  <c r="C43" i="17" s="1"/>
  <c r="F45" i="18"/>
  <c r="D46" i="18"/>
  <c r="F42" i="17"/>
  <c r="D43" i="17"/>
  <c r="D44" i="17" l="1"/>
  <c r="D47" i="18"/>
  <c r="G43" i="17"/>
  <c r="C44" i="17" s="1"/>
  <c r="E43" i="17"/>
  <c r="F43" i="17" s="1"/>
  <c r="G46" i="18"/>
  <c r="C47" i="18" s="1"/>
  <c r="E46" i="18"/>
  <c r="F46" i="18" s="1"/>
  <c r="G47" i="18" l="1"/>
  <c r="C48" i="18" s="1"/>
  <c r="E47" i="18"/>
  <c r="H47" i="18" s="1"/>
  <c r="L10" i="18" s="1"/>
  <c r="J42" i="15" s="1"/>
  <c r="G44" i="17"/>
  <c r="C45" i="17" s="1"/>
  <c r="E44" i="17"/>
  <c r="F44" i="17" s="1"/>
  <c r="D48" i="18"/>
  <c r="F47" i="18"/>
  <c r="D45" i="17"/>
  <c r="D46" i="17" l="1"/>
  <c r="D49" i="18"/>
  <c r="G45" i="17"/>
  <c r="C46" i="17" s="1"/>
  <c r="E45" i="17"/>
  <c r="F45" i="17" s="1"/>
  <c r="E48" i="18"/>
  <c r="G48" i="18"/>
  <c r="C49" i="18" s="1"/>
  <c r="G49" i="18" l="1"/>
  <c r="C50" i="18" s="1"/>
  <c r="E49" i="18"/>
  <c r="D50" i="18"/>
  <c r="F49" i="18"/>
  <c r="E46" i="17"/>
  <c r="G46" i="17"/>
  <c r="C47" i="17" s="1"/>
  <c r="F48" i="18"/>
  <c r="F46" i="17"/>
  <c r="D47" i="17"/>
  <c r="D48" i="17" l="1"/>
  <c r="G47" i="17"/>
  <c r="C48" i="17" s="1"/>
  <c r="E47" i="17"/>
  <c r="H47" i="17" s="1"/>
  <c r="L10" i="17" s="1"/>
  <c r="J41" i="15" s="1"/>
  <c r="J47" i="15" s="1"/>
  <c r="D51" i="18"/>
  <c r="G50" i="18"/>
  <c r="C51" i="18" s="1"/>
  <c r="E50" i="18"/>
  <c r="F47" i="17" l="1"/>
  <c r="D52" i="18"/>
  <c r="G51" i="18"/>
  <c r="C52" i="18" s="1"/>
  <c r="E51" i="18"/>
  <c r="F51" i="18" s="1"/>
  <c r="F50" i="18"/>
  <c r="G48" i="17"/>
  <c r="C49" i="17" s="1"/>
  <c r="E48" i="17"/>
  <c r="F48" i="17" s="1"/>
  <c r="D49" i="17"/>
  <c r="D50" i="17" l="1"/>
  <c r="E49" i="17"/>
  <c r="F49" i="17" s="1"/>
  <c r="G49" i="17"/>
  <c r="C50" i="17" s="1"/>
  <c r="D53" i="18"/>
  <c r="G52" i="18"/>
  <c r="C53" i="18" s="1"/>
  <c r="E52" i="18"/>
  <c r="F52" i="18" s="1"/>
  <c r="E53" i="18" l="1"/>
  <c r="G53" i="18"/>
  <c r="C54" i="18" s="1"/>
  <c r="G50" i="17"/>
  <c r="C51" i="17" s="1"/>
  <c r="E50" i="17"/>
  <c r="F50" i="17" s="1"/>
  <c r="D51" i="17"/>
  <c r="F53" i="18"/>
  <c r="D54" i="18"/>
  <c r="D55" i="18" l="1"/>
  <c r="G54" i="18"/>
  <c r="C55" i="18" s="1"/>
  <c r="E54" i="18"/>
  <c r="F54" i="18" s="1"/>
  <c r="D52" i="17"/>
  <c r="G51" i="17"/>
  <c r="C52" i="17" s="1"/>
  <c r="E51" i="17"/>
  <c r="D53" i="17" l="1"/>
  <c r="G52" i="17"/>
  <c r="C53" i="17" s="1"/>
  <c r="E52" i="17"/>
  <c r="F52" i="17" s="1"/>
  <c r="F51" i="17"/>
  <c r="G55" i="18"/>
  <c r="C56" i="18" s="1"/>
  <c r="E55" i="18"/>
  <c r="F55" i="18" s="1"/>
  <c r="D56" i="18"/>
  <c r="G56" i="18" l="1"/>
  <c r="C57" i="18" s="1"/>
  <c r="E56" i="18"/>
  <c r="D57" i="18"/>
  <c r="F56" i="18"/>
  <c r="E53" i="17"/>
  <c r="F53" i="17" s="1"/>
  <c r="G53" i="17"/>
  <c r="C54" i="17" s="1"/>
  <c r="D54" i="17"/>
  <c r="D55" i="17" l="1"/>
  <c r="G54" i="17"/>
  <c r="C55" i="17" s="1"/>
  <c r="E54" i="17"/>
  <c r="F54" i="17" s="1"/>
  <c r="D58" i="18"/>
  <c r="E57" i="18"/>
  <c r="F57" i="18" s="1"/>
  <c r="G57" i="18"/>
  <c r="C58" i="18" s="1"/>
  <c r="G58" i="18" l="1"/>
  <c r="C59" i="18" s="1"/>
  <c r="E58" i="18"/>
  <c r="F58" i="18" s="1"/>
  <c r="D59" i="18"/>
  <c r="G55" i="17"/>
  <c r="C56" i="17" s="1"/>
  <c r="E55" i="17"/>
  <c r="F55" i="17" s="1"/>
  <c r="D56" i="17"/>
  <c r="D57" i="17" l="1"/>
  <c r="G56" i="17"/>
  <c r="C57" i="17" s="1"/>
  <c r="E56" i="17"/>
  <c r="F56" i="17" s="1"/>
  <c r="D60" i="18"/>
  <c r="G59" i="18"/>
  <c r="C60" i="18" s="1"/>
  <c r="E59" i="18"/>
  <c r="H59" i="18" s="1"/>
  <c r="M10" i="18" s="1"/>
  <c r="F59" i="18" l="1"/>
  <c r="E60" i="18"/>
  <c r="G60" i="18"/>
  <c r="C61" i="18" s="1"/>
  <c r="F60" i="18"/>
  <c r="D61" i="18"/>
  <c r="E57" i="17"/>
  <c r="G57" i="17"/>
  <c r="C58" i="17" s="1"/>
  <c r="F57" i="17"/>
  <c r="D58" i="17"/>
  <c r="D59" i="17" l="1"/>
  <c r="G58" i="17"/>
  <c r="C59" i="17" s="1"/>
  <c r="E58" i="17"/>
  <c r="F58" i="17" s="1"/>
  <c r="D62" i="18"/>
  <c r="G61" i="18"/>
  <c r="C62" i="18" s="1"/>
  <c r="E61" i="18"/>
  <c r="F61" i="18" l="1"/>
  <c r="G62" i="18"/>
  <c r="C63" i="18" s="1"/>
  <c r="E62" i="18"/>
  <c r="F62" i="18"/>
  <c r="D63" i="18"/>
  <c r="G59" i="17"/>
  <c r="C60" i="17" s="1"/>
  <c r="E59" i="17"/>
  <c r="H59" i="17" s="1"/>
  <c r="M10" i="17" s="1"/>
  <c r="K41" i="15" s="1"/>
  <c r="K47" i="15" s="1"/>
  <c r="D60" i="17"/>
  <c r="F59" i="17" l="1"/>
  <c r="D64" i="18"/>
  <c r="D61" i="17"/>
  <c r="G60" i="17"/>
  <c r="C61" i="17" s="1"/>
  <c r="E60" i="17"/>
  <c r="F60" i="17" s="1"/>
  <c r="G63" i="18"/>
  <c r="C64" i="18" s="1"/>
  <c r="E63" i="18"/>
  <c r="F63" i="18" s="1"/>
  <c r="E64" i="18" l="1"/>
  <c r="G64" i="18"/>
  <c r="C65" i="18" s="1"/>
  <c r="E61" i="17"/>
  <c r="F61" i="17" s="1"/>
  <c r="G61" i="17"/>
  <c r="C62" i="17" s="1"/>
  <c r="D62" i="17"/>
  <c r="F64" i="18"/>
  <c r="D65" i="18"/>
  <c r="D66" i="18" l="1"/>
  <c r="G62" i="17"/>
  <c r="C63" i="17" s="1"/>
  <c r="E62" i="17"/>
  <c r="D63" i="17"/>
  <c r="F62" i="17"/>
  <c r="G65" i="18"/>
  <c r="C66" i="18" s="1"/>
  <c r="E65" i="18"/>
  <c r="F65" i="18" s="1"/>
  <c r="G66" i="18" l="1"/>
  <c r="C67" i="18" s="1"/>
  <c r="E66" i="18"/>
  <c r="F66" i="18" s="1"/>
  <c r="D64" i="17"/>
  <c r="G63" i="17"/>
  <c r="C64" i="17" s="1"/>
  <c r="E63" i="17"/>
  <c r="F63" i="17" s="1"/>
  <c r="D67" i="18"/>
  <c r="D68" i="18" l="1"/>
  <c r="D65" i="17"/>
  <c r="G64" i="17"/>
  <c r="C65" i="17" s="1"/>
  <c r="E64" i="17"/>
  <c r="F64" i="17" s="1"/>
  <c r="G67" i="18"/>
  <c r="C68" i="18" s="1"/>
  <c r="E67" i="18"/>
  <c r="F67" i="18" s="1"/>
  <c r="E68" i="18" l="1"/>
  <c r="G68" i="18"/>
  <c r="C69" i="18" s="1"/>
  <c r="E65" i="17"/>
  <c r="F65" i="17" s="1"/>
  <c r="G65" i="17"/>
  <c r="C66" i="17" s="1"/>
  <c r="D66" i="17"/>
  <c r="F68" i="18"/>
  <c r="D69" i="18"/>
  <c r="D70" i="18" l="1"/>
  <c r="D67" i="17"/>
  <c r="G66" i="17"/>
  <c r="C67" i="17" s="1"/>
  <c r="E66" i="17"/>
  <c r="F66" i="17" s="1"/>
  <c r="G69" i="18"/>
  <c r="C70" i="18" s="1"/>
  <c r="E69" i="18"/>
  <c r="F69" i="18" s="1"/>
  <c r="G70" i="18" l="1"/>
  <c r="C71" i="18" s="1"/>
  <c r="E70" i="18"/>
  <c r="G67" i="17"/>
  <c r="C68" i="17" s="1"/>
  <c r="E67" i="17"/>
  <c r="F67" i="17" s="1"/>
  <c r="D68" i="17"/>
  <c r="F70" i="18"/>
  <c r="D71" i="18"/>
  <c r="D69" i="17" l="1"/>
  <c r="G68" i="17"/>
  <c r="C69" i="17" s="1"/>
  <c r="E68" i="17"/>
  <c r="F68" i="17" s="1"/>
  <c r="G71" i="18"/>
  <c r="E71" i="18"/>
  <c r="H71" i="18" s="1"/>
  <c r="N10" i="18" s="1"/>
  <c r="F71" i="18" l="1"/>
  <c r="E69" i="17"/>
  <c r="G69" i="17"/>
  <c r="C70" i="17" s="1"/>
  <c r="F69" i="17"/>
  <c r="D70" i="17"/>
  <c r="D71" i="17" l="1"/>
  <c r="G70" i="17"/>
  <c r="C71" i="17" s="1"/>
  <c r="E70" i="17"/>
  <c r="F70" i="17" s="1"/>
  <c r="G71" i="17" l="1"/>
  <c r="E71" i="17"/>
  <c r="H71" i="17" s="1"/>
  <c r="N10" i="17" s="1"/>
  <c r="L41" i="15" s="1"/>
  <c r="L47" i="15" s="1"/>
  <c r="F71" i="17" l="1"/>
</calcChain>
</file>

<file path=xl/sharedStrings.xml><?xml version="1.0" encoding="utf-8"?>
<sst xmlns="http://schemas.openxmlformats.org/spreadsheetml/2006/main" count="6709" uniqueCount="2983">
  <si>
    <t>2007</t>
  </si>
  <si>
    <t>%</t>
  </si>
  <si>
    <t>2008</t>
  </si>
  <si>
    <t>Jun -</t>
  </si>
  <si>
    <t>2009</t>
  </si>
  <si>
    <t>BALANCE GENERAL</t>
  </si>
  <si>
    <t xml:space="preserve">ACTIVO CIRCULANTE             </t>
  </si>
  <si>
    <t xml:space="preserve">Caja y Bancos                 </t>
  </si>
  <si>
    <t xml:space="preserve">Cuentas por Cobrar            </t>
  </si>
  <si>
    <t xml:space="preserve">Deudores Diversos             </t>
  </si>
  <si>
    <t xml:space="preserve">Inventarios                   </t>
  </si>
  <si>
    <t xml:space="preserve">ACTIVO FIJO                   </t>
  </si>
  <si>
    <t xml:space="preserve">Terrenos y Edificios          </t>
  </si>
  <si>
    <t xml:space="preserve">Maquinaria y Equipo           </t>
  </si>
  <si>
    <t xml:space="preserve">Muebles y Enseres             </t>
  </si>
  <si>
    <t xml:space="preserve">Equipo de Transporte          </t>
  </si>
  <si>
    <t xml:space="preserve">Depreciacion Acumulada        </t>
  </si>
  <si>
    <t xml:space="preserve">ACTIVO DIFERIDO               </t>
  </si>
  <si>
    <t xml:space="preserve">Pagos Anticipados             </t>
  </si>
  <si>
    <t xml:space="preserve">Cargos Diferidos              </t>
  </si>
  <si>
    <t xml:space="preserve">Inversiones en Valores        </t>
  </si>
  <si>
    <t>TOTAL DE ACTIVO</t>
  </si>
  <si>
    <t xml:space="preserve">PASIVO CIRCULANTE             </t>
  </si>
  <si>
    <t xml:space="preserve">Proveedores                   </t>
  </si>
  <si>
    <t xml:space="preserve">Creditos a Corto Plazo        </t>
  </si>
  <si>
    <t xml:space="preserve">Impuestos a Pagar             </t>
  </si>
  <si>
    <t xml:space="preserve">Acreedores Diversos           </t>
  </si>
  <si>
    <t xml:space="preserve">PASIVO A LARGO PLAZO          </t>
  </si>
  <si>
    <t xml:space="preserve">Creditos a Largo Plazo        </t>
  </si>
  <si>
    <t>TOTAL DE PASIVO</t>
  </si>
  <si>
    <t xml:space="preserve">CAPITAL CONTABLE              </t>
  </si>
  <si>
    <t xml:space="preserve">Capital Social                </t>
  </si>
  <si>
    <t xml:space="preserve">Reservas                      </t>
  </si>
  <si>
    <t xml:space="preserve">Utilidad Acumulada            </t>
  </si>
  <si>
    <t xml:space="preserve">Superavit por Reevaluacion    </t>
  </si>
  <si>
    <t xml:space="preserve">Utilidad del Ejercicio        </t>
  </si>
  <si>
    <t>TOTAL DE CAPITAL CONTABLE</t>
  </si>
  <si>
    <t xml:space="preserve">TOTAL DE PASIVO + CAPITAL </t>
  </si>
  <si>
    <t>ESTADO DE RESULTADOS</t>
  </si>
  <si>
    <t xml:space="preserve">UTILIDAD BRUTA                </t>
  </si>
  <si>
    <t xml:space="preserve">Ventas                        </t>
  </si>
  <si>
    <t xml:space="preserve">Costo de Ventas               </t>
  </si>
  <si>
    <t xml:space="preserve">UTILIDAD DE OPERACION         </t>
  </si>
  <si>
    <t xml:space="preserve">Gastos de Venta               </t>
  </si>
  <si>
    <t xml:space="preserve">UTILIDAD NETA                 </t>
  </si>
  <si>
    <t xml:space="preserve">Gastos Financieros            </t>
  </si>
  <si>
    <t xml:space="preserve">Otros Ingresos (-)            </t>
  </si>
  <si>
    <t xml:space="preserve">Impuestos                     </t>
  </si>
  <si>
    <t xml:space="preserve">CONCILIACION                  </t>
  </si>
  <si>
    <t xml:space="preserve">Inv. o Vta. Activos Fijos     </t>
  </si>
  <si>
    <t xml:space="preserve">Depreciacion del Ejercicio    </t>
  </si>
  <si>
    <t>CIFRA DE UTILIDADES EN EL BALANCE</t>
  </si>
  <si>
    <t>NOTA: Las cifras entre paréntesis se suman al Estado de Resultados.</t>
  </si>
  <si>
    <t xml:space="preserve"> 4294967295  of  1</t>
  </si>
  <si>
    <t>Banregio Grupo Financiero</t>
  </si>
  <si>
    <t>SOLICITANTE</t>
  </si>
  <si>
    <t xml:space="preserve">ACTIVIDAD  </t>
  </si>
  <si>
    <t>AÑOS  EN SU ACTIVIDAD</t>
  </si>
  <si>
    <t xml:space="preserve">40 AÑOS </t>
  </si>
  <si>
    <t>ACTIVIDAD  / PRODUCTOS / MARCA</t>
  </si>
  <si>
    <t>FABRICACIÓN DE GALLETAS DULCES Y DERIVADOS DE LAS MARCA MARIAN.
SUS PRINCIPALES PRODUCTOS SON LAS GALLETAS DE TIPO SURTIDO MARIAN CLASICO Y SURTIDO MARIAN TRADICIONAL.</t>
  </si>
  <si>
    <t>PRINCIPALES CLIENTES</t>
  </si>
  <si>
    <t>NUEVA WAL MART (22%), COSTCO DE MÉXICO (12%), TIENDAS SORIANA (11%)</t>
  </si>
  <si>
    <t>EXPERIENCIA CON BGF</t>
  </si>
  <si>
    <t>CLIENTE DE CREDITO DESDE</t>
  </si>
  <si>
    <t>CALIFICACION DE CARTERA</t>
  </si>
  <si>
    <t>N.A.</t>
  </si>
  <si>
    <t>PRE CALIFICACION DE CARTERA</t>
  </si>
  <si>
    <t>FUERZAS / OPORTUNIDADES</t>
  </si>
  <si>
    <t>DEBILIDADES / AMENAZAS</t>
  </si>
  <si>
    <t>( UNIDADES )</t>
  </si>
  <si>
    <t>(MILES DE PESOS)</t>
  </si>
  <si>
    <t>N° DE CONTRATOS ARRENDADOS</t>
  </si>
  <si>
    <t>RTAS X DEV.</t>
  </si>
  <si>
    <t>SALDO</t>
  </si>
  <si>
    <t>VIGENTES</t>
  </si>
  <si>
    <t>TERMINADOS</t>
  </si>
  <si>
    <t>TOTAL</t>
  </si>
  <si>
    <t>($501-   )</t>
  </si>
  <si>
    <t>($201 - $500)</t>
  </si>
  <si>
    <t>($0 - $200)</t>
  </si>
  <si>
    <t>SINIESTRO</t>
  </si>
  <si>
    <t>CANCELACIÓN ANTICIPADA</t>
  </si>
  <si>
    <t>TRANSPASO/ CESIÓN</t>
  </si>
  <si>
    <t>TERMINACIÓN NORMAL</t>
  </si>
  <si>
    <t>SALDOS VENCIDOS</t>
  </si>
  <si>
    <t>TOTALES</t>
  </si>
  <si>
    <t>RENTAS DEVENGADAS</t>
  </si>
  <si>
    <t>PAGO DE RENTA MENSUAL ACTUAL</t>
  </si>
  <si>
    <t>INTERES MORATORIO COBRADO DESDE</t>
  </si>
  <si>
    <t>EL ORIGEN DE LA CUENTA</t>
  </si>
  <si>
    <t>RENTA PROMEDIO X UNIDAD</t>
  </si>
  <si>
    <t>COMP. DE PAGO EN BC</t>
  </si>
  <si>
    <t>FECHA DE CONSULTA DE BC</t>
  </si>
  <si>
    <t>CALIFICACION BURO DE CRÉDITO</t>
  </si>
  <si>
    <t>1 B1 , 1 A2</t>
  </si>
  <si>
    <t>INSTITUCIÓN</t>
  </si>
  <si>
    <t>TIPO DE CRÉDITO</t>
  </si>
  <si>
    <t>N° DE</t>
  </si>
  <si>
    <t>ULTIMO</t>
  </si>
  <si>
    <t>HIST. 12 MESES</t>
  </si>
  <si>
    <t>FECHA DE</t>
  </si>
  <si>
    <t>CRÉDITOS</t>
  </si>
  <si>
    <t>MOP</t>
  </si>
  <si>
    <t>ACTUALIZACIÓN</t>
  </si>
  <si>
    <t>ORIGINAL</t>
  </si>
  <si>
    <t>VIGENTE</t>
  </si>
  <si>
    <t>VENCIDO</t>
  </si>
  <si>
    <t>ARRENDAMIENTO PURO (MASTERLEASE)</t>
  </si>
  <si>
    <t>DICIEMBRE 09</t>
  </si>
  <si>
    <t>OTRAS FINANCIERAS (ARREND PURO)</t>
  </si>
  <si>
    <t>CRÉDITO FISCAL</t>
  </si>
  <si>
    <t>BANCO (DESCUENTOS)</t>
  </si>
  <si>
    <t>ENERO 10</t>
  </si>
  <si>
    <t>LINEAS DE CRÉDITO (OTRAS FINANCIERAS)</t>
  </si>
  <si>
    <t>BANCO (SIMPLE)</t>
  </si>
  <si>
    <t>BANCO (TARJETA DE SERVICIO)</t>
  </si>
  <si>
    <t>Notas:</t>
  </si>
  <si>
    <t>EL IMPORTE VENCIDO QUE REPORTAN LAS OTRAS FINANCIERAS ES UN SALDO DE $ 3,</t>
  </si>
  <si>
    <t>LOS SALDOS CON EL SAT (CREDITOS FISCALES) PRESENTAN UNA CLAVE DE OBSERVACION PC = CUENTA EN COBRANZA</t>
  </si>
  <si>
    <t>-LOS SALDOS VENCIDOS NO SON REPRESENTATIVOS DE LOS SALDOS VIGIENTES Y CONSIDERANDO LAS CALIFICACIONES DE BURÓ DE CRÉDITO DE B1 Y A2 SE CONSIDERA SU HISTORIAL EN BURÓ DE CRÉDITO COMO REGULAR.</t>
  </si>
  <si>
    <t>CAPACIDAD DE PAGO</t>
  </si>
  <si>
    <t>FECHA</t>
  </si>
  <si>
    <t>INDICE DE LIQUIDEZ</t>
  </si>
  <si>
    <t>DS CXC</t>
  </si>
  <si>
    <t>DS CICLO FINANCIERO</t>
  </si>
  <si>
    <t>UTILIDAD NETA</t>
  </si>
  <si>
    <t>UAFIR/FINANCIEROS</t>
  </si>
  <si>
    <t>CRECIMIENTO EN VENTAS</t>
  </si>
  <si>
    <t>-PRESENTA INDICES DE LIQUIDEZ FAVORABLES SOPORTADOS PRINCIPALMENTE POR CUENTAS POR COBRAR E INVENTARIOS.</t>
  </si>
  <si>
    <t>-EL CICLO FINANCIERO INCREMENTO SU PERIODO DERIVADO DEL CRECIMIENTO DE CUENTAS POR COBRAR E INVENTARIOS AUNADO A UN PRONTO PAGO DE PROVEEDORES.</t>
  </si>
  <si>
    <t>-PRESENTA CRECIMIENTO DE VENTAS CONSTANTES.</t>
  </si>
  <si>
    <t>- LA CAPACIDAD DE PAGO DE FLUJO DE EFECTIVO SE VIO AFECTADA POR LA GENERACIÓN DE FLUJO OPERATIVA ( INCREMENTO DE CxC, INVENTARIOS)</t>
  </si>
  <si>
    <t>- EL MARGEN DE UTILIDAD NETA ES EL MÁS ALTO DE LOS TRES EJERCICIOS REVISADOS.</t>
  </si>
  <si>
    <t>CAPACIDAD DE ENDEUDAMIENTO</t>
  </si>
  <si>
    <t>PASIVO TOTAL</t>
  </si>
  <si>
    <t>CAPITAL CONTABLE</t>
  </si>
  <si>
    <t>PASIVO FINANCIERO/PASIVO TOTAL</t>
  </si>
  <si>
    <t>APALANCAMIENTO (PT/CC)</t>
  </si>
  <si>
    <t>PASIVO FIN C.P.</t>
  </si>
  <si>
    <t>PASIVO FIN L.P. 
(BANESTO ESPAÑA EN USD)
IMPORTE YA CONVERTIDO A M.N.</t>
  </si>
  <si>
    <t>PROVEEDORES</t>
  </si>
  <si>
    <t>- SU CAPITAL CONTABLE SE ENCUENTRA SOPORTADO PRINCIPALMENTE POR ACTUALIZACIONES.</t>
  </si>
  <si>
    <t>COLATERAL   GARANTÍA</t>
  </si>
  <si>
    <t>-AVAL DE INMOBILIARIA LA MATA, S.A. DE C.V. (PROPIETARIA DEL INMUEBLE DONDE SE UBICA GALLETAS DE CALIDAD), QUIEN REPORTA ACTIVOS TOTALES POR $ 32´000, EN DONDE LOS TERRENOS Y EDIFICIOS SUMAN $ 25,099,.  NO REPORTA PASIVOS.
EN SU BURO DE CREDITO NO REPORTA FINANCIAMIENTO ALGUNO.</t>
  </si>
  <si>
    <t>CONDICIONES OPERATIVAS</t>
  </si>
  <si>
    <t>OTROS ASPECTOS RELEV.</t>
  </si>
  <si>
    <t>RECOMENDACIÓN</t>
  </si>
  <si>
    <t>SE RECOMIENDA LA RATIFICACIÓN E INCREMENTO DE SU LÍNEA DE CRÉDITO EN BASE A:  EXPERIENCIA DE PAGO FAVORABLE CON MASTERLEASE, CAPITAL DE TRABAJO SUFICIENTE PARA CUMPLIR CON SUS COMPROMISOS Y EXPERIENCIA EN EL GIRO AL QUE SE DEDICA POR MAS DE 40 AÑOS.  POR OTRA PARTE, YA LE HEMOS ARRENDADO 183 CONTRATOS, DONDE ACTUALMENTE TIENE UN CONTRATO VIGENTE.</t>
  </si>
  <si>
    <t>OPINION</t>
  </si>
  <si>
    <t>FAVORABLE</t>
  </si>
  <si>
    <t>ELABORÓ</t>
  </si>
  <si>
    <t>ALBERTO SALINAS GUERRA</t>
  </si>
  <si>
    <t>CLIENTE DESDE</t>
  </si>
  <si>
    <t>NEGOCIO / CONVENIENCIA</t>
  </si>
  <si>
    <t>RIESGO ACTUAL</t>
  </si>
  <si>
    <t>EJECUTIVOS</t>
  </si>
  <si>
    <t>EMPLEADOS</t>
  </si>
  <si>
    <t>UTILITARIOS</t>
  </si>
  <si>
    <t>NUMERO DE UNIDADES ARRENDADAS ACTUALES</t>
  </si>
  <si>
    <t>TOTAL DE CONTRATOS OPERADOS (HISTORICO Y ACTUAL)</t>
  </si>
  <si>
    <t>TOTAL DE CONTRATOS TERMINADOS</t>
  </si>
  <si>
    <t>RIESGO A LA FECHA</t>
  </si>
  <si>
    <t>CALIFICACION DE CONVENIENCIA</t>
  </si>
  <si>
    <t>BUENA</t>
  </si>
  <si>
    <t>COMPORTAMIENTO DE PAGO</t>
  </si>
  <si>
    <t>EXPERIENCIA INTERNA DE MASTERLEASE</t>
  </si>
  <si>
    <t>EXPERIENCIA EXTERNA BURÓ DE CRÉDITO</t>
  </si>
  <si>
    <t>FECHA DE CONSULTA DE BURO DE CRÉDITO</t>
  </si>
  <si>
    <t>NO PRESENTA ANTECEDENTES CREDITICIOS</t>
  </si>
  <si>
    <t>HISTORICO 12 MESES</t>
  </si>
  <si>
    <t>ARRENDAMIENTOS PUROS</t>
  </si>
  <si>
    <t>JUNIO 09</t>
  </si>
  <si>
    <t>BANCOS (TARJETAS DE SERVICIO)</t>
  </si>
  <si>
    <t>OCTUBRE 09</t>
  </si>
  <si>
    <t>OTRAS FINANCIERAS (REFACCIONARIO)</t>
  </si>
  <si>
    <t>BANCOS (GTIA INMOBILIARIA)</t>
  </si>
  <si>
    <t>NOVIEMBRE 09</t>
  </si>
  <si>
    <t>BANCOS (SIMPLE)</t>
  </si>
  <si>
    <t>1 - C2</t>
  </si>
  <si>
    <t>CALIFICACION DE CONDUCTA INTERNA</t>
  </si>
  <si>
    <t>CALIFICACION DE CONDUCTA EXTERNA</t>
  </si>
  <si>
    <t>REGULAR</t>
  </si>
  <si>
    <t>NO CUENTA CON CAPACIDAD DE PAGO DE RENTAS CON SUS MARGENES DE OPERACIÓN AL 2009, SIN EMGARGO SI SE CONSIDERA EL 2008 CUENTA CON CAPACIDAD DE PAGO.</t>
  </si>
  <si>
    <t>CUENTA CON CAPACIDAD DE FLUJO DE EFECTIVO LIMITADA AL PARCIAL DEL 2009, PRINCIPALMENTE POR LA RELACIÓN INTER-FILIALES, SIN EMBARGO PARA EL CIERRE DEL 2008 PRESENTA CAPACIDAD DE PAGO DE SU FLUJO DE EFECTIVO Y DE SU MARGEN DE OPERACIÓN.</t>
  </si>
  <si>
    <t>CALIFICACION DE CAPACIDAD DE PAGO</t>
  </si>
  <si>
    <t>SUFICIENTE / LIMITADA</t>
  </si>
  <si>
    <t xml:space="preserve">SU NIVEL DE APALANCAMIENTO ES DE </t>
  </si>
  <si>
    <t>LA RENTA MENSUAL ACTUAL ES DE</t>
  </si>
  <si>
    <t>LA UTILIDAD DE OPERACIÓN MENSUAL  ES</t>
  </si>
  <si>
    <t xml:space="preserve">LA RENTA MENSUAL REPRESENTA EL </t>
  </si>
  <si>
    <t>DE LA UTILIDAD DE OPEARCIÓN</t>
  </si>
  <si>
    <t>CALIFICACION DE CAPACIDAD DE ENDEUDAMIENTO</t>
  </si>
  <si>
    <t>INSUFICIENTE</t>
  </si>
  <si>
    <t>NO SE CUENTA CON FUENTE SECUNDARIA DE PAGO</t>
  </si>
  <si>
    <t>CALIFICACION DE GARANTÍA</t>
  </si>
  <si>
    <t>OPINIÓN</t>
  </si>
  <si>
    <t>SE RECOMIENDA EN BASE A:</t>
  </si>
  <si>
    <t>SE RECOMIENDA APOYAR LA PROPUESTA EN BASE A LA TRAYECTORIA FAVORABLE DE PAGO EN MASTERLEASE Y A LA EXPERIENCIA EN EL GIRO DEL GRUPO DE EMPRESAS A LAS CUALES PERTENECE LA SOLICITANTE.</t>
  </si>
  <si>
    <t>FAVORABLE / LIMITADA</t>
  </si>
  <si>
    <t>RELACIONES ANALÍTICAS</t>
  </si>
  <si>
    <t>TERRENOS</t>
  </si>
  <si>
    <t>DESCRIPCIÓN</t>
  </si>
  <si>
    <t>UBICACIÓN</t>
  </si>
  <si>
    <t>SUP. MTS²</t>
  </si>
  <si>
    <t>VALOR DE ADQUISICIÓN</t>
  </si>
  <si>
    <t>REVALUACIÓN</t>
  </si>
  <si>
    <t>VALOR TOTAL</t>
  </si>
  <si>
    <t>TERRENO</t>
  </si>
  <si>
    <t>LOTE 21 Y 44 DE FRACC CD. INDUSTRIAL, CELAYA, GTO</t>
  </si>
  <si>
    <t>LOTE 32 Y 33 DE FRACC ARBOLEDAS, UNIDAD PARQUES RESIDENCIALES DE QUERETARO, QRO.</t>
  </si>
  <si>
    <t>EDIFICIO</t>
  </si>
  <si>
    <t>LOTE EN FRACC LA TABLA DE LA VIRGEN, LEON, GTO.</t>
  </si>
  <si>
    <t>LOTE EN MIGUEL ALEMAN KM 14.8 APODACA, N.L.</t>
  </si>
  <si>
    <t>LOTE EN MANZANA 5, DISTRITO 1-81 FRACC CUAUTITLÁN IZCALLI</t>
  </si>
  <si>
    <t>LOTE EN MANZANA 12, NUMERO 319 DE CALLE 21, UBICADO EN MERIDA, CD. INDUSTRIAL</t>
  </si>
  <si>
    <t>CONSTRUCCIÓN EN TEPOZTLAN, EDO MÉXICO, SOBRE TERRENO PROPIEDAD DE BIENES DEL CENTRO</t>
  </si>
  <si>
    <t>ANEXO 1</t>
  </si>
  <si>
    <t>AVAL 1:</t>
  </si>
  <si>
    <t>RAMIRO GONZALEZ GONZALEZ</t>
  </si>
  <si>
    <t>RFC</t>
  </si>
  <si>
    <t>GOGR 741111 EN8</t>
  </si>
  <si>
    <t>ESTADO CIVIL</t>
  </si>
  <si>
    <t>SOLTERO</t>
  </si>
  <si>
    <t>EDAD</t>
  </si>
  <si>
    <t>35 AÑOS</t>
  </si>
  <si>
    <t>AL 31 DE ENERO DEL 2009</t>
  </si>
  <si>
    <t>ACTIVO CIRCULANTE</t>
  </si>
  <si>
    <t>ACTIVO FIJO</t>
  </si>
  <si>
    <t>TERRENOS Y EDIFICIOS</t>
  </si>
  <si>
    <t>TOTAL ACTIVO FIJO</t>
  </si>
  <si>
    <t>TOTAL ACTIVO</t>
  </si>
  <si>
    <t>PASIVO CIRCULANTE</t>
  </si>
  <si>
    <t>PASIVO LARGO PLAZO</t>
  </si>
  <si>
    <t>PATRIMONIO</t>
  </si>
  <si>
    <t>NO DISPONIBLE</t>
  </si>
  <si>
    <t>INMUEBLES REPORTADOS</t>
  </si>
  <si>
    <t>MTS²</t>
  </si>
  <si>
    <t>VALOR</t>
  </si>
  <si>
    <t>PROPIETARIO</t>
  </si>
  <si>
    <t>VERIF</t>
  </si>
  <si>
    <t>COSNTR.</t>
  </si>
  <si>
    <t>1.-</t>
  </si>
  <si>
    <t>TERRENO URBANO INDUSTRIAL, UBICADO EN LOTE N° 2 MANZANA N° 37, DISTRITO INDUSTRIAL MARITIMO DE ALTAMIRA, TAMPS.</t>
  </si>
  <si>
    <t>N.D.</t>
  </si>
  <si>
    <t>LIBRE DE GRAVAMEN</t>
  </si>
  <si>
    <t>REG: 3803,  VOL: 33, LIB 6-077, FECHA: 06-03-2003, TAMPS.</t>
  </si>
  <si>
    <t>2.-</t>
  </si>
  <si>
    <t>DEPARTAMENTO UBICADO EN AVE. LOS ARCANGELES N° 1001, FRACC. LOS ARCANGELES, SAN PEDRO GRAZA GARCÍA, N.L.</t>
  </si>
  <si>
    <t>REG: 860,  VOL: 98, LIB 36, FECHA: 06-06-2006</t>
  </si>
  <si>
    <t xml:space="preserve">B.R. LIBRES  </t>
  </si>
  <si>
    <t xml:space="preserve">B.R. GRAVADOS  </t>
  </si>
  <si>
    <t xml:space="preserve">B.R. TERCEROS  </t>
  </si>
  <si>
    <t xml:space="preserve">B.R. PENDIENTES  </t>
  </si>
  <si>
    <t xml:space="preserve">TOTAL BIENES RAICES  </t>
  </si>
  <si>
    <t>BURÓ DE CRÉDITO</t>
  </si>
  <si>
    <t>FECHA DE CONSULTA</t>
  </si>
  <si>
    <t>CANTIDAD DE CUENTAS ABIERTAS</t>
  </si>
  <si>
    <t>SALDO VIGENTE</t>
  </si>
  <si>
    <t>CANTIDAD DE CUENTAS CERRADAS</t>
  </si>
  <si>
    <t>SALDO VENCIDO</t>
  </si>
  <si>
    <t>NUMERO DE CONSULTAS</t>
  </si>
  <si>
    <t>MOP MAXIMO ULTIMO AÑO</t>
  </si>
  <si>
    <t>CALIFICACIÓN BURÓ</t>
  </si>
  <si>
    <t>1A1</t>
  </si>
  <si>
    <t>INTERPRETACIÓN</t>
  </si>
  <si>
    <t>BUEN HISTORIAL</t>
  </si>
  <si>
    <t>BC SCORE</t>
  </si>
  <si>
    <t>AVAL 2:</t>
  </si>
  <si>
    <t>RAMIRO GONZALEZ GARCIA</t>
  </si>
  <si>
    <t>GOGR 490204 CM2</t>
  </si>
  <si>
    <t>60 AÑOS</t>
  </si>
  <si>
    <t>BURÓ DE CRÉDITO (NO DISPONIBLE)</t>
  </si>
  <si>
    <t xml:space="preserve">Sectores de Actividad Económica </t>
  </si>
  <si>
    <t xml:space="preserve">Calificación de Riesgo Trim I 2009 </t>
  </si>
  <si>
    <t xml:space="preserve">Agropecuario, Silvicultura y Pesca </t>
  </si>
  <si>
    <t xml:space="preserve">B-3 </t>
  </si>
  <si>
    <t>RAZONES FINANCIERAS HISTÓRICAS PARA CALIFICACIÓN DE LA CARTERA</t>
  </si>
  <si>
    <t xml:space="preserve">Minería </t>
  </si>
  <si>
    <t xml:space="preserve">D </t>
  </si>
  <si>
    <t xml:space="preserve">Electricidad, Gas y Agua </t>
  </si>
  <si>
    <t xml:space="preserve">C-1 </t>
  </si>
  <si>
    <t>FLUJO DE EFECTIVO</t>
  </si>
  <si>
    <t xml:space="preserve">Construcción </t>
  </si>
  <si>
    <t>Flujo Operativo / Total Financiamiento Externo</t>
  </si>
  <si>
    <t>Base</t>
  </si>
  <si>
    <t xml:space="preserve">Industria Manufacturera </t>
  </si>
  <si>
    <t>Flujo Operativo / Pasivo Corto Plazo</t>
  </si>
  <si>
    <t xml:space="preserve">Carnes y Lácteos </t>
  </si>
  <si>
    <t>Flujo Operativo / Pasivo Total</t>
  </si>
  <si>
    <t xml:space="preserve">Textiles, Prendas de Vestir e Industria del Cuero </t>
  </si>
  <si>
    <t>EBITDA / Intereses</t>
  </si>
  <si>
    <t>Actividad o giro</t>
  </si>
  <si>
    <t xml:space="preserve">Imprentas y Editoriales </t>
  </si>
  <si>
    <t xml:space="preserve">C-2 </t>
  </si>
  <si>
    <t>EBITDA / Pasivo con Costo Financiero</t>
  </si>
  <si>
    <t>B-3</t>
  </si>
  <si>
    <t xml:space="preserve">Artículos de Plástico </t>
  </si>
  <si>
    <t xml:space="preserve">Productos a base de minerales no metálicos </t>
  </si>
  <si>
    <t>LIQUIDEZ</t>
  </si>
  <si>
    <t xml:space="preserve">Vidrio y Productos de Vidrio </t>
  </si>
  <si>
    <t>Indice de Liquidez</t>
  </si>
  <si>
    <t xml:space="preserve">Industrias Básicas de Hierro y Acero </t>
  </si>
  <si>
    <t>Liquidez Inmediata</t>
  </si>
  <si>
    <t xml:space="preserve">Productos Metálicos, Maquinaria y Equipo </t>
  </si>
  <si>
    <t>Capital de Trabajo Neto ($)</t>
  </si>
  <si>
    <t xml:space="preserve">Comercio, Restaurantes y Hoteles </t>
  </si>
  <si>
    <t xml:space="preserve">Comercio </t>
  </si>
  <si>
    <t>APALANCAMIENTO</t>
  </si>
  <si>
    <t xml:space="preserve">Transporte, Almacenaje y Comunicaciones </t>
  </si>
  <si>
    <t>Pasivo Total / Activo Total</t>
  </si>
  <si>
    <t xml:space="preserve">Transporte </t>
  </si>
  <si>
    <t>Pasivo Total / Capital Contable</t>
  </si>
  <si>
    <t xml:space="preserve">Servicios Financieros, Seguros, Actividades Inmobiliarias y de Alquiler </t>
  </si>
  <si>
    <t>Instituciones Financieras / Pasivo Total</t>
  </si>
  <si>
    <t xml:space="preserve">Servicios Comunales, Sociales y Personales </t>
  </si>
  <si>
    <t xml:space="preserve">Servicios Profesionales </t>
  </si>
  <si>
    <t>RENTABILIDAD Y EFICIENCIA</t>
  </si>
  <si>
    <t xml:space="preserve">Servicios Médicos </t>
  </si>
  <si>
    <t>Utilidad Neta / Activo Total</t>
  </si>
  <si>
    <t xml:space="preserve">Agrupaciones mercantiles, profesionales, cívicas, políticas, laborales y religiosas </t>
  </si>
  <si>
    <t>Utilidad Neta / Capital Contable</t>
  </si>
  <si>
    <t xml:space="preserve">Gobierno </t>
  </si>
  <si>
    <t>Utilidad Neta / Ventas Netas</t>
  </si>
  <si>
    <t xml:space="preserve">Empleados, profesionistas independientes y similares </t>
  </si>
  <si>
    <t>Utilidad Oper. / Ints. Pagados</t>
  </si>
  <si>
    <t>Días Cartera</t>
  </si>
  <si>
    <t>Días Inventarios</t>
  </si>
  <si>
    <t>Ciclo Financiero</t>
  </si>
  <si>
    <t>Días Proveedores</t>
  </si>
  <si>
    <t xml:space="preserve">C A L I F I C A C I O N E S </t>
  </si>
  <si>
    <t>Calificación</t>
  </si>
  <si>
    <t>Reservas</t>
  </si>
  <si>
    <t>Riesgo</t>
  </si>
  <si>
    <t>Experiencia</t>
  </si>
  <si>
    <t>Acumulada</t>
  </si>
  <si>
    <t>A1 = 1</t>
  </si>
  <si>
    <t>País</t>
  </si>
  <si>
    <t>Financiero</t>
  </si>
  <si>
    <t>Industria</t>
  </si>
  <si>
    <t>de Pago B.C.</t>
  </si>
  <si>
    <t>del Deudor</t>
  </si>
  <si>
    <t>A2 = 2</t>
  </si>
  <si>
    <t>B1 = 3</t>
  </si>
  <si>
    <t>B3</t>
  </si>
  <si>
    <t>B2 = 4</t>
  </si>
  <si>
    <t>B3 = 5</t>
  </si>
  <si>
    <t>C1 = 6</t>
  </si>
  <si>
    <t>C2 = 7</t>
  </si>
  <si>
    <t>D = 8</t>
  </si>
  <si>
    <t>E = 9</t>
  </si>
  <si>
    <t>A1</t>
  </si>
  <si>
    <t>CALIFICACIÓN DE LA EXPERIENCIA DE PAGO EN EL BURÓ DE CRÉDITO</t>
  </si>
  <si>
    <t>A2</t>
  </si>
  <si>
    <t>B1</t>
  </si>
  <si>
    <t>Días Atraso</t>
  </si>
  <si>
    <t>1 a 14</t>
  </si>
  <si>
    <t>15 a 29</t>
  </si>
  <si>
    <t>30 a 44</t>
  </si>
  <si>
    <t>45 a 59</t>
  </si>
  <si>
    <t>60 a 89</t>
  </si>
  <si>
    <t>90 a 179</t>
  </si>
  <si>
    <t>180 a 365</t>
  </si>
  <si>
    <t>&gt; 365</t>
  </si>
  <si>
    <t>B2</t>
  </si>
  <si>
    <t>CALIFICACIÓN ACUMULADA DEL DEUDOR</t>
  </si>
  <si>
    <t>C1</t>
  </si>
  <si>
    <t>Calificación de la Experiencia de Pago</t>
  </si>
  <si>
    <t>C2</t>
  </si>
  <si>
    <t>D</t>
  </si>
  <si>
    <t>E</t>
  </si>
  <si>
    <t>Calificación Riesgo Fin.</t>
  </si>
  <si>
    <t>1 a 4.99</t>
  </si>
  <si>
    <t>5 a 5.99</t>
  </si>
  <si>
    <t>6 a 6.33</t>
  </si>
  <si>
    <t>6.34 a 6.66</t>
  </si>
  <si>
    <t>6.67 a 6.99</t>
  </si>
  <si>
    <t>7 a 7.99</t>
  </si>
  <si>
    <t>8 a 8.99</t>
  </si>
  <si>
    <t>RAZON</t>
  </si>
  <si>
    <t>PESO</t>
  </si>
  <si>
    <t>TIPO</t>
  </si>
  <si>
    <t>DEFINICION</t>
  </si>
  <si>
    <t>ESPECIF.</t>
  </si>
  <si>
    <t>Cobertura de Intereses:</t>
  </si>
  <si>
    <t>Cob.Ints.Respecto a Flujo Fondos:</t>
  </si>
  <si>
    <t>Cobertura de la Deuda:</t>
  </si>
  <si>
    <t>Cobertura Neta de la Deuda:</t>
  </si>
  <si>
    <t>Nd</t>
  </si>
  <si>
    <t>Cobertura neta de la Deuda:</t>
  </si>
  <si>
    <t>Rendimiento del Capital:</t>
  </si>
  <si>
    <t>Margen de Operación:</t>
  </si>
  <si>
    <t>CCC</t>
  </si>
  <si>
    <t>B</t>
  </si>
  <si>
    <t>BB</t>
  </si>
  <si>
    <t>BBB</t>
  </si>
  <si>
    <t>A</t>
  </si>
  <si>
    <t>AA</t>
  </si>
  <si>
    <t>AAA</t>
  </si>
  <si>
    <t>Pas.c/Costo Fin. LP a Cap. Cont.:</t>
  </si>
  <si>
    <t>Pas.c/Costo Fin.Total a Cap. Cont.:</t>
  </si>
  <si>
    <t>CALIFICACION RIESGO FINANCIERO:</t>
  </si>
  <si>
    <t>Pre – Calificación del Deudor</t>
  </si>
  <si>
    <t>Nombre del Cliente:</t>
  </si>
  <si>
    <t>Fecha de la Pre Calificación</t>
  </si>
  <si>
    <t>Analista</t>
  </si>
  <si>
    <t>Calificación del Deudor</t>
  </si>
  <si>
    <t>Sector</t>
  </si>
  <si>
    <t>Giro</t>
  </si>
  <si>
    <t>Pond.</t>
  </si>
  <si>
    <t>Razones Financieras</t>
  </si>
  <si>
    <t>Solicitante</t>
  </si>
  <si>
    <t>Fecha Buró</t>
  </si>
  <si>
    <t>Días de atraso buró</t>
  </si>
  <si>
    <t>Días de atraso Banregio</t>
  </si>
  <si>
    <t>Días de atraso AF Banregio</t>
  </si>
  <si>
    <t>Aval</t>
  </si>
  <si>
    <t>Resultado</t>
  </si>
  <si>
    <t>Mayor atraso</t>
  </si>
  <si>
    <t>ACTIVIDAD DE CATALOGO</t>
  </si>
  <si>
    <t>SECTOR</t>
  </si>
  <si>
    <t>SUBSECTOR</t>
  </si>
  <si>
    <t>RAMA</t>
  </si>
  <si>
    <t>ACTIVIDAD ESPECÍFICA</t>
  </si>
  <si>
    <t>ACABADO DE HILOS</t>
  </si>
  <si>
    <t>INDUSTRIA MANUFACTURERA</t>
  </si>
  <si>
    <t xml:space="preserve"> TEXTILES, PRENDAS DE VESTIR E INDUSTRIA DEL CUERO</t>
  </si>
  <si>
    <t xml:space="preserve"> HILADO Y TEJIDO DE FIBRAS BLANDAS</t>
  </si>
  <si>
    <t>220-ACABADO DE HILOS</t>
  </si>
  <si>
    <t>ACABADO DE TELAS</t>
  </si>
  <si>
    <t>228-ACABADO DE TELAS</t>
  </si>
  <si>
    <t>ACTIVIDADES DE CLUBES DEPORTIVOS PROFESIONALES</t>
  </si>
  <si>
    <t>SERVICIOS COMUNALES, SOCIALES Y PERSONALES</t>
  </si>
  <si>
    <t>SERVICIOS PROFESIONALES, DE EDUCACIÓN, MÉDICOS Y DE ESPARCIMIENTO</t>
  </si>
  <si>
    <t xml:space="preserve"> SERVICIOS DE ESPARCIMIENTO</t>
  </si>
  <si>
    <t>935-ACTIVIDADES DE CLUBES DEPORTIVOS PROFESIONALES</t>
  </si>
  <si>
    <t>ADMINISTRACION DE CAMINOS PUENTES Y SERVICIOS AUXILIARES</t>
  </si>
  <si>
    <t>TRANSPORTE, ALMACENAMIENTO Y COMUNICACIONES</t>
  </si>
  <si>
    <t>TRANSPORTE Y ALMACENAMIENTO</t>
  </si>
  <si>
    <t xml:space="preserve"> TRANSPORTE</t>
  </si>
  <si>
    <t>830-ADMINISTRACION DE CAMINOS PUENTES Y SERVICIOS AUXILIARES</t>
  </si>
  <si>
    <t>Calificación de Riesgo Primer Trimestre del 2009</t>
  </si>
  <si>
    <t>ADMINISTRACION DE CAMINOS PUENTES Y SERVICIOS AUXILIARES (GOBIERNO)</t>
  </si>
  <si>
    <t>GOBIERNO, AGRUPACIONES Y ORGANIZACIONES INTERNACIONALES</t>
  </si>
  <si>
    <t>GOBIERNO</t>
  </si>
  <si>
    <t xml:space="preserve"> OTROS SERVICIOS Y ACTIVIDADES DE ADMINISTRACION PUBLICA</t>
  </si>
  <si>
    <t>1035-ADMINISTRACION DE CAMINOS PUENTES Y SERVICIOS AUXILIARES (GOBIERNO)</t>
  </si>
  <si>
    <t>ADMINISTRACION DE CENTRALES CAMIONERAS Y SERVICIOS AUXILIARES</t>
  </si>
  <si>
    <t>833-ADMINISTRACION DE CENTRALES CAMIONERAS Y SERVICIOS AUXILIARES</t>
  </si>
  <si>
    <t>AGROPECUARIO,SILVICULTURA,  CAZA  Y PESCA</t>
  </si>
  <si>
    <t>ADMINISTRACION DE CENTRALES CAMIONERAS Y SERVICIOS AUXILIARES (GOBIERNO)</t>
  </si>
  <si>
    <t>1038-ADMINISTRACION DE CENTRALES CAMIONERAS Y SERVICIOS AUXILIARES (GOBIERNO)</t>
  </si>
  <si>
    <t>COMERCIO, RESTAURANTES Y HOTELES</t>
  </si>
  <si>
    <t>ADMINISTRACION DE INMUEBLES</t>
  </si>
  <si>
    <t>SERVICIOS FINANCIEROS, SEGUROS Y BIENES INMUEBLES</t>
  </si>
  <si>
    <t>BIENES INMUEBLES</t>
  </si>
  <si>
    <t xml:space="preserve"> ALQUILER DE INMUEBLES</t>
  </si>
  <si>
    <t>885-ADMINISTRACION DE INMUEBLES</t>
  </si>
  <si>
    <t>CONSTRUCCION</t>
  </si>
  <si>
    <t>ADMINISTRACION DE PUERTOS MARITIMOS LACUSTRES Y FLUVIALES</t>
  </si>
  <si>
    <t>832-ADMINISTRACION DE PUERTOS MARITIMOS LACUSTRES Y FLUVIALES</t>
  </si>
  <si>
    <t>ELECTRICIDAD, GAS Y AGUA</t>
  </si>
  <si>
    <t>ADMINISTRACION DE PUERTOS MARITIMOS LACUSTRES Y FLUVIALES (GOBIERNO)</t>
  </si>
  <si>
    <t>1037-ADMINISTRACION DE PUERTOS MARITIMOS LACUSTRES Y FLUVIALES (GOBIERNO)</t>
  </si>
  <si>
    <t>EMPLEADOS, PROFESIONISTAS INDEPENDIENTES Y SIMILARES</t>
  </si>
  <si>
    <t>AEROPUERTO CIVIL</t>
  </si>
  <si>
    <t>831-AEROPUERTO CIVIL</t>
  </si>
  <si>
    <t>AEROPUERTO CIVIL (GOBIERNO)</t>
  </si>
  <si>
    <t>1036-AEROPUERTO CIVIL (GOBIERNO)</t>
  </si>
  <si>
    <t>AGENCIA ADUANAL</t>
  </si>
  <si>
    <t>836-AGENCIA ADUANAL</t>
  </si>
  <si>
    <t>MINERÍA</t>
  </si>
  <si>
    <t>AGENCIA ADUANAL (GOBIERNO)</t>
  </si>
  <si>
    <t>1041-AGENCIA ADUANAL (GOBIERNO)</t>
  </si>
  <si>
    <t>AGENCIA DE FERROCARRIL</t>
  </si>
  <si>
    <t>838-AGENCIA DE FERROCARRIL</t>
  </si>
  <si>
    <t>AGENCIA DE FERROCARRIL (GOBIERNO)</t>
  </si>
  <si>
    <t>1043-AGENCIA DE FERROCARRIL (GOBIERNO)</t>
  </si>
  <si>
    <t>AGENCIA DE INHUMACIONES</t>
  </si>
  <si>
    <t>OTROS SERVICIOS</t>
  </si>
  <si>
    <t xml:space="preserve"> OTROS SERVICIOS</t>
  </si>
  <si>
    <t>980-AGENCIA DE INHUMACIONES</t>
  </si>
  <si>
    <t>AGENCIA DE MUDANZAS</t>
  </si>
  <si>
    <t>817-AGENCIA DE MUDANZAS</t>
  </si>
  <si>
    <t>AGENCIA DE MUDANZAS (GOBIERNO)</t>
  </si>
  <si>
    <t>1022-AGENCIA DE MUDANZAS (GOBIERNO)</t>
  </si>
  <si>
    <t>AGENCIA DE PUBLICIDAD</t>
  </si>
  <si>
    <t xml:space="preserve"> SERVICIOS PROFESIONALES</t>
  </si>
  <si>
    <t>893-AGENCIA DE PUBLICIDAD</t>
  </si>
  <si>
    <t>AGENCIA DE TURISMO</t>
  </si>
  <si>
    <t>835-AGENCIA DE TURISMO</t>
  </si>
  <si>
    <t>AGENCIA DE TURISMO (GOBIERNO)</t>
  </si>
  <si>
    <t>1040-AGENCIA DE TURISMO (GOBIERNO)</t>
  </si>
  <si>
    <t>AGENCIA DE VAPORES Y BUQUES</t>
  </si>
  <si>
    <t>824-AGENCIA DE VAPORES Y BUQUES</t>
  </si>
  <si>
    <t>AGENCIA DE VAPORES Y BUQUES (GOBIERNO)</t>
  </si>
  <si>
    <t>1029-AGENCIA DE VAPORES Y BUQUES (GOBIERNO)</t>
  </si>
  <si>
    <t>AGENCIA NOTICIOSA</t>
  </si>
  <si>
    <t>894-AGENCIA NOTICIOSA</t>
  </si>
  <si>
    <t>AGENCIAS DE RIFAS Y SORTEOS (QUINIELAS Y LOTERIA)</t>
  </si>
  <si>
    <t xml:space="preserve"> ARTICULOS DIVERSOS</t>
  </si>
  <si>
    <t xml:space="preserve"> COMERCIO</t>
  </si>
  <si>
    <t>789-AGENCIAS DE RIFAS Y SORTEOS (QUINIELAS Y LOTERIA)</t>
  </si>
  <si>
    <t>AGENTE DE BOLSA</t>
  </si>
  <si>
    <t>SERVICIOS FINANCIEROS Y SEGUROS</t>
  </si>
  <si>
    <t xml:space="preserve">SERVICIOS FINANCIEROS </t>
  </si>
  <si>
    <t>856-AGENTE DE BOLSA</t>
  </si>
  <si>
    <t>AGENTE DE BOLSA (GOBIERNO)</t>
  </si>
  <si>
    <t>874-AGENTE DE BOLSA (GOBIERNO)</t>
  </si>
  <si>
    <t>AGENTE DE SEGUROS</t>
  </si>
  <si>
    <t>858-AGENTE DE SEGUROS</t>
  </si>
  <si>
    <t>AGENTE DE SEGUROS (GOBIERNO)</t>
  </si>
  <si>
    <t>876-AGENTE DE SEGUROS (GOBIERNO)</t>
  </si>
  <si>
    <t>ALMACENES DE DEPOSITO NACIONALES</t>
  </si>
  <si>
    <t>868-ALMACENES DE DEPOSITO NACIONALES</t>
  </si>
  <si>
    <t>ALMACENES DE DEPOSITO PRIVADOS</t>
  </si>
  <si>
    <t>850-ALMACENES DE DEPOSITO PRIVADOS</t>
  </si>
  <si>
    <t>ALQUILER DE EQUIPOS ELECTRONICOS</t>
  </si>
  <si>
    <t>951-ALQUILER DE EQUIPOS ELECTRONICOS</t>
  </si>
  <si>
    <t>ALQUILER DE LANCHAS Y VELEROS</t>
  </si>
  <si>
    <t>839-ALQUILER DE LANCHAS Y VELEROS</t>
  </si>
  <si>
    <t>ALQUILER DE LANCHAS Y VELEROS (GOBIERNO)</t>
  </si>
  <si>
    <t>1044-ALQUILER DE LANCHAS Y VELEROS (GOBIERNO)</t>
  </si>
  <si>
    <t>ALQUILER DE MOBILIARIO Y EQUIPO PARA COMERCIOS, SERVICIOS Y OFICINAS</t>
  </si>
  <si>
    <t>949-ALQUILER DE MOBILIARIO Y EQUIPO PARA COMERCIOS, SERVICIOS Y OFICINAS</t>
  </si>
  <si>
    <t>ALQUILER DE ROPA</t>
  </si>
  <si>
    <t>953-ALQUILER DE ROPA</t>
  </si>
  <si>
    <t>ALQUILER DE SILLAS Y VAJILLAS PARA BANQUETES</t>
  </si>
  <si>
    <t>950-ALQUILER DE SILLAS Y VAJILLAS PARA BANQUETES</t>
  </si>
  <si>
    <t>ALQUILER DE TERRENOS, LOCALES Y EDIFICIOS NO RESIDENCIALES</t>
  </si>
  <si>
    <t>882-ALQUILER DE TERRENOS, LOCALES Y EDIFICIOS NO RESIDENCIALES</t>
  </si>
  <si>
    <t>ALQUILER O RENTA DE AUTOMOVILES SIN CHOFER</t>
  </si>
  <si>
    <t>952-ALQUILER O RENTA DE AUTOMOVILES SIN CHOFER</t>
  </si>
  <si>
    <t>AMA DE CASA</t>
  </si>
  <si>
    <t>1066-AMA DE CASA</t>
  </si>
  <si>
    <t>ARRENDADORAS FINANCIERAS NACIONALES</t>
  </si>
  <si>
    <t>881-ARRENDADORAS FINANCIERAS NACIONALES</t>
  </si>
  <si>
    <t>ARRENDADORAS FINANCIERAS PRIVADAS</t>
  </si>
  <si>
    <t>863-ARRENDADORAS FINANCIERAS PRIVADAS</t>
  </si>
  <si>
    <t>ARRENDAMIENTO DE EQUIPO PARA PROCESAMIENTO ELECTRONICO DE DATOS</t>
  </si>
  <si>
    <t>948-ARRENDAMIENTO DE EQUIPO PARA PROCESAMIENTO ELECTRONICO DE DATOS</t>
  </si>
  <si>
    <t>ARRENDAMIENTO DE INMUEBLES RESIDENCIALES</t>
  </si>
  <si>
    <t>883-ARRENDAMIENTO DE INMUEBLES RESIDENCIALES</t>
  </si>
  <si>
    <t>ARRENDAMIENTO DE MAQUINARIA</t>
  </si>
  <si>
    <t>947-ARRENDAMIENTO DE MAQUINARIA</t>
  </si>
  <si>
    <t>ASERRADERO</t>
  </si>
  <si>
    <t xml:space="preserve"> INDUSTRIA DE LA MADERA Y PRODUCTOS DE MADERA</t>
  </si>
  <si>
    <t xml:space="preserve"> ASERRADEROS INCLUSO TRIPLAY</t>
  </si>
  <si>
    <t>302-ASERRADERO</t>
  </si>
  <si>
    <t>ASOCIACIONES Y CONFEDERACIONES</t>
  </si>
  <si>
    <t xml:space="preserve"> AGRUPACIONES MERCANTILES, PROFESIONALES, CIVICAS, POLITICAS, LABORALES Y RELIGIOSAS</t>
  </si>
  <si>
    <t>985-ASOCIACIONES Y CONFEDERACIONES</t>
  </si>
  <si>
    <t>AUTOTRANSPORTE DE CARGA DE PRODUCTOS ESPECIFICOS</t>
  </si>
  <si>
    <t>818-AUTOTRANSPORTE DE CARGA DE PRODUCTOS ESPECIFICOS</t>
  </si>
  <si>
    <t>AUTOTRANSPORTE DE CARGA DE PRODUCTOS ESPECIFICOS (GOBIERNO)</t>
  </si>
  <si>
    <t>1023-AUTOTRANSPORTE DE CARGA DE PRODUCTOS ESPECIFICOS (GOBIERNO)</t>
  </si>
  <si>
    <t>AUTOTRANSPORTE DE MATERIALES DE CONSTRUCCION</t>
  </si>
  <si>
    <t>816-AUTOTRANSPORTE DE MATERIALES DE CONSTRUCCION</t>
  </si>
  <si>
    <t>AUTOTRANSPORTE DE MATERIALES DE CONSTRUCCION (GOBIERNO)</t>
  </si>
  <si>
    <t>1021-AUTOTRANSPORTE DE MATERIALES DE CONSTRUCCION (GOBIERNO)</t>
  </si>
  <si>
    <t>AUTOTRANSPORTE ESCOLAR TURISTICO EN AUTOBUS Y OTROS ESPECIALIZADOS  EXCEPTO AMBULANCIAS</t>
  </si>
  <si>
    <t>815-AUTOTRANSPORTE ESCOLAR TURISTICO EN AUTOBUS Y OTROS ESPECIALIZADOS  EXCEPTO AMBULANCIAS</t>
  </si>
  <si>
    <t>AUTOTRANSPORTE ESCOLAR TURISTICO EN AUTOBUS Y OTROS ESPECIALIZADOS  EXCEPTO AMBULANCIAS (GOBIERNO)</t>
  </si>
  <si>
    <t>1020-AUTOTRANSPORTE ESCOLAR TURISTICO EN AUTOBUS Y OTROS ESPECIALIZADOS  EXCEPTO AMBULANCIAS (GOBIERNO)</t>
  </si>
  <si>
    <t>BAÑOS</t>
  </si>
  <si>
    <t>970-BAÑOS</t>
  </si>
  <si>
    <t>BARBERIA Y PELUQUERIA</t>
  </si>
  <si>
    <t>971-BARBERIA Y PELUQUERIA</t>
  </si>
  <si>
    <t>BARES Y CANTINAS</t>
  </si>
  <si>
    <t>RESTAURANTES Y HOTELES</t>
  </si>
  <si>
    <t xml:space="preserve"> RESTAURANTES Y HOTELES</t>
  </si>
  <si>
    <t>808-BARES Y CANTINAS</t>
  </si>
  <si>
    <t>BENEFICIO DE ARROZ EXCEPTO MOLIENDA</t>
  </si>
  <si>
    <t xml:space="preserve"> PRODUCTOS ALIMENTICIOS, BEBIDAS Y TABACO</t>
  </si>
  <si>
    <t>OTROS PRODUCTOS ALIMENTICIOS</t>
  </si>
  <si>
    <t>169-BENEFICIO DE ARROZ EXCEPTO MOLIENDA</t>
  </si>
  <si>
    <t>BENEFICIO DE CAFE EXCEPTO MOLIENDA Y TOSTADO</t>
  </si>
  <si>
    <t>PROCESAMIENTO DE CAFE</t>
  </si>
  <si>
    <t>154-BENEFICIO DE CAFE EXCEPTO MOLIENDA Y TOSTADO</t>
  </si>
  <si>
    <t>BENEFICIO DE LANAS</t>
  </si>
  <si>
    <t>216-BENEFICIO DE LANAS</t>
  </si>
  <si>
    <t>BENEFICIO DE MADERAS (DESFLEMADO, ESTUFADO, CEPILLADO, ETC.)</t>
  </si>
  <si>
    <t>303-BENEFICIO DE MADERAS (DESFLEMADO, ESTUFADO, CEPILLADO, ETC.)</t>
  </si>
  <si>
    <t>BENEFICIO DE PELO Y CERDA PARA LA INDUSTRIA TEXTIL</t>
  </si>
  <si>
    <t xml:space="preserve"> OTRAS INDUSTRIAS TEXTILES</t>
  </si>
  <si>
    <t>247-BENEFICIO DE PELO Y CERDA PARA LA INDUSTRIA TEXTIL</t>
  </si>
  <si>
    <t>BOLSA DE VALORES</t>
  </si>
  <si>
    <t>852-BOLSA DE VALORES</t>
  </si>
  <si>
    <t>BOLSA DE VALORES (GOBIERNO)</t>
  </si>
  <si>
    <t>870-BOLSA DE VALORES (GOBIERNO)</t>
  </si>
  <si>
    <t>CAFETERIA</t>
  </si>
  <si>
    <t>802-CAFETERIA</t>
  </si>
  <si>
    <t>CAJA DE AHORROS</t>
  </si>
  <si>
    <t>860-CAJA DE AHORROS</t>
  </si>
  <si>
    <t>CAJA DE AHORROS (GOBIERNO)</t>
  </si>
  <si>
    <t>879-CAJA DE AHORROS (GOBIERNO)</t>
  </si>
  <si>
    <t>CAMARAS DE COMERCIO</t>
  </si>
  <si>
    <t>986-CAMARAS DE COMERCIO</t>
  </si>
  <si>
    <t>CAMARAS INDUSTRIALES</t>
  </si>
  <si>
    <t>987-CAMARAS INDUSTRIALES</t>
  </si>
  <si>
    <t>CAMPOS DE TURISMO</t>
  </si>
  <si>
    <t>800-CAMPOS DE TURISMO</t>
  </si>
  <si>
    <t>CAPTACION, TRATAMIENTO, CONDUCCION Y DISTRIBUCION DE AGUA POTABLE   EXCEPTO DE RIEGO (GOBIERNO)</t>
  </si>
  <si>
    <t>1014-CAPTACION, TRATAMIENTO, CONDUCCION Y DISTRIBUCION DE AGUA POTABLE   EXCEPTO DE RIEGO (GOBIERNO)</t>
  </si>
  <si>
    <t>CAPTACION, TRATAMIENTO, CONDUCCION Y DISTRIBUCION DE AGUA POTABLE  EXCEPTO DE RIEGO</t>
  </si>
  <si>
    <t>634-CAPTACION, TRATAMIENTO, CONDUCCION Y DISTRIBUCION DE AGUA POTABLE  EXCEPTO DE RIEGO</t>
  </si>
  <si>
    <t>CAPTURA DE ATUN BONITO BARRILETE Y SIMILARES</t>
  </si>
  <si>
    <t>SILVICULTURA, CAZA Y PESCA</t>
  </si>
  <si>
    <t xml:space="preserve"> CAZA Y PESCA</t>
  </si>
  <si>
    <t>94-CAPTURA DE ATUN BONITO BARRILETE Y SIMILARES</t>
  </si>
  <si>
    <t>CAPTURA DE CAMARON</t>
  </si>
  <si>
    <t>98-CAPTURA DE CAMARON</t>
  </si>
  <si>
    <t>CAPTURA DE CRUSTACEOS MOLUSCOS REPTILES ANFIBIOS Y OTRA FAUNA DE AGUA DULCE</t>
  </si>
  <si>
    <t>106-CAPTURA DE CRUSTACEOS MOLUSCOS REPTILES ANFIBIOS Y OTRA FAUNA DE AGUA DULCE</t>
  </si>
  <si>
    <t>CAPTURA DE MAMIFEROS ANFIBIOS Y DIVERSOS INVERTEBRADOS DE MAR</t>
  </si>
  <si>
    <t>102-CAPTURA DE MAMIFEROS ANFIBIOS Y DIVERSOS INVERTEBRADOS DE MAR</t>
  </si>
  <si>
    <t>CAPTURA DE OSTION</t>
  </si>
  <si>
    <t>99-CAPTURA DE OSTION</t>
  </si>
  <si>
    <t>CAPTURA DE OTROS CRUSTACEOS Y MOLUSCOS MARINOS</t>
  </si>
  <si>
    <t>100-CAPTURA DE OTROS CRUSTACEOS Y MOLUSCOS MARINOS</t>
  </si>
  <si>
    <t>CAPTURA DE OTROS PECES EN ESTUARIOS, COSTAS O ALTA MAR</t>
  </si>
  <si>
    <t>97-CAPTURA DE OTROS PECES EN ESTUARIOS, COSTAS O ALTA MAR</t>
  </si>
  <si>
    <t>CAPTURA DE PECES EN RIOS, LAGOS Y ESTUARIOS</t>
  </si>
  <si>
    <t>105-CAPTURA DE PECES EN RIOS, LAGOS Y ESTUARIOS</t>
  </si>
  <si>
    <t>CAPTURA DE SARDINA Y SIMILARES</t>
  </si>
  <si>
    <t>95-CAPTURA DE SARDINA Y SIMILARES</t>
  </si>
  <si>
    <t>CAPTURA DE TIBURON CAZON RAYA Y SIMILARES</t>
  </si>
  <si>
    <t>96-CAPTURA DE TIBURON CAZON RAYA Y SIMILARES</t>
  </si>
  <si>
    <t>CAPTURA DE TORTUGA Y OTROS REPTILES MARINOS</t>
  </si>
  <si>
    <t>101-CAPTURA DE TORTUGA Y OTROS REPTILES MARINOS</t>
  </si>
  <si>
    <t>CAPTURA Y PRESERVACION DE ESPECIES ANIMALES SALVAJES</t>
  </si>
  <si>
    <t>110-CAPTURA Y PRESERVACION DE ESPECIES ANIMALES SALVAJES</t>
  </si>
  <si>
    <t>CARGA Y ESTIBA PORTUARIA</t>
  </si>
  <si>
    <t>827-CARGA Y ESTIBA PORTUARIA</t>
  </si>
  <si>
    <t>CARGA Y ESTIBA PORTUARIA (GOBIERNO)</t>
  </si>
  <si>
    <t>1032-CARGA Y ESTIBA PORTUARIA (GOBIERNO)</t>
  </si>
  <si>
    <t>CASA DE CAMBIO</t>
  </si>
  <si>
    <t>859-CASA DE CAMBIO</t>
  </si>
  <si>
    <t>CASA DE CAMBIO (GOBIERNO)</t>
  </si>
  <si>
    <t>877-CASA DE CAMBIO (GOBIERNO)</t>
  </si>
  <si>
    <t>CASA DE HUESPEDES</t>
  </si>
  <si>
    <t>801-CASA DE HUESPEDES</t>
  </si>
  <si>
    <t>CASAS DE BOLSA NACIONALES</t>
  </si>
  <si>
    <t>875-CASAS DE BOLSA NACIONALES</t>
  </si>
  <si>
    <t>CASAS DE BOLSA PRIVADAS</t>
  </si>
  <si>
    <t>857-CASAS DE BOLSA PRIVADAS</t>
  </si>
  <si>
    <t>CENTRO DE BENEFICENCIA</t>
  </si>
  <si>
    <t xml:space="preserve"> SERVICIOS MEDICOS</t>
  </si>
  <si>
    <t>919-CENTRO DE BENEFICENCIA</t>
  </si>
  <si>
    <t>CENTRO DE BENEFICENCIA (GOBIERNO)</t>
  </si>
  <si>
    <t>1055-CENTRO DE BENEFICENCIA (GOBIERNO)</t>
  </si>
  <si>
    <t>CENTRO DEPORTIVO</t>
  </si>
  <si>
    <t>924-CENTRO DEPORTIVO</t>
  </si>
  <si>
    <t>CENTRO NOCTURNO</t>
  </si>
  <si>
    <t>942-CENTRO NOCTURNO</t>
  </si>
  <si>
    <t>CERVECERIA</t>
  </si>
  <si>
    <t>809-CERVECERIA</t>
  </si>
  <si>
    <t>CLUB SOCIAL</t>
  </si>
  <si>
    <t>923-CLUB SOCIAL</t>
  </si>
  <si>
    <t>COLOCACION DE DUELAS PARQUET LAMBRINES Y OTROS TRABAJOS DE CARPINTERIA</t>
  </si>
  <si>
    <t>CONSTRUCCIÓN</t>
  </si>
  <si>
    <t xml:space="preserve"> CONSTRUCCION E INSTALACIONES</t>
  </si>
  <si>
    <t>629-COLOCACION DE DUELAS PARQUET LAMBRINES Y OTROS TRABAJOS DE CARPINTERIA</t>
  </si>
  <si>
    <t>COMISIONISTA</t>
  </si>
  <si>
    <t>896-COMISIONISTA</t>
  </si>
  <si>
    <t>COMPAÑIAS DE FIANZAS NACIONALES</t>
  </si>
  <si>
    <t>869-COMPAÑIAS DE FIANZAS NACIONALES</t>
  </si>
  <si>
    <t>COMPAÑIAS DE FIANZAS PRIVADAS</t>
  </si>
  <si>
    <t>851-COMPAÑIAS DE FIANZAS PRIVADAS</t>
  </si>
  <si>
    <t>COMPAÑIAS DE SEGUROS NACIONALES</t>
  </si>
  <si>
    <t>872-COMPAÑIAS DE SEGUROS NACIONALES</t>
  </si>
  <si>
    <t>COMPAÑIAS DE SEGUROS PRIVADAS</t>
  </si>
  <si>
    <t>854-COMPAÑIAS DE SEGUROS PRIVADAS</t>
  </si>
  <si>
    <t>COMPRA DE ARTICULOS SANITARIOS</t>
  </si>
  <si>
    <t xml:space="preserve"> MATERIAS PRIMAS, MATERIALES Y AUXILIARES</t>
  </si>
  <si>
    <t>741-COMPRA DE ARTICULOS SANITARIOS</t>
  </si>
  <si>
    <t>COMPRA VENTA DE ACCESORIOS PARA MUEBLES</t>
  </si>
  <si>
    <t xml:space="preserve"> MAQUNARIA, EQUIPO Y HERRAMIENTA</t>
  </si>
  <si>
    <t>766-COMPRA VENTA DE ACCESORIOS PARA MUEBLES</t>
  </si>
  <si>
    <t>COMPRA VENTA DE ALGODON</t>
  </si>
  <si>
    <t>723-COMPRA VENTA DE ALGODON</t>
  </si>
  <si>
    <t>COMPRA VENTA DE ANILINAS</t>
  </si>
  <si>
    <t>738-COMPRA VENTA DE ANILINAS</t>
  </si>
  <si>
    <t>COMPRA VENTA DE ANTIGUEDADES</t>
  </si>
  <si>
    <t xml:space="preserve"> ARTICULOS PARA EL HOGAR</t>
  </si>
  <si>
    <t>708-COMPRA VENTA DE ANTIGUEDADES</t>
  </si>
  <si>
    <t>COMPRA VENTA DE APARATOS CIENTIFICOS Y DE PRECISION</t>
  </si>
  <si>
    <t>773-COMPRA VENTA DE APARATOS CIENTIFICOS Y DE PRECISION</t>
  </si>
  <si>
    <t>COMPRA VENTA DE ARMAS DE FUEGO</t>
  </si>
  <si>
    <t>786-COMPRA VENTA DE ARMAS DE FUEGO</t>
  </si>
  <si>
    <t>COMPRA VENTA DE ARTICULOS DE CRISTAL LOZA Y PORCELANA</t>
  </si>
  <si>
    <t>703-COMPRA VENTA DE ARTICULOS DE CRISTAL LOZA Y PORCELANA</t>
  </si>
  <si>
    <t>COMPRA VENTA DE ARTICULOS DE LENCERIA</t>
  </si>
  <si>
    <t xml:space="preserve"> PRENDAS DE VESTIR Y ARTICULOS DE USO PERSONAL</t>
  </si>
  <si>
    <t>669-COMPRA VENTA DE ARTICULOS DE LENCERIA</t>
  </si>
  <si>
    <t>COMPRA VENTA DE ARTICULOS DE MERCERIA Y SEDERIA</t>
  </si>
  <si>
    <t>674-COMPRA VENTA DE ARTICULOS DE MERCERIA Y SEDERIA</t>
  </si>
  <si>
    <t>COMPRA VENTA DE ARTICULOS DE OPTICA</t>
  </si>
  <si>
    <t>680-COMPRA VENTA DE ARTICULOS DE OPTICA</t>
  </si>
  <si>
    <t>COMPRA VENTA DE ARTICULOS DE PELETERIA</t>
  </si>
  <si>
    <t>746-COMPRA VENTA DE ARTICULOS DE PELETERIA</t>
  </si>
  <si>
    <t>COMPRA VENTA DE ARTICULOS DE PLATA</t>
  </si>
  <si>
    <t>683-COMPRA VENTA DE ARTICULOS DE PLATA</t>
  </si>
  <si>
    <t>COMPRA VENTA DE ARTICULOS DE TALABARTERIA</t>
  </si>
  <si>
    <t>686-COMPRA VENTA DE ARTICULOS DE TALABARTERIA</t>
  </si>
  <si>
    <t>COMPRA VENTA DE ARTICULOS DE TLAPALERIA</t>
  </si>
  <si>
    <t>739-COMPRA VENTA DE ARTICULOS DE TLAPALERIA</t>
  </si>
  <si>
    <t>COMPRA VENTA DE ARTICULOS DE YUTE Y HENEQUEN</t>
  </si>
  <si>
    <t>709-COMPRA VENTA DE ARTICULOS DE YUTE Y HENEQUEN</t>
  </si>
  <si>
    <t>COMPRA VENTA DE ARTICULOS FOTOGRAFICOS Y CINEMATOGRAFICOS</t>
  </si>
  <si>
    <t>691-COMPRA VENTA DE ARTICULOS FOTOGRAFICOS Y CINEMATOGRAFICOS</t>
  </si>
  <si>
    <t>COMPRA VENTA DE ARTICULOS MEDICOS</t>
  </si>
  <si>
    <t>769-COMPRA VENTA DE ARTICULOS MEDICOS</t>
  </si>
  <si>
    <t>COMPRA VENTA DE ARTICULOS NO CLASIFICADOS EN OTRA PARTE</t>
  </si>
  <si>
    <t>797-COMPRA VENTA DE ARTICULOS NO CLASIFICADOS EN OTRA PARTE</t>
  </si>
  <si>
    <t>COMPRA VENTA DE ARTICULOS PARA DECORACION</t>
  </si>
  <si>
    <t>704-COMPRA VENTA DE ARTICULOS PARA DECORACION</t>
  </si>
  <si>
    <t>COMPRA VENTA DE ARTICULOS PARA DEPORTE</t>
  </si>
  <si>
    <t>679-COMPRA VENTA DE ARTICULOS PARA DEPORTE</t>
  </si>
  <si>
    <t>COMPRA VENTA DE ARTICULOS PARA LA EXPLOTACION DE MINAS</t>
  </si>
  <si>
    <t>755-COMPRA VENTA DE ARTICULOS PARA LA EXPLOTACION DE MINAS</t>
  </si>
  <si>
    <t>COMPRA VENTA DE ARTICULOS PARA REGALO</t>
  </si>
  <si>
    <t>710-COMPRA VENTA DE ARTICULOS PARA REGALO</t>
  </si>
  <si>
    <t>COMPRA VENTA DE ARTICULOS REGIONALES CURIOSIDADES Y ARTESANIAS</t>
  </si>
  <si>
    <t>711-COMPRA VENTA DE ARTICULOS REGIONALES CURIOSIDADES Y ARTESANIAS</t>
  </si>
  <si>
    <t>COMPRA VENTA DE ARTICULOS RELIGIOSOS</t>
  </si>
  <si>
    <t>707-COMPRA VENTA DE ARTICULOS RELIGIOSOS</t>
  </si>
  <si>
    <t>COMPRA VENTA DE ARTICULOS Y APARATOS ORTOPEDICOS</t>
  </si>
  <si>
    <t>770-COMPRA VENTA DE ARTICULOS Y APARATOS ORTOPEDICOS</t>
  </si>
  <si>
    <t>COMPRA VENTA DE AUTOMOVILES Y CAMIONES NUEVOS</t>
  </si>
  <si>
    <t xml:space="preserve"> TRANSPORTE, REFACCIONES Y ACCESORIOS</t>
  </si>
  <si>
    <t>774-COMPRA VENTA DE AUTOMOVILES Y CAMIONES NUEVOS</t>
  </si>
  <si>
    <t>COMPRA VENTA DE AUTOMOVILES Y CAMIONES USADOS</t>
  </si>
  <si>
    <t>775-COMPRA VENTA DE AUTOMOVILES Y CAMIONES USADOS</t>
  </si>
  <si>
    <t>COMPRA VENTA DE AVES EN PIE</t>
  </si>
  <si>
    <t xml:space="preserve"> ALIMENTOS, BEBIDAS Y TABACO</t>
  </si>
  <si>
    <t>641-COMPRA VENTA DE AVES EN PIE</t>
  </si>
  <si>
    <t>COMPRA VENTA DE AZUCAR</t>
  </si>
  <si>
    <t>660-COMPRA VENTA DE AZUCAR</t>
  </si>
  <si>
    <t>COMPRA VENTA DE BASCULAS BALANZAS Y APARATOS SIMILARES PARA EQUIPO  PESADO</t>
  </si>
  <si>
    <t>768-COMPRA VENTA DE BASCULAS BALANZAS Y APARATOS SIMILARES PARA EQUIPO  PESADO</t>
  </si>
  <si>
    <t>COMPRA VENTA DE BICICLETAS Y SUS ACCESORIOS</t>
  </si>
  <si>
    <t>776-COMPRA VENTA DE BICICLETAS Y SUS ACCESORIOS</t>
  </si>
  <si>
    <t>COMPRA VENTA DE CALZADO</t>
  </si>
  <si>
    <t>671-COMPRA VENTA DE CALZADO</t>
  </si>
  <si>
    <t>COMPRA VENTA DE CARBON Y OTROS COMBUSTIBLES</t>
  </si>
  <si>
    <t xml:space="preserve"> GAS, COMBUSTIBLES Y LUBRICANTES</t>
  </si>
  <si>
    <t>722-COMPRA VENTA DE CARBON Y OTROS COMBUSTIBLES</t>
  </si>
  <si>
    <t>COMPRA VENTA DE CARNE DE AVES</t>
  </si>
  <si>
    <t>646-COMPRA VENTA DE CARNE DE AVES</t>
  </si>
  <si>
    <t>COMPRA VENTA DE CARNE DE RES Y OTRAS ESPECIES DE GANADO</t>
  </si>
  <si>
    <t>644-COMPRA VENTA DE CARNE DE RES Y OTRAS ESPECIES DE GANADO</t>
  </si>
  <si>
    <t>COMPRA VENTA DE CASAS Y OTROS INMUEBLES</t>
  </si>
  <si>
    <t xml:space="preserve"> BIENES INMUEBLES</t>
  </si>
  <si>
    <t>784-COMPRA VENTA DE CASAS Y OTROS INMUEBLES</t>
  </si>
  <si>
    <t>COMPRA VENTA DE CASIMIRES</t>
  </si>
  <si>
    <t>676-COMPRA VENTA DE CASIMIRES</t>
  </si>
  <si>
    <t>COMPRA VENTA DE CEMENTO CAL YESO Y OTROS PRODUCTOS A BASE DE MINERALES NO METALICOS</t>
  </si>
  <si>
    <t>731-COMPRA VENTA DE CEMENTO CAL YESO Y OTROS PRODUCTOS A BASE DE MINERALES NO METALICOS</t>
  </si>
  <si>
    <t>COMPRA VENTA DE CERAS Y PARAFINAS</t>
  </si>
  <si>
    <t>750-COMPRA VENTA DE CERAS Y PARAFINAS</t>
  </si>
  <si>
    <t>COMPRA VENTA DE CERVEZA</t>
  </si>
  <si>
    <t>664-COMPRA VENTA DE CERVEZA</t>
  </si>
  <si>
    <t>COMPRA VENTA DE CHILE SECO Y ESPECIAS</t>
  </si>
  <si>
    <t>638-COMPRA VENTA DE CHILE SECO Y ESPECIAS</t>
  </si>
  <si>
    <t>COMPRA VENTA DE COLORANTES PARA LA INDUSTRIA</t>
  </si>
  <si>
    <t>734-COMPRA VENTA DE COLORANTES PARA LA INDUSTRIA</t>
  </si>
  <si>
    <t>COMPRA VENTA DE COSTALES Y BOLSAS</t>
  </si>
  <si>
    <t>740-COMPRA VENTA DE COSTALES Y BOLSAS</t>
  </si>
  <si>
    <t>COMPRA VENTA DE CUEROS Y PIELES SIN CURTIR</t>
  </si>
  <si>
    <t>725-COMPRA VENTA DE CUEROS Y PIELES SIN CURTIR</t>
  </si>
  <si>
    <t>COMPRA VENTA DE DESPERDICIOS DE PAPEL</t>
  </si>
  <si>
    <t>747-COMPRA VENTA DE DESPERDICIOS DE PAPEL</t>
  </si>
  <si>
    <t>COMPRA VENTA DE DESPERDICIOS INDUSTRIALES</t>
  </si>
  <si>
    <t>751-COMPRA VENTA DE DESPERDICIOS INDUSTRIALES</t>
  </si>
  <si>
    <t>COMPRA VENTA DE DIAMANTES</t>
  </si>
  <si>
    <t>791-COMPRA VENTA DE DIAMANTES</t>
  </si>
  <si>
    <t>COMPRA VENTA DE DISCOS Y CASSETTES</t>
  </si>
  <si>
    <t>706-COMPRA VENTA DE DISCOS Y CASSETTES</t>
  </si>
  <si>
    <t>COMPRA VENTA DE DULCES</t>
  </si>
  <si>
    <t>653-COMPRA VENTA DE DULCES</t>
  </si>
  <si>
    <t>COMPRA VENTA DE EQUIPO CONTRA INCENDIO</t>
  </si>
  <si>
    <t>767-COMPRA VENTA DE EQUIPO CONTRA INCENDIO</t>
  </si>
  <si>
    <t>COMPRA VENTA DE EQUIPO Y MOBILIARIO PARA HOTELES RESTAURANTES BILLARES BOLICHES PELUQUERIAS Y SALONES DE BELLEZA</t>
  </si>
  <si>
    <t>764-COMPRA VENTA DE EQUIPO Y MOBILIARIO PARA HOTELES RESTAURANTES BILLARES BOLICHES PELUQUERIAS Y SALONES DE BELLEZA</t>
  </si>
  <si>
    <t>COMPRA VENTA DE EQUIPOS DE REFRIGERACION COMERCIAL</t>
  </si>
  <si>
    <t>765-COMPRA VENTA DE EQUIPOS DE REFRIGERACION COMERCIAL</t>
  </si>
  <si>
    <t>COMPRA VENTA DE EQUIPOS Y APARATOS DE AIRE ACONDICIONADO</t>
  </si>
  <si>
    <t>792-COMPRA VENTA DE EQUIPOS Y APARATOS DE AIRE ACONDICIONADO</t>
  </si>
  <si>
    <t>COMPRA VENTA DE ESPECIAS Y ARTICULOS ALIMENTICOS DESHIDRATADOS</t>
  </si>
  <si>
    <t>654-COMPRA VENTA DE ESPECIAS Y ARTICULOS ALIMENTICOS DESHIDRATADOS</t>
  </si>
  <si>
    <t>COMPRA VENTA DE FERTILIZANTES Y PLAGUICIDAS</t>
  </si>
  <si>
    <t>745-COMPRA VENTA DE FERTILIZANTES Y PLAGUICIDAS</t>
  </si>
  <si>
    <t>COMPRA VENTA DE FIERRO LAMINADO Y EN LINGOTES</t>
  </si>
  <si>
    <t>732-COMPRA VENTA DE FIERRO LAMINADO Y EN LINGOTES</t>
  </si>
  <si>
    <t>COMPRA VENTA DE FIERRO USADO</t>
  </si>
  <si>
    <t>748-COMPRA VENTA DE FIERRO USADO</t>
  </si>
  <si>
    <t>COMPRA VENTA DE FLORES Y ADORNOS FLORALES ARTIFICIALES</t>
  </si>
  <si>
    <t>712-COMPRA VENTA DE FLORES Y ADORNOS FLORALES ARTIFICIALES</t>
  </si>
  <si>
    <t>COMPRA VENTA DE FLORES Y ADORNOS FLORALES NATURALES</t>
  </si>
  <si>
    <t>713-COMPRA VENTA DE FLORES Y ADORNOS FLORALES NATURALES</t>
  </si>
  <si>
    <t>COMPRA VENTA DE FLUIDOS Y GASES</t>
  </si>
  <si>
    <t>717-COMPRA VENTA DE FLUIDOS Y GASES</t>
  </si>
  <si>
    <t>COMPRA VENTA DE FORRAJES EN ESTADO NATURAL</t>
  </si>
  <si>
    <t>639-COMPRA VENTA DE FORRAJES EN ESTADO NATURAL</t>
  </si>
  <si>
    <t>COMPRA VENTA DE FRUTAS</t>
  </si>
  <si>
    <t>636-COMPRA VENTA DE FRUTAS</t>
  </si>
  <si>
    <t>COMPRA VENTA DE GANADO MAYOR EN PIE</t>
  </si>
  <si>
    <t>642-COMPRA VENTA DE GANADO MAYOR EN PIE</t>
  </si>
  <si>
    <t>COMPRA VENTA DE GANADO MENOR EN PIE</t>
  </si>
  <si>
    <t>643-COMPRA VENTA DE GANADO MENOR EN PIE</t>
  </si>
  <si>
    <t>COMPRA VENTA DE GAS PARA USO DOMESTICO O COMERCIAL</t>
  </si>
  <si>
    <t>718-COMPRA VENTA DE GAS PARA USO DOMESTICO O COMERCIAL</t>
  </si>
  <si>
    <t>COMPRA VENTA DE GASOLINA Y DIESEL</t>
  </si>
  <si>
    <t>719-COMPRA VENTA DE GASOLINA Y DIESEL</t>
  </si>
  <si>
    <t>COMPRA VENTA DE HARDWARE, SOFTWARE Y ARTÍCULOS COMPUTACIONALES</t>
  </si>
  <si>
    <t>763-COMPRA VENTA DE HARDWARE, SOFTWARE Y ARTÍCULOS COMPUTACIONALES</t>
  </si>
  <si>
    <t>COMPRA VENTA DE HENEQUEN E IXTLE</t>
  </si>
  <si>
    <t>726-COMPRA VENTA DE HENEQUEN E IXTLE</t>
  </si>
  <si>
    <t>COMPRA VENTA DE HUEVO</t>
  </si>
  <si>
    <t>647-COMPRA VENTA DE HUEVO</t>
  </si>
  <si>
    <t>COMPRA VENTA DE INSTRUMENTOS Y ARTICULOS MUSICALES</t>
  </si>
  <si>
    <t>682-COMPRA VENTA DE INSTRUMENTOS Y ARTICULOS MUSICALES</t>
  </si>
  <si>
    <t>COMPRA VENTA DE JUGUETES</t>
  </si>
  <si>
    <t>681-COMPRA VENTA DE JUGUETES</t>
  </si>
  <si>
    <t>COMPRA VENTA DE LANA</t>
  </si>
  <si>
    <t>727-COMPRA VENTA DE LANA</t>
  </si>
  <si>
    <t>COMPRA VENTA DE LECHE</t>
  </si>
  <si>
    <t>655-COMPRA VENTA DE LECHE</t>
  </si>
  <si>
    <t>COMPRA VENTA DE LEGUMBRES Y HORTALIZAS</t>
  </si>
  <si>
    <t>637-COMPRA VENTA DE LEGUMBRES Y HORTALIZAS</t>
  </si>
  <si>
    <t>COMPRA VENTA DE LIBROS</t>
  </si>
  <si>
    <t>689-COMPRA VENTA DE LIBROS</t>
  </si>
  <si>
    <t>COMPRA VENTA DE LLANTAS</t>
  </si>
  <si>
    <t>778-COMPRA VENTA DE LLANTAS</t>
  </si>
  <si>
    <t>COMPRA VENTA DE MADERA</t>
  </si>
  <si>
    <t>736-COMPRA VENTA DE MADERA</t>
  </si>
  <si>
    <t>COMPRA VENTA DE MANTECA</t>
  </si>
  <si>
    <t>648-COMPRA VENTA DE MANTECA</t>
  </si>
  <si>
    <t>COMPRA VENTA DE MAQUINARIA EQUIPO E IMPLEMENTOS PARA LA AGRICULTURA Y LA GANADERIA</t>
  </si>
  <si>
    <t>754-COMPRA VENTA DE MAQUINARIA EQUIPO E IMPLEMENTOS PARA LA AGRICULTURA Y LA GANADERIA</t>
  </si>
  <si>
    <t>COMPRA VENTA DE MAQUINARIA EQUIPO IMPLEMENTOS Y HERRAMIENTAS PARA TRABAJAR MADERA Y METALES</t>
  </si>
  <si>
    <t>756-COMPRA VENTA DE MAQUINARIA EQUIPO IMPLEMENTOS Y HERRAMIENTAS PARA TRABAJAR MADERA Y METALES</t>
  </si>
  <si>
    <t>COMPRA VENTA DE MAQUINARIA NUEVA</t>
  </si>
  <si>
    <t>757-COMPRA VENTA DE MAQUINARIA NUEVA</t>
  </si>
  <si>
    <t>COMPRA VENTA DE MAQUINARIA USADA</t>
  </si>
  <si>
    <t>758-COMPRA VENTA DE MAQUINARIA USADA</t>
  </si>
  <si>
    <t>COMPRA VENTA DE MAQUINAS DE COSER Y TEJEDORAS</t>
  </si>
  <si>
    <t>701-COMPRA VENTA DE MAQUINAS DE COSER Y TEJEDORAS</t>
  </si>
  <si>
    <t>COMPRA VENTA DE MAQUINAS DE ESCRIBIR</t>
  </si>
  <si>
    <t>761-COMPRA VENTA DE MAQUINAS DE ESCRIBIR</t>
  </si>
  <si>
    <t>COMPRA VENTA DE MATERIAL PARA INSTALACIONES ELECTRICAS Y DE SONIDO</t>
  </si>
  <si>
    <t>742-COMPRA VENTA DE MATERIAL PARA INSTALACIONES ELECTRICAS Y DE SONIDO</t>
  </si>
  <si>
    <t>COMPRA VENTA DE MATERIALES PARA CONSTRUCCION</t>
  </si>
  <si>
    <t>743-COMPRA VENTA DE MATERIALES PARA CONSTRUCCION</t>
  </si>
  <si>
    <t>COMPRA VENTA DE MATERIAS PRIMAS ANIMALES</t>
  </si>
  <si>
    <t>649-COMPRA VENTA DE MATERIAS PRIMAS ANIMALES</t>
  </si>
  <si>
    <t>COMPRA VENTA DE MATERIAS PRIMAS DE ORIGEN MINERAL</t>
  </si>
  <si>
    <t>752-COMPRA VENTA DE MATERIAS PRIMAS DE ORIGEN MINERAL</t>
  </si>
  <si>
    <t>COMPRA VENTA DE MEDICINAS</t>
  </si>
  <si>
    <t>692-COMPRA VENTA DE MEDICINAS</t>
  </si>
  <si>
    <t>COMPRA VENTA DE MOTOCICLETAS Y SUS ACCESORIOS</t>
  </si>
  <si>
    <t>777-COMPRA VENTA DE MOTOCICLETAS Y SUS ACCESORIOS</t>
  </si>
  <si>
    <t>COMPRA VENTA DE MUEBLES</t>
  </si>
  <si>
    <t>700-COMPRA VENTA DE MUEBLES</t>
  </si>
  <si>
    <t>COMPRA VENTA DE MUEBLES PARA CONSULTORIOS Y SANATORIOS</t>
  </si>
  <si>
    <t>771-COMPRA VENTA DE MUEBLES PARA CONSULTORIOS Y SANATORIOS</t>
  </si>
  <si>
    <t>COMPRA VENTA DE MUEBLES Y ARTICULOS PARA OFICINA</t>
  </si>
  <si>
    <t>762-COMPRA VENTA DE MUEBLES Y ARTICULOS PARA OFICINA</t>
  </si>
  <si>
    <t>COMPRA VENTA DE OTRAS FIBRAS COMERCIALES</t>
  </si>
  <si>
    <t>729-COMPRA VENTA DE OTRAS FIBRAS COMERCIALES</t>
  </si>
  <si>
    <t>COMPRA VENTA DE OTRAS JOYAS</t>
  </si>
  <si>
    <t>684-COMPRA VENTA DE OTRAS JOYAS</t>
  </si>
  <si>
    <t>COMPRA VENTA DE OTRAS MATERIAS PRIMAS DE ORIGEN ANIMAL</t>
  </si>
  <si>
    <t>730-COMPRA VENTA DE OTRAS MATERIAS PRIMAS DE ORIGEN ANIMAL</t>
  </si>
  <si>
    <t>COMPRA VENTA DE OTRAS MATERIAS PRIMAS VEGETALES</t>
  </si>
  <si>
    <t>728-COMPRA VENTA DE OTRAS MATERIAS PRIMAS VEGETALES</t>
  </si>
  <si>
    <t>COMPRA VENTA DE OTROS APARATOS ELECTRICOS DE USO NO DOMÉSTICO</t>
  </si>
  <si>
    <t>787-COMPRA VENTA DE OTROS APARATOS ELECTRICOS DE USO NO DOMÉSTICO</t>
  </si>
  <si>
    <t>COMPRA VENTA DE OTROS ARTICULOS DE PIEL</t>
  </si>
  <si>
    <t>687-COMPRA VENTA DE OTROS ARTICULOS DE PIEL</t>
  </si>
  <si>
    <t>COMPRA VENTA DE OTROS ARTICULOS DE PLASTICO</t>
  </si>
  <si>
    <t>794-COMPRA VENTA DE OTROS ARTICULOS DE PLASTICO</t>
  </si>
  <si>
    <t>COMPRA VENTA DE OTROS ARTICULOS PARA EL HOGAR</t>
  </si>
  <si>
    <t>714-COMPRA VENTA DE OTROS ARTICULOS PARA EL HOGAR</t>
  </si>
  <si>
    <t>COMPRA VENTA DE OTROS PRODUCTOS ALIMENTICIOS AGRICOLAS EN ESTADO NATURAL</t>
  </si>
  <si>
    <t>640-COMPRA VENTA DE OTROS PRODUCTOS ALIMENTICIOS AGRICOLAS EN ESTADO NATURAL</t>
  </si>
  <si>
    <t>COMPRA VENTA DE OTROS PRODUCTOS LACTEOS</t>
  </si>
  <si>
    <t>656-COMPRA VENTA DE OTROS PRODUCTOS LACTEOS</t>
  </si>
  <si>
    <t>COMPRA VENTA DE OTROS PRODUCTOS TEXTILES</t>
  </si>
  <si>
    <t>677-COMPRA VENTA DE OTROS PRODUCTOS TEXTILES</t>
  </si>
  <si>
    <t>COMPRA VENTA DE PAN Y PASTELES</t>
  </si>
  <si>
    <t>657-COMPRA VENTA DE PAN Y PASTELES</t>
  </si>
  <si>
    <t>COMPRA VENTA DE PAPELERIA Y ARTICULOS DE ESCRITORIO</t>
  </si>
  <si>
    <t>695-COMPRA VENTA DE PAPELERIA Y ARTICULOS DE ESCRITORIO</t>
  </si>
  <si>
    <t>COMPRA VENTA DE PARAGUAS SOMBRILLAS ROPA USADA Y OTROS ARTICULOS DE USO PERSONAL</t>
  </si>
  <si>
    <t>696-COMPRA VENTA DE PARAGUAS SOMBRILLAS ROPA USADA Y OTROS ARTICULOS DE USO PERSONAL</t>
  </si>
  <si>
    <t>COMPRA VENTA DE PARTES Y REFACCIONES PARA VEHICULOS AEREOS</t>
  </si>
  <si>
    <t>781-COMPRA VENTA DE PARTES Y REFACCIONES PARA VEHICULOS AEREOS</t>
  </si>
  <si>
    <t>COMPRA VENTA DE PERFUMES</t>
  </si>
  <si>
    <t>693-COMPRA VENTA DE PERFUMES</t>
  </si>
  <si>
    <t>COMPRA VENTA DE PESCADOS Y MARISCOS</t>
  </si>
  <si>
    <t>650-COMPRA VENTA DE PESCADOS Y MARISCOS</t>
  </si>
  <si>
    <t>COMPRA VENTA DE PETROLEO COMBUSTIBLE</t>
  </si>
  <si>
    <t>720-COMPRA VENTA DE PETROLEO COMBUSTIBLE</t>
  </si>
  <si>
    <t>COMPRA VENTA DE PIELES FINAS CON PELO</t>
  </si>
  <si>
    <t>673-COMPRA VENTA DE PIELES FINAS CON PELO</t>
  </si>
  <si>
    <t>COMPRA VENTA DE PINTURAS BARNICES Y BROCHAS</t>
  </si>
  <si>
    <t>735-COMPRA VENTA DE PINTURAS BARNICES Y BROCHAS</t>
  </si>
  <si>
    <t>COMPRA VENTA DE PULQUE</t>
  </si>
  <si>
    <t>665-COMPRA VENTA DE PULQUE</t>
  </si>
  <si>
    <t>COMPRA VENTA DE REFACCIONES PARA APARATOS ELECTRICOS</t>
  </si>
  <si>
    <t>788-COMPRA VENTA DE REFACCIONES PARA APARATOS ELECTRICOS</t>
  </si>
  <si>
    <t>COMPRA VENTA DE REFACCIONES PARA MAQUINARIA</t>
  </si>
  <si>
    <t>760-COMPRA VENTA DE REFACCIONES PARA MAQUINARIA</t>
  </si>
  <si>
    <t>COMPRA VENTA DE REFACCIONES Y ACCESORIOS DE MAQUINAS APARATOS E INSTRUMENTOS PARA EL HOGAR</t>
  </si>
  <si>
    <t>702-COMPRA VENTA DE REFACCIONES Y ACCESORIOS DE MAQUINAS APARATOS E INSTRUMENTOS PARA EL HOGAR</t>
  </si>
  <si>
    <t>COMPRA VENTA DE REFACCIONES Y ACCESORIOS USADOS PARA AUTOMOVILES Y  CAMIONES</t>
  </si>
  <si>
    <t>780-COMPRA VENTA DE REFACCIONES Y ACCESORIOS USADOS PARA AUTOMOVILES Y  CAMIONES</t>
  </si>
  <si>
    <t>COMPRA VENTA DE REFRESCOS AGUAS GASEOSAS Y AGUAS PURIFICADAS</t>
  </si>
  <si>
    <t>663-COMPRA VENTA DE REFRESCOS AGUAS GASEOSAS Y AGUAS PURIFICADAS</t>
  </si>
  <si>
    <t>COMPRA VENTA DE REFRIGERADORES LAVADORAS Y ESTUFAS</t>
  </si>
  <si>
    <t>697-COMPRA VENTA DE REFRIGERADORES LAVADORAS Y ESTUFAS</t>
  </si>
  <si>
    <t>COMPRA VENTA DE RELOJES</t>
  </si>
  <si>
    <t>685-COMPRA VENTA DE RELOJES</t>
  </si>
  <si>
    <t>COMPRA VENTA DE ROPA</t>
  </si>
  <si>
    <t>670-COMPRA VENTA DE ROPA</t>
  </si>
  <si>
    <t>COMPRA VENTA DE SAL</t>
  </si>
  <si>
    <t>658-COMPRA VENTA DE SAL</t>
  </si>
  <si>
    <t>COMPRA VENTA DE SEMILLAS PARA SIEMBRA</t>
  </si>
  <si>
    <t>724-COMPRA VENTA DE SEMILLAS PARA SIEMBRA</t>
  </si>
  <si>
    <t>COMPRA VENTA DE SEMILLAS Y GRANOS</t>
  </si>
  <si>
    <t>635-COMPRA VENTA DE SEMILLAS Y GRANOS</t>
  </si>
  <si>
    <t>COMPRA VENTA DE SILLAS DE MONTAR</t>
  </si>
  <si>
    <t>688-COMPRA VENTA DE SILLAS DE MONTAR</t>
  </si>
  <si>
    <t>COMPRA VENTA DE SOMBREROS</t>
  </si>
  <si>
    <t>672-COMPRA VENTA DE SOMBREROS</t>
  </si>
  <si>
    <t>COMPRA VENTA DE TABACO</t>
  </si>
  <si>
    <t>667-COMPRA VENTA DE TABACO</t>
  </si>
  <si>
    <t>COMPRA VENTA DE TABACOS PUROS Y CIGARROS</t>
  </si>
  <si>
    <t>668-COMPRA VENTA DE TABACOS PUROS Y CIGARROS</t>
  </si>
  <si>
    <t>COMPRA VENTA DE TAPETES Y ALFOMBRAS</t>
  </si>
  <si>
    <t>705-COMPRA VENTA DE TAPETES Y ALFOMBRAS</t>
  </si>
  <si>
    <t>COMPRA VENTA DE TAPICES</t>
  </si>
  <si>
    <t>744-COMPRA VENTA DE TAPICES</t>
  </si>
  <si>
    <t>COMPRA VENTA DE TELAS</t>
  </si>
  <si>
    <t>678-COMPRA VENTA DE TELAS</t>
  </si>
  <si>
    <t>COMPRA VENTA DE TELEVISORES CONSOLAS RADIOS MODULARES Y TOCACINTAS</t>
  </si>
  <si>
    <t>698-COMPRA VENTA DE TELEVISORES CONSOLAS RADIOS MODULARES Y TOCACINTAS</t>
  </si>
  <si>
    <t>COMPRA VENTA DE TERRENOS</t>
  </si>
  <si>
    <t>785-COMPRA VENTA DE TERRENOS</t>
  </si>
  <si>
    <t>COMPRA VENTA DE VEHICULOS ACUATICOS Y SUS REFACCIONES</t>
  </si>
  <si>
    <t>782-COMPRA VENTA DE VEHICULOS ACUATICOS Y SUS REFACCIONES</t>
  </si>
  <si>
    <t>COMPRA VENTA DE VELAS Y VELADORAS</t>
  </si>
  <si>
    <t>796-COMPRA VENTA DE VELAS Y VELADORAS</t>
  </si>
  <si>
    <t>COMPRA VENTA DE VIDRIOS CRISTALES Y EMPLOMADOS</t>
  </si>
  <si>
    <t>737-COMPRA VENTA DE VIDRIOS CRISTALES Y EMPLOMADOS</t>
  </si>
  <si>
    <t>COMPRA VENTA DE VINOS Y LICORES</t>
  </si>
  <si>
    <t>666-COMPRA VENTA DE VINOS Y LICORES</t>
  </si>
  <si>
    <t>COMPRA VENTA DE VISCERAS DE GANADO CRUDAS Y SEMICRUDAS</t>
  </si>
  <si>
    <t>645-COMPRA VENTA DE VISCERAS DE GANADO CRUDAS Y SEMICRUDAS</t>
  </si>
  <si>
    <t>COMPRAVENTA DE ALIMENTO PARA GANADO</t>
  </si>
  <si>
    <t>661-COMPRAVENTA DE ALIMENTO PARA GANADO</t>
  </si>
  <si>
    <t>COMPRAVENTA DE ALIMENTOS PARA AVES Y OTROS ANIMALES</t>
  </si>
  <si>
    <t>662-COMPRAVENTA DE ALIMENTOS PARA AVES Y OTROS ANIMALES</t>
  </si>
  <si>
    <t>COMPRAVENTA DE ARTICULOS DE BONETERIA</t>
  </si>
  <si>
    <t>675-COMPRAVENTA DE ARTICULOS DE BONETERIA</t>
  </si>
  <si>
    <t>COMPRAVENTA DE ARTICULOS DE FERRETERIA</t>
  </si>
  <si>
    <t>733-COMPRAVENTA DE ARTICULOS DE FERRETERIA</t>
  </si>
  <si>
    <t>COMPRAVENTA DE EQUIPO DE TRABAJO Y PROTECCION INDUSTRIAL</t>
  </si>
  <si>
    <t>759-COMPRAVENTA DE EQUIPO DE TRABAJO Y PROTECCION INDUSTRIAL</t>
  </si>
  <si>
    <t>COMPRAVENTA DE EQUIPOS QUIMICOS Y PARA LABORATORIO</t>
  </si>
  <si>
    <t>772-COMPRAVENTA DE EQUIPOS QUIMICOS Y PARA LABORATORIO</t>
  </si>
  <si>
    <t>COMPRAVENTA DE JARCIERIA REATAS CANASTAS Y ARTICULOS TEJIDOS DE FIBRA</t>
  </si>
  <si>
    <t>793-COMPRAVENTA DE JARCIERIA REATAS CANASTAS Y ARTICULOS TEJIDOS DE FIBRA</t>
  </si>
  <si>
    <t>COMPRAVENTA DE LUBRICANTES</t>
  </si>
  <si>
    <t>721-COMPRAVENTA DE LUBRICANTES</t>
  </si>
  <si>
    <t>COMPRAVENTA DE OTROS APARATOS ELECTRICOS Y ELECTRONICOS DE USO DOMESTICO</t>
  </si>
  <si>
    <t>699-COMPRAVENTA DE OTROS APARATOS ELECTRICOS Y ELECTRONICOS DE USO DOMESTICO</t>
  </si>
  <si>
    <t>COMPRAVENTA DE OTROS METALES Y MINERALES LAMINADOS Y EN LINGOTES</t>
  </si>
  <si>
    <t>753-COMPRAVENTA DE OTROS METALES Y MINERALES LAMINADOS Y EN LINGOTES</t>
  </si>
  <si>
    <t>COMPRAVENTA DE OTROS PRODUCTOS DE HULE</t>
  </si>
  <si>
    <t>795-COMPRAVENTA DE OTROS PRODUCTOS DE HULE</t>
  </si>
  <si>
    <t>COMPRAVENTA DE PRODUCTOS VETERINARIOS Y OTROS ARTICULOS PARA EL CUIDADO DE LOS ANIMALES</t>
  </si>
  <si>
    <t>790-COMPRAVENTA DE PRODUCTOS VETERINARIOS Y OTROS ARTICULOS PARA EL CUIDADO DE LOS ANIMALES</t>
  </si>
  <si>
    <t>COMPRAVENTA DE REFACCIONES Y ACCESORIOS NUEVOS PARA AUTOS Y CAMIONES</t>
  </si>
  <si>
    <t>779-COMPRAVENTA DE REFACCIONES Y ACCESORIOS NUEVOS PARA AUTOS Y CAMIONES</t>
  </si>
  <si>
    <t>COMPRAVENTA DE SUBSTANCIAS QUIMICAS PARA LA INDUSTRIA</t>
  </si>
  <si>
    <t>749-COMPRAVENTA DE SUBSTANCIAS QUIMICAS PARA LA INDUSTRIA</t>
  </si>
  <si>
    <t>COMPRAVENTA DE VEHICULOS AEREOS</t>
  </si>
  <si>
    <t>783-COMPRAVENTA DE VEHICULOS AEREOS</t>
  </si>
  <si>
    <t>COMPRESORA DE ALGODON</t>
  </si>
  <si>
    <t>215-COMPRESORA DE ALGODON</t>
  </si>
  <si>
    <t>CONGELADORA DE PRODUCTOS MARINOS</t>
  </si>
  <si>
    <t>176-CONGELADORA DE PRODUCTOS MARINOS</t>
  </si>
  <si>
    <t>CONSTRUCCION DE CASAS Y TECHOS DESARMABLES</t>
  </si>
  <si>
    <t>603-CONSTRUCCION DE CASAS Y TECHOS DESARMABLES</t>
  </si>
  <si>
    <t>CONSTRUCCION DE EDIFICIOS INDUSTRIALES Y PARA FINES ANALOGOS</t>
  </si>
  <si>
    <t>609-CONSTRUCCION DE EDIFICIOS INDUSTRIALES Y PARA FINES ANALOGOS</t>
  </si>
  <si>
    <t>CONSTRUCCION DE EDIFICIOS PARA OFICINAS ESCUELAS HOSPITALES HOTELES Y OTROS NO RESIDENCIALES</t>
  </si>
  <si>
    <t>608-CONSTRUCCION DE EDIFICIOS PARA OFICINAS ESCUELAS HOSPITALES HOTELES Y OTROS NO RESIDENCIALES</t>
  </si>
  <si>
    <t>CONSTRUCCION DE ESTADIOS MONUMENTOS Y OTRAS OBRAS DE INGENIERIA</t>
  </si>
  <si>
    <t>620-CONSTRUCCION DE ESTADIOS MONUMENTOS Y OTRAS OBRAS DE INGENIERIA</t>
  </si>
  <si>
    <t>CONSTRUCCION DE INMUEBLES</t>
  </si>
  <si>
    <t>604-CONSTRUCCION DE INMUEBLES</t>
  </si>
  <si>
    <t>CONSTRUCCION DE PISTAS DE ATERRIZAJE DUCTOS Y OTRAS OBRAS VINCULADASA LAS VIAS DE COMUNICACION</t>
  </si>
  <si>
    <t>615-CONSTRUCCION DE PISTAS DE ATERRIZAJE DUCTOS Y OTRAS OBRAS VINCULADASA LAS VIAS DE COMUNICACION</t>
  </si>
  <si>
    <t>CONSTRUCCION DE PRESAS</t>
  </si>
  <si>
    <t>616-CONSTRUCCION DE PRESAS</t>
  </si>
  <si>
    <t>CONSTRUCCION DE PUERTOS</t>
  </si>
  <si>
    <t>613-CONSTRUCCION DE PUERTOS</t>
  </si>
  <si>
    <t>CONSTRUCCION DE VIAS DE COMUNICACION</t>
  </si>
  <si>
    <t>610-CONSTRUCCION DE VIAS DE COMUNICACION</t>
  </si>
  <si>
    <t>CONSTRUCCION DE VIVIENDA DE INTERES SOCIAL</t>
  </si>
  <si>
    <t>605-CONSTRUCCION DE VIVIENDA DE INTERES SOCIAL</t>
  </si>
  <si>
    <t>CONSTRUCCION DE VIVIENDA RESIDENCIAL</t>
  </si>
  <si>
    <t>607-CONSTRUCCION DE VIVIENDA RESIDENCIAL</t>
  </si>
  <si>
    <t>CONSTRUCCION DE VIVIENDA TIPO MEDIO</t>
  </si>
  <si>
    <t>606-CONSTRUCCION DE VIVIENDA TIPO MEDIO</t>
  </si>
  <si>
    <t>CONSTRUCCION E INSTALACION DE LINEAS TELEFONICAS TORRES EMISORAS DE RADIO Y TELEVISION Y OTRAS OBRAS SIMILARES</t>
  </si>
  <si>
    <t>614-CONSTRUCCION E INSTALACION DE LINEAS TELEFONICAS TORRES EMISORAS DE RADIO Y TELEVISION Y OTRAS OBRAS SIMILARES</t>
  </si>
  <si>
    <t>CONSTRUCCION E INSTALACION DE PLANTAS GENERADORAS Y LINEAS DE TRANSMISION Y DISTRIBUCION DE ENERGIA ELÉCTRICA</t>
  </si>
  <si>
    <t>618-CONSTRUCCION E INSTALACION DE PLANTAS GENERADORAS Y LINEAS DE TRANSMISION Y DISTRIBUCION DE ENERGIA ELÉCTRICA</t>
  </si>
  <si>
    <t>CONSULADO</t>
  </si>
  <si>
    <t>SERVICIOS DE ORGANIZACIONES INTERNACIONALES Y EXTRATERRITORIALES</t>
  </si>
  <si>
    <t>1058-CONSULADO</t>
  </si>
  <si>
    <t>CORRESPONSAL BANCARIO (GOBIERNO)</t>
  </si>
  <si>
    <t>878-CORRESPONSAL BANCARIO (GOBIERNO)</t>
  </si>
  <si>
    <t>CRIA DE GANADO CABALLAR</t>
  </si>
  <si>
    <t>AGROPECUARIO</t>
  </si>
  <si>
    <t xml:space="preserve"> GANADERIA</t>
  </si>
  <si>
    <t>67-CRIA DE GANADO CABALLAR</t>
  </si>
  <si>
    <t>CRIA DE GANADO DE LIDIA</t>
  </si>
  <si>
    <t>66-CRIA DE GANADO DE LIDIA</t>
  </si>
  <si>
    <t>CRIA DE OTROS EQUINOS Y GANADO PARA EL TRABAJO</t>
  </si>
  <si>
    <t>68-CRIA DE OTROS EQUINOS Y GANADO PARA EL TRABAJO</t>
  </si>
  <si>
    <t>CRIA Y EXPLOTACION DE ABEJAS</t>
  </si>
  <si>
    <t>75-CRIA Y EXPLOTACION DE ABEJAS</t>
  </si>
  <si>
    <t>CRIA Y EXPLOTACION DE ANIMALES DOMESTICOS, PARA LABORATORIO Y OTROS FINES NO ALIMENTICIOS</t>
  </si>
  <si>
    <t>77-CRIA Y EXPLOTACION DE ANIMALES DOMESTICOS, PARA LABORATORIO Y OTROS FINES NO ALIMENTICIOS</t>
  </si>
  <si>
    <t>CRIA Y EXPLOTACION DE CONEJOS Y LIEBRES</t>
  </si>
  <si>
    <t>76-CRIA Y EXPLOTACION DE CONEJOS Y LIEBRES</t>
  </si>
  <si>
    <t>CRIA Y EXPLOTACION DE GALLINA PARA PRODUCCION DE HUEVO</t>
  </si>
  <si>
    <t>72-CRIA Y EXPLOTACION DE GALLINA PARA PRODUCCION DE HUEVO</t>
  </si>
  <si>
    <t>CRIA Y EXPLOTACION DE GANADO CAPRINO</t>
  </si>
  <si>
    <t>71-CRIA Y EXPLOTACION DE GANADO CAPRINO</t>
  </si>
  <si>
    <t>CRIA Y EXPLOTACION DE GANADO OVINO</t>
  </si>
  <si>
    <t>70-CRIA Y EXPLOTACION DE GANADO OVINO</t>
  </si>
  <si>
    <t>CRIA Y EXPLOTACION DE GANADO PORCINO</t>
  </si>
  <si>
    <t>69-CRIA Y EXPLOTACION DE GANADO PORCINO</t>
  </si>
  <si>
    <t>CRIA Y EXPLOTACION DE GANADO VACUNO PARA CARNE</t>
  </si>
  <si>
    <t>64-CRIA Y EXPLOTACION DE GANADO VACUNO PARA CARNE</t>
  </si>
  <si>
    <t>CRIA Y EXPLOTACION DE GANADO VACUNO PARA LECHE</t>
  </si>
  <si>
    <t>65-CRIA Y EXPLOTACION DE GANADO VACUNO PARA LECHE</t>
  </si>
  <si>
    <t>CRIA Y EXPLOTACION DE GUSANO DE SEDA</t>
  </si>
  <si>
    <t>78-CRIA Y EXPLOTACION DE GUSANO DE SEDA</t>
  </si>
  <si>
    <t>CRIA Y EXPLOTACION DE OSTRAS</t>
  </si>
  <si>
    <t>107-CRIA Y EXPLOTACION DE OSTRAS</t>
  </si>
  <si>
    <t>CRIA Y EXPLOTACION DE OTRAS AVES PARA ALIMENTACION</t>
  </si>
  <si>
    <t>74-CRIA Y EXPLOTACION DE OTRAS AVES PARA ALIMENTACION</t>
  </si>
  <si>
    <t>CRIA Y EXPLOTACION DE PECES, OTRAS ESPECIES ANIMALES Y PLANTAS ACUATICAS</t>
  </si>
  <si>
    <t>108-CRIA Y EXPLOTACION DE PECES, OTRAS ESPECIES ANIMALES Y PLANTAS ACUATICAS</t>
  </si>
  <si>
    <t>CRIA Y EXPLOTACION DE POLLOS</t>
  </si>
  <si>
    <t>73-CRIA Y EXPLOTACION DE POLLOS</t>
  </si>
  <si>
    <t>CULTIVO DE AGAVE O MEZCAL</t>
  </si>
  <si>
    <t>AGRICULTURA</t>
  </si>
  <si>
    <t>59-CULTIVO DE AGAVE O MEZCAL</t>
  </si>
  <si>
    <t>CULTIVO DE AGUACATE</t>
  </si>
  <si>
    <t>43-CULTIVO DE AGUACATE</t>
  </si>
  <si>
    <t>CULTIVO DE AJO</t>
  </si>
  <si>
    <t>10-CULTIVO DE AJO</t>
  </si>
  <si>
    <t>CULTIVO DE AJONJOLI</t>
  </si>
  <si>
    <t>32-CULTIVO DE AJONJOLI</t>
  </si>
  <si>
    <t>CULTIVO DE ALFALFA</t>
  </si>
  <si>
    <t>24-CULTIVO DE ALFALFA</t>
  </si>
  <si>
    <t>CULTIVO DE ALGODON</t>
  </si>
  <si>
    <t>29-CULTIVO DE ALGODON</t>
  </si>
  <si>
    <t>CULTIVO DE ALPISTE</t>
  </si>
  <si>
    <t>1-CULTIVO DE ALPISTE</t>
  </si>
  <si>
    <t>CULTIVO DE ARROZ</t>
  </si>
  <si>
    <t>2-CULTIVO DE ARROZ</t>
  </si>
  <si>
    <t>CULTIVO DE AVENA</t>
  </si>
  <si>
    <t>3-CULTIVO DE AVENA</t>
  </si>
  <si>
    <t>CULTIVO DE CACAHUATE</t>
  </si>
  <si>
    <t>33-CULTIVO DE CACAHUATE</t>
  </si>
  <si>
    <t>CULTIVO DE CACAO</t>
  </si>
  <si>
    <t>61-CULTIVO DE CACAO</t>
  </si>
  <si>
    <t>CULTIVO DE CAFE</t>
  </si>
  <si>
    <t>42-CULTIVO DE CAFE</t>
  </si>
  <si>
    <t>CULTIVO DE CALABAZA</t>
  </si>
  <si>
    <t>11-CULTIVO DE CALABAZA</t>
  </si>
  <si>
    <t>CULTIVO DE CAMOTE</t>
  </si>
  <si>
    <t>12-CULTIVO DE CAMOTE</t>
  </si>
  <si>
    <t>CULTIVO DE CAÑA DE AZUCAR</t>
  </si>
  <si>
    <t>30-CULTIVO DE CAÑA DE AZUCAR</t>
  </si>
  <si>
    <t>CULTIVO DE CARTAMO</t>
  </si>
  <si>
    <t>34-CULTIVO DE CARTAMO</t>
  </si>
  <si>
    <t>CULTIVO DE CEBADA</t>
  </si>
  <si>
    <t>4-CULTIVO DE CEBADA</t>
  </si>
  <si>
    <t>CULTIVO DE CEBOLLA</t>
  </si>
  <si>
    <t>13-CULTIVO DE CEBOLLA</t>
  </si>
  <si>
    <t>CULTIVO DE CHILE</t>
  </si>
  <si>
    <t>14-CULTIVO DE CHILE</t>
  </si>
  <si>
    <t>CULTIVO DE DURAZNO</t>
  </si>
  <si>
    <t>44-CULTIVO DE DURAZNO</t>
  </si>
  <si>
    <t>CULTIVO DE ESPARRAGO</t>
  </si>
  <si>
    <t>15-CULTIVO DE ESPARRAGO</t>
  </si>
  <si>
    <t>CULTIVO DE ESPECIAS</t>
  </si>
  <si>
    <t>37-CULTIVO DE ESPECIAS</t>
  </si>
  <si>
    <t>CULTIVO DE FLORES Y PLANTAS DE ORNATO</t>
  </si>
  <si>
    <t>41-CULTIVO DE FLORES Y PLANTAS DE ORNATO</t>
  </si>
  <si>
    <t>CULTIVO DE FRESA</t>
  </si>
  <si>
    <t>25-CULTIVO DE FRESA</t>
  </si>
  <si>
    <t>CULTIVO DE FRIJOL</t>
  </si>
  <si>
    <t>16-CULTIVO DE FRIJOL</t>
  </si>
  <si>
    <t>CULTIVO DE GARBANZO</t>
  </si>
  <si>
    <t>17-CULTIVO DE GARBANZO</t>
  </si>
  <si>
    <t>CULTIVO DE GUAYABA</t>
  </si>
  <si>
    <t>45-CULTIVO DE GUAYABA</t>
  </si>
  <si>
    <t>CULTIVO DE HENEQUEN</t>
  </si>
  <si>
    <t>56-CULTIVO DE HENEQUEN</t>
  </si>
  <si>
    <t>CULTIVO DE LENTEJA</t>
  </si>
  <si>
    <t>18-CULTIVO DE LENTEJA</t>
  </si>
  <si>
    <t>CULTIVO DE LIMON</t>
  </si>
  <si>
    <t>46-CULTIVO DE LIMON</t>
  </si>
  <si>
    <t>CULTIVO DE LINAZA</t>
  </si>
  <si>
    <t>5-CULTIVO DE LINAZA</t>
  </si>
  <si>
    <t>CULTIVO DE LINO</t>
  </si>
  <si>
    <t>57-CULTIVO DE LINO</t>
  </si>
  <si>
    <t>CULTIVO DE MAGUEY</t>
  </si>
  <si>
    <t>60-CULTIVO DE MAGUEY</t>
  </si>
  <si>
    <t>CULTIVO DE MAIZ</t>
  </si>
  <si>
    <t>6-CULTIVO DE MAIZ</t>
  </si>
  <si>
    <t>CULTIVO DE MANGO</t>
  </si>
  <si>
    <t>47-CULTIVO DE MANGO</t>
  </si>
  <si>
    <t>CULTIVO DE MANZANA</t>
  </si>
  <si>
    <t>48-CULTIVO DE MANZANA</t>
  </si>
  <si>
    <t>CULTIVO DE MELON</t>
  </si>
  <si>
    <t>26-CULTIVO DE MELON</t>
  </si>
  <si>
    <t>CULTIVO DE NARANJA</t>
  </si>
  <si>
    <t>49-CULTIVO DE NARANJA</t>
  </si>
  <si>
    <t>CULTIVO DE NOPAL</t>
  </si>
  <si>
    <t>19-CULTIVO DE NOPAL</t>
  </si>
  <si>
    <t>CULTIVO DE NUEZ</t>
  </si>
  <si>
    <t>35-CULTIVO DE NUEZ</t>
  </si>
  <si>
    <t>CULTIVO DE OLIVO</t>
  </si>
  <si>
    <t>36-CULTIVO DE OLIVO</t>
  </si>
  <si>
    <t>CULTIVO DE OTRAS FIBRAS DURAS</t>
  </si>
  <si>
    <t>58-CULTIVO DE OTRAS FIBRAS DURAS</t>
  </si>
  <si>
    <t>CULTIVO DE OTRAS HORTALIZAS</t>
  </si>
  <si>
    <t>20-CULTIVO DE OTRAS HORTALIZAS</t>
  </si>
  <si>
    <t>CULTIVO DE OTRAS SEMILLAS</t>
  </si>
  <si>
    <t>38-CULTIVO DE OTRAS SEMILLAS</t>
  </si>
  <si>
    <t>CULTIVO DE OTROS ARBOLES FRUTALES</t>
  </si>
  <si>
    <t>50-CULTIVO DE OTROS ARBOLES FRUTALES</t>
  </si>
  <si>
    <t>CULTIVO DE PAPA</t>
  </si>
  <si>
    <t>21-CULTIVO DE PAPA</t>
  </si>
  <si>
    <t>CULTIVO DE PAPAYA</t>
  </si>
  <si>
    <t>51-CULTIVO DE PAPAYA</t>
  </si>
  <si>
    <t>CULTIVO DE PIÑA</t>
  </si>
  <si>
    <t>27-CULTIVO DE PIÑA</t>
  </si>
  <si>
    <t>CULTIVO DE PLATANO</t>
  </si>
  <si>
    <t>52-CULTIVO DE PLATANO</t>
  </si>
  <si>
    <t>CULTIVO DE REMOLACHA</t>
  </si>
  <si>
    <t>22-CULTIVO DE REMOLACHA</t>
  </si>
  <si>
    <t>CULTIVO DE SANDIA</t>
  </si>
  <si>
    <t>28-CULTIVO DE SANDIA</t>
  </si>
  <si>
    <t>CULTIVO DE SEMILLAS MEJORADAS</t>
  </si>
  <si>
    <t>39-CULTIVO DE SEMILLAS MEJORADAS</t>
  </si>
  <si>
    <t>CULTIVO DE SORGO</t>
  </si>
  <si>
    <t>7-CULTIVO DE SORGO</t>
  </si>
  <si>
    <t>CULTIVO DE SOYA</t>
  </si>
  <si>
    <t>8-CULTIVO DE SOYA</t>
  </si>
  <si>
    <t>CULTIVO DE TABACO</t>
  </si>
  <si>
    <t>31-CULTIVO DE TABACO</t>
  </si>
  <si>
    <t>CULTIVO DE TAMARINDO</t>
  </si>
  <si>
    <t>53-CULTIVO DE TAMARINDO</t>
  </si>
  <si>
    <t>CULTIVO DE TOMATE</t>
  </si>
  <si>
    <t>23-CULTIVO DE TOMATE</t>
  </si>
  <si>
    <t>CULTIVO DE TORONJA</t>
  </si>
  <si>
    <t>54-CULTIVO DE TORONJA</t>
  </si>
  <si>
    <t>CULTIVO DE TRIGO</t>
  </si>
  <si>
    <t>9-CULTIVO DE TRIGO</t>
  </si>
  <si>
    <t>CULTIVO DE VAINILLA</t>
  </si>
  <si>
    <t>40-CULTIVO DE VAINILLA</t>
  </si>
  <si>
    <t>CULTIVO DE VID</t>
  </si>
  <si>
    <t>55-CULTIVO DE VID</t>
  </si>
  <si>
    <t>CULTIVO Y EXPLOTACION DE PALMA Y LECHUGUILLA</t>
  </si>
  <si>
    <t>SILVICULTURA</t>
  </si>
  <si>
    <t>91-CULTIVO Y EXPLOTACION DE PALMA Y LECHUGUILLA</t>
  </si>
  <si>
    <t>CURTIDURIA</t>
  </si>
  <si>
    <t xml:space="preserve"> CUERO Y SUS PRODUCTOS</t>
  </si>
  <si>
    <t>289-CURTIDURIA</t>
  </si>
  <si>
    <t>DECORACION EN GENERAL</t>
  </si>
  <si>
    <t>979-DECORACION EN GENERAL</t>
  </si>
  <si>
    <t>DEMOLICION DE INMUEBLES</t>
  </si>
  <si>
    <t>622-DEMOLICION DE INMUEBLES</t>
  </si>
  <si>
    <t>DEPARTAMENTO DEL DF</t>
  </si>
  <si>
    <t xml:space="preserve"> GOBIERNOS ESTATALES</t>
  </si>
  <si>
    <t>996-DEPARTAMENTO DEL DF</t>
  </si>
  <si>
    <t>DESCASCARADO Y TOSTADO DE CACAHUATE Y NUEZ</t>
  </si>
  <si>
    <t>170-DESCASCARADO Y TOSTADO DE CACAHUATE Y NUEZ</t>
  </si>
  <si>
    <t>DESCASCARADORA Y TOSTADORA DE SEMILLA DE CALABAZA</t>
  </si>
  <si>
    <t>171-DESCASCARADORA Y TOSTADORA DE SEMILLA DE CALABAZA</t>
  </si>
  <si>
    <t>DESECADO DE TABACO</t>
  </si>
  <si>
    <t xml:space="preserve"> TABACO Y SUS PRODUCTOS</t>
  </si>
  <si>
    <t>209-DESECADO DE TABACO</t>
  </si>
  <si>
    <t>DESFIBRACION DE ALGODON</t>
  </si>
  <si>
    <t>213-DESFIBRACION DE ALGODON</t>
  </si>
  <si>
    <t>DESFIBRACION DE HENEQUEN</t>
  </si>
  <si>
    <t xml:space="preserve"> HILADO Y TEJIDO DE FIBRAS DURAS</t>
  </si>
  <si>
    <t>229-DESFIBRACION DE HENEQUEN</t>
  </si>
  <si>
    <t>DESHIDRATACION DE FRUTAS</t>
  </si>
  <si>
    <t>ENVASADO DE FRUTAS Y LEGUMBRES</t>
  </si>
  <si>
    <t>140-DESHIDRATACION DE FRUTAS</t>
  </si>
  <si>
    <t>DESHIDRATACION DE PLANTAS PARA FORRAJES</t>
  </si>
  <si>
    <t xml:space="preserve"> ALIMENTOS PARA ANIMALES</t>
  </si>
  <si>
    <t>163-DESHIDRATACION DE PLANTAS PARA FORRAJES</t>
  </si>
  <si>
    <t>DESPACHO DE OTROS PROFESIONISTAS</t>
  </si>
  <si>
    <t>890-DESPACHO DE OTROS PROFESIONISTAS</t>
  </si>
  <si>
    <t>DESPEPITE DE ALGODON</t>
  </si>
  <si>
    <t>214-DESPEPITE DE ALGODON</t>
  </si>
  <si>
    <t>DESTILACION DE ALCOHOL ETILICO</t>
  </si>
  <si>
    <t xml:space="preserve"> AZUCAR Y SUS DERIVADOS</t>
  </si>
  <si>
    <t>160-DESTILACION DE ALCOHOL ETILICO</t>
  </si>
  <si>
    <t>DISTRBUCIÓN Y COMERCIALIZACIÓN DE GAS</t>
  </si>
  <si>
    <t>633-DISTRBUCIÓN Y COMERCIALIZACIÓN DE GAS</t>
  </si>
  <si>
    <t>DISTRIBUCION DE ENERGIA ELECTRICA</t>
  </si>
  <si>
    <t>632-DISTRIBUCION DE ENERGIA ELECTRICA</t>
  </si>
  <si>
    <t>DISTRIBUCION DE ENERGIA ELECTRICA (GOBIERNO)</t>
  </si>
  <si>
    <t>1013-DISTRIBUCION DE ENERGIA ELECTRICA (GOBIERNO)</t>
  </si>
  <si>
    <t>DISTRIBUCION DE OTROS PRODUCTOS QUIMICOS-FARMACEUTICOS</t>
  </si>
  <si>
    <t>694-DISTRIBUCION DE OTROS PRODUCTOS QUIMICOS-FARMACEUTICOS</t>
  </si>
  <si>
    <t>DISTRIBUCION Y ALQUILER DE PELICULAS</t>
  </si>
  <si>
    <t>930-DISTRIBUCION Y ALQUILER DE PELICULAS</t>
  </si>
  <si>
    <t>DISTRIBUCION Y COMPRAVENTA DE PERIODICOS Y REVISTAS</t>
  </si>
  <si>
    <t>690-DISTRIBUCION Y COMPRAVENTA DE PERIODICOS Y REVISTAS</t>
  </si>
  <si>
    <t>EDICION DE LIBROS</t>
  </si>
  <si>
    <t xml:space="preserve"> PAPEL, PRODUCTOS DE PAPEL, IMPRENTAS Y EDITORIALES</t>
  </si>
  <si>
    <t xml:space="preserve"> IMPRENTAS Y EDITORIALES</t>
  </si>
  <si>
    <t>333-EDICION DE LIBROS</t>
  </si>
  <si>
    <t>EDICION DE PERIODICOS Y REVISTAS</t>
  </si>
  <si>
    <t>332-EDICION DE PERIODICOS Y REVISTAS</t>
  </si>
  <si>
    <t>ELABORACION DE OBJETOS ARTISTICOS DE ALFARERIA Y CERAMICA</t>
  </si>
  <si>
    <t xml:space="preserve"> PRODUCTOS DE MINERALES NO METALICOS EXCEPTUANDO PETROLEO Y CARBON</t>
  </si>
  <si>
    <t xml:space="preserve"> OTROS PRODUCTOS DE MINERALES NO METALICOS</t>
  </si>
  <si>
    <t>423-ELABORACION DE OBJETOS ARTISTICOS DE ALFARERIA Y CERAMICA</t>
  </si>
  <si>
    <t>ELABORACION DE PULQUE</t>
  </si>
  <si>
    <t xml:space="preserve"> BEBIDAS ALCOHOLICAS</t>
  </si>
  <si>
    <t>201-ELABORACION DE PULQUE</t>
  </si>
  <si>
    <t>EMBOTELLADO DE AGUAS MINERALES</t>
  </si>
  <si>
    <t xml:space="preserve"> REFRESCOS EMBOTELLADOS</t>
  </si>
  <si>
    <t>205-EMBOTELLADO DE AGUAS MINERALES</t>
  </si>
  <si>
    <t>EMPACADORA DE CARNE</t>
  </si>
  <si>
    <t>PRODUCTOS CARNICOS Y LACTEOS</t>
  </si>
  <si>
    <t>130-EMPACADORA DE CARNE</t>
  </si>
  <si>
    <t>EMPACADORA DE CONSERVAS ALIMENTICIAS</t>
  </si>
  <si>
    <t>141-EMPACADORA DE CONSERVAS ALIMENTICIAS</t>
  </si>
  <si>
    <t>EMPACADORA DE ESPECIAS</t>
  </si>
  <si>
    <t>192-EMPACADORA DE ESPECIAS</t>
  </si>
  <si>
    <t>EMPACADORA DE FRUTAS Y LEGUMBRES</t>
  </si>
  <si>
    <t>142-EMPACADORA DE FRUTAS Y LEGUMBRES</t>
  </si>
  <si>
    <t>EMPACADORA DE OTROS MARISCOS</t>
  </si>
  <si>
    <t>177-EMPACADORA DE OTROS MARISCOS</t>
  </si>
  <si>
    <t>EMPACADORA DE PESCADO</t>
  </si>
  <si>
    <t>178-EMPACADORA DE PESCADO</t>
  </si>
  <si>
    <t>EMPACADORA DE TE</t>
  </si>
  <si>
    <t>156-EMPACADORA DE TE</t>
  </si>
  <si>
    <t>EMPLEADO DE GOBIERNO</t>
  </si>
  <si>
    <t>1064-EMPLEADO DE GOBIERNO</t>
  </si>
  <si>
    <t>EMPLEADO DEL SECTOR AGROPECUARIO</t>
  </si>
  <si>
    <t>1061-EMPLEADO DEL SECTOR AGROPECUARIO</t>
  </si>
  <si>
    <t>EMPLEADO DEL SECTOR INDUSTRIAL</t>
  </si>
  <si>
    <t>1062-EMPLEADO DEL SECTOR INDUSTRIAL</t>
  </si>
  <si>
    <t>EMPLEADO DEL SECTOR SERVICIOS</t>
  </si>
  <si>
    <t>1063-EMPLEADO DEL SECTOR SERVICIOS</t>
  </si>
  <si>
    <t>EMPRESA DE SERVICIO DE LIMPIEZA</t>
  </si>
  <si>
    <t>975-EMPRESA DE SERVICIO DE LIMPIEZA</t>
  </si>
  <si>
    <t>EMPRESA DE TELEFONOS</t>
  </si>
  <si>
    <t>COMUNICACIONES</t>
  </si>
  <si>
    <t xml:space="preserve"> COMUNICACIONES</t>
  </si>
  <si>
    <t>841-EMPRESA DE TELEFONOS</t>
  </si>
  <si>
    <t>EMPRESA DE TELEFONOS (GOBIERNO)</t>
  </si>
  <si>
    <t>1046-EMPRESA DE TELEFONOS (GOBIERNO)</t>
  </si>
  <si>
    <t>EMPRESA DE TELEGRAFOS</t>
  </si>
  <si>
    <t>842-EMPRESA DE TELEGRAFOS</t>
  </si>
  <si>
    <t>EMPRESA DE TELEGRAFOS (GOBIERNO)</t>
  </si>
  <si>
    <t>1047-EMPRESA DE TELEGRAFOS (GOBIERNO)</t>
  </si>
  <si>
    <t>ENCUADERNACION</t>
  </si>
  <si>
    <t>334-ENCUADERNACION</t>
  </si>
  <si>
    <t>ESTABLECIMIENTOS PRIVADOS DE INSTRUCCION EDUCACION CULTURA E INVESTIGACION</t>
  </si>
  <si>
    <t xml:space="preserve"> SERVICIOS DE EDUCACION</t>
  </si>
  <si>
    <t>907-ESTABLECIMIENTOS PRIVADOS DE INSTRUCCION EDUCACION CULTURA E INVESTIGACION</t>
  </si>
  <si>
    <t>ESTABLECIMIENTOS PUBLICOS DE INSTRUCCION, EDUCACION SUBPROFESIONAL YPROFESIONAL, CULTURA E INVESTIGACION</t>
  </si>
  <si>
    <t>906-ESTABLECIMIENTOS PUBLICOS DE INSTRUCCION, EDUCACION SUBPROFESIONAL YPROFESIONAL, CULTURA E INVESTIGACION</t>
  </si>
  <si>
    <t>ESTACIONAMIENTO PRIVADO PARA VEHICULOS</t>
  </si>
  <si>
    <t>959-ESTACIONAMIENTO PRIVADO PARA VEHICULOS</t>
  </si>
  <si>
    <t>ESTACIONAMIENTO PUBLICO PARA VEHICULOS</t>
  </si>
  <si>
    <t>960-ESTACIONAMIENTO PUBLICO PARA VEHICULOS</t>
  </si>
  <si>
    <t>ESTADIOS Y ARENAS</t>
  </si>
  <si>
    <t>937-ESTADIOS Y ARENAS</t>
  </si>
  <si>
    <t>ESTUDIANTE</t>
  </si>
  <si>
    <t>1068-ESTUDIANTE</t>
  </si>
  <si>
    <t>ESTUDIO FOTOGRAFICO</t>
  </si>
  <si>
    <t>978-ESTUDIO FOTOGRAFICO</t>
  </si>
  <si>
    <t>ESTUDIOS CINEMATOGRAFICOS</t>
  </si>
  <si>
    <t>926-ESTUDIOS CINEMATOGRAFICOS</t>
  </si>
  <si>
    <t>EXPLORACION DE PETROLEO POR COMPAÑIAS</t>
  </si>
  <si>
    <t>EXTRACCION DE PETROLEO CRUDO Y GAS NATURAL</t>
  </si>
  <si>
    <t>113-EXPLORACION DE PETROLEO POR COMPAÑIAS</t>
  </si>
  <si>
    <t>EXPLORACION DE PETROLEO POR COMPAÑIAS (GOBIERNO)</t>
  </si>
  <si>
    <t>998-EXPLORACION DE PETROLEO POR COMPAÑIAS (GOBIERNO)</t>
  </si>
  <si>
    <t>EXPLOTACION DE BARBASCO,ARBORESCENTES Y ARBUSTOS</t>
  </si>
  <si>
    <t>92-EXPLOTACION DE BARBASCO,ARBORESCENTES Y ARBUSTOS</t>
  </si>
  <si>
    <t>EXPLOTACION DE CANDELILLA</t>
  </si>
  <si>
    <t>85-EXPLOTACION DE CANDELILLA</t>
  </si>
  <si>
    <t>EXPLOTACION DE HULE</t>
  </si>
  <si>
    <t>86-EXPLOTACION DE HULE</t>
  </si>
  <si>
    <t>EXPLOTACION DE RAICES</t>
  </si>
  <si>
    <t>88-EXPLOTACION DE RAICES</t>
  </si>
  <si>
    <t>EXPLOTACION DE SAL MARINA Y DE YACIMIENTOS</t>
  </si>
  <si>
    <t>MINERALES NO METALICOS</t>
  </si>
  <si>
    <t>128-EXPLOTACION DE SAL MARINA Y DE YACIMIENTOS</t>
  </si>
  <si>
    <t>EXTRACCION DE ALQUITRAN VEGETAL</t>
  </si>
  <si>
    <t>89-EXTRACCION DE ALQUITRAN VEGETAL</t>
  </si>
  <si>
    <t>EXTRACCION DE CARBON VEGETAL</t>
  </si>
  <si>
    <t>83-EXTRACCION DE CARBON VEGETAL</t>
  </si>
  <si>
    <t>EXTRACCION DE CHICLE</t>
  </si>
  <si>
    <t>84-EXTRACCION DE CHICLE</t>
  </si>
  <si>
    <t>EXTRACCION DE OTRAS RESINAS</t>
  </si>
  <si>
    <t>87-EXTRACCION DE OTRAS RESINAS</t>
  </si>
  <si>
    <t>114-EXTRACCION DE PETROLEO CRUDO Y GAS NATURAL</t>
  </si>
  <si>
    <t>EXTRACCION DE PETROLEO CRUDO Y GAS NATURAL (GOBIERNO)</t>
  </si>
  <si>
    <t>999-EXTRACCION DE PETROLEO CRUDO Y GAS NATURAL (GOBIERNO)</t>
  </si>
  <si>
    <t>EXTRACCION DE TREMENTINA</t>
  </si>
  <si>
    <t>90-EXTRACCION DE TREMENTINA</t>
  </si>
  <si>
    <t>EXTRACCION DE TRONCOS PARA ASERRADEROS Y PARA PULPA INCLUSO LA MADE RA TOSCAMENTE ASERRADA</t>
  </si>
  <si>
    <t>82-EXTRACCION DE TRONCOS PARA ASERRADEROS Y PARA PULPA INCLUSO LA MADE RA TOSCAMENTE ASERRADA</t>
  </si>
  <si>
    <t>EXTRACCION DE YESO</t>
  </si>
  <si>
    <t>ARENA, GRAVA Y ARCILLA</t>
  </si>
  <si>
    <t>120-EXTRACCION DE YESO</t>
  </si>
  <si>
    <t>EXTRACCION Y BENEFICIO DE ARCILLAS REFRACTARIAS</t>
  </si>
  <si>
    <t>123EXTRACCION Y BENEFICIO DE ARCILLAS REFRACTARIAS</t>
  </si>
  <si>
    <t>EXTRACCION Y BENEFICIO DE ARENA Y GRAVA</t>
  </si>
  <si>
    <t>121-EXTRACCION Y BENEFICIO DE ARENA Y GRAVA</t>
  </si>
  <si>
    <t>EXTRACCION Y BENEFICIO DE BARITA Y ROCA FOSFORICA</t>
  </si>
  <si>
    <t>124-EXTRACCION Y BENEFICIO DE BARITA Y ROCA FOSFORICA</t>
  </si>
  <si>
    <t>EXTRACCION Y BENEFICIO DE CARBON MINERAL Y GRAFITO</t>
  </si>
  <si>
    <t>CARBON Y SUS DERIVADOS</t>
  </si>
  <si>
    <t>111-EXTRACCION Y BENEFICIO DE CARBON MINERAL Y GRAFITO</t>
  </si>
  <si>
    <t>EXTRACCION Y BENEFICIO DE COBRE, PLOMO, ZINC Y OTROS MINERALES NO FERROSOS</t>
  </si>
  <si>
    <t>MINERALES METALICOS NO FERROSOS</t>
  </si>
  <si>
    <t>118-EXTRACCION Y BENEFICIO DE COBRE, PLOMO, ZINC Y OTROS MINERALES NO FERROSOS</t>
  </si>
  <si>
    <t>EXTRACCION Y BENEFICIO DE FLUORITA</t>
  </si>
  <si>
    <t>125-EXTRACCION Y BENEFICIO DE FLUORITA</t>
  </si>
  <si>
    <t>EXTRACCION Y BENEFICIO DE MERCURIO Y ANTIMONIO</t>
  </si>
  <si>
    <t>117-EXTRACCION Y BENEFICIO DE MERCURIO Y ANTIMONIO</t>
  </si>
  <si>
    <t>EXTRACCION Y BENEFICIO DE MINERAL DE HIERRO</t>
  </si>
  <si>
    <t>MINERALES DE HIERRO</t>
  </si>
  <si>
    <t>115-EXTRACCION Y BENEFICIO DE MINERAL DE HIERRO</t>
  </si>
  <si>
    <t>EXTRACCION Y BENEFICIO DE ORO PLATA Y OTROS METALES PRECIOSOS</t>
  </si>
  <si>
    <t>116-EXTRACCION Y BENEFICIO DE ORO PLATA Y OTROS METALES PRECIOSOS</t>
  </si>
  <si>
    <t>EXTRACCION Y BENEFICIO DE OTROS MATERIALES PARA CONSTRUCCION</t>
  </si>
  <si>
    <t>122-EXTRACCION Y BENEFICIO DE OTROS MATERIALES PARA CONSTRUCCION</t>
  </si>
  <si>
    <t>EXTRACCION Y BENEFICIO DE OTROS MINERALES NO METALICOS EXCEPTO SAL</t>
  </si>
  <si>
    <t>127-EXTRACCION Y BENEFICIO DE OTROS MINERALES NO METALICOS EXCEPTO SAL</t>
  </si>
  <si>
    <t>EXTRACCION Y BENEFICIO DE PIEDRA</t>
  </si>
  <si>
    <t>119-EXTRACCION Y BENEFICIO DE PIEDRA</t>
  </si>
  <si>
    <t>EXTRACCION Y BENEFICIO DE SILICE</t>
  </si>
  <si>
    <t>126-EXTRACCION Y BENEFICIO DE SILICE</t>
  </si>
  <si>
    <t>FABRICACION DE ABANICOS</t>
  </si>
  <si>
    <t xml:space="preserve"> OTRAS INDUSTRIAS MANUFACTURERAS</t>
  </si>
  <si>
    <t>593-FABRICACION DE ABANICOS</t>
  </si>
  <si>
    <t>FABRICACION DE ABONOS Y FERTILIZANTES QUIMICOS</t>
  </si>
  <si>
    <t xml:space="preserve"> SUSTANCIAS QUIMICAS, DERIVADOS DEL PETROLEO, CAUCHO Y PLASTICOS</t>
  </si>
  <si>
    <t xml:space="preserve"> ABONOS Y FERTILIZANTES</t>
  </si>
  <si>
    <t>358-FABRICACION DE ABONOS Y FERTILIZANTES QUIMICOS</t>
  </si>
  <si>
    <t>FABRICACION DE ABRASIVOS</t>
  </si>
  <si>
    <t>436-FABRICACION DE ABRASIVOS</t>
  </si>
  <si>
    <t>FABRICACION DE ACCESORIOS PARA LA INDUSTRIA TEXTIL</t>
  </si>
  <si>
    <t xml:space="preserve"> PRODUCTOS METALICOS, MAQUINARIA Y EQUIPO</t>
  </si>
  <si>
    <t xml:space="preserve"> MAQUINARIA Y EQUIPOS NO ELECTRICOS</t>
  </si>
  <si>
    <t>522-FABRICACION DE ACCESORIOS PARA LA INDUSTRIA TEXTIL</t>
  </si>
  <si>
    <t>FABRICACION DE ACEITES VEGETALES COMESTIBLES</t>
  </si>
  <si>
    <t xml:space="preserve"> ACEITES Y GRASAS VEGETALES COMESTIBLES</t>
  </si>
  <si>
    <t>161-FABRICACION DE ACEITES VEGETALES COMESTIBLES</t>
  </si>
  <si>
    <t>FABRICACION DE ACEITES Y LUBRICANTES</t>
  </si>
  <si>
    <t xml:space="preserve"> PETROQUIMICA BASICA</t>
  </si>
  <si>
    <t>349-FABRICACION DE ACEITES Y LUBRICANTES</t>
  </si>
  <si>
    <t>FABRICACION DE ACEITES Y LUBRICANTES (GOBIERNO)</t>
  </si>
  <si>
    <t>1003-FABRICACION DE ACEITES Y LUBRICANTES (GOBIERNO)</t>
  </si>
  <si>
    <t>FABRICACION DE ACEITES Y MANTECAS ANIMALES COMESTIBLES</t>
  </si>
  <si>
    <t>193-FABRICACION DE ACEITES Y MANTECAS ANIMALES COMESTIBLES</t>
  </si>
  <si>
    <t>FABRICACION DE ACIDOS INDUSTRIALES</t>
  </si>
  <si>
    <t xml:space="preserve"> QUIMICA BASICA</t>
  </si>
  <si>
    <t>354-FABRICACION DE ACIDOS INDUSTRIALES</t>
  </si>
  <si>
    <t>FABRICACION DE ACIDOS INDUSTRIALES (GOBIERNO)</t>
  </si>
  <si>
    <t>1008-FABRICACION DE ACIDOS INDUSTRIALES (GOBIERNO)</t>
  </si>
  <si>
    <t>FABRICACION DE ACUMULADORES</t>
  </si>
  <si>
    <t xml:space="preserve"> OTROS EQUIPOS Y APARATOS ELECTRICOS</t>
  </si>
  <si>
    <t>532-FABRICACION DE ACUMULADORES</t>
  </si>
  <si>
    <t>FABRICACION DE ADOBE</t>
  </si>
  <si>
    <t>427-FABRICACION DE ADOBE</t>
  </si>
  <si>
    <t>FABRICACION DE AGUARDIENTE DE CAÑA</t>
  </si>
  <si>
    <t>197-FABRICACION DE AGUARDIENTE DE CAÑA</t>
  </si>
  <si>
    <t>FABRICACION DE AGUARRAS</t>
  </si>
  <si>
    <t xml:space="preserve"> OTRAS INDUSTRIAS QUIMICAS</t>
  </si>
  <si>
    <t>378-FABRICACION DE AGUARRAS</t>
  </si>
  <si>
    <t>FABRICACION DE ALAMBRADOS Y TELAS DE METAL</t>
  </si>
  <si>
    <t xml:space="preserve"> OTROS PRODUCTOS METALICOS</t>
  </si>
  <si>
    <t>476-FABRICACION DE ALAMBRADOS Y TELAS DE METAL</t>
  </si>
  <si>
    <t>FABRICACION DE ALAMBRE</t>
  </si>
  <si>
    <t>477-FABRICACION DE ALAMBRE</t>
  </si>
  <si>
    <t>FABRICACION DE ALFILERES AGUJAS Y BROCHES</t>
  </si>
  <si>
    <t>487-FABRICACION DE ALFILERES AGUJAS Y BROCHES</t>
  </si>
  <si>
    <t>FABRICACION DE ALGODON ABSORBENTE VENDAS TELA ADEHESIVA Y PRODUCTOS SIMILARES</t>
  </si>
  <si>
    <t>254-FABRICACION DE ALGODON ABSORBENTE VENDAS TELA ADEHESIVA Y PRODUCTOS SIMILARES</t>
  </si>
  <si>
    <t>FABRICACION DE ALGODON ESTERILIZADO, GASAS Y VENDAS</t>
  </si>
  <si>
    <t xml:space="preserve"> PRODUCTOS MEDICINALES</t>
  </si>
  <si>
    <t>361-FABRICACION DE ALGODON ESTERILIZADO, GASAS Y VENDAS</t>
  </si>
  <si>
    <t>FABRICACION DE ALIMENTO PARA GANADO Y OTROS ANIMALES</t>
  </si>
  <si>
    <t>164-FABRICACION DE ALIMENTO PARA GANADO Y OTROS ANIMALES</t>
  </si>
  <si>
    <t>FABRICACION DE ALIMENTOS PARA AVES</t>
  </si>
  <si>
    <t>165FABRICACION DE ALIMENTOS PARA AVES</t>
  </si>
  <si>
    <t>FABRICACION DE ALMIDON</t>
  </si>
  <si>
    <t>184-FABRICACION DE ALMIDON</t>
  </si>
  <si>
    <t>FABRICACION DE ALMOHADAS Y COJINES</t>
  </si>
  <si>
    <t xml:space="preserve"> OTRAS INDUSTRIAS DE LA MADERA</t>
  </si>
  <si>
    <t>320-FABRICACION DE ALMOHADAS Y COJINES</t>
  </si>
  <si>
    <t>FABRICACION DE ALPARGATAS BABUCHAS Y PANTUFLAS</t>
  </si>
  <si>
    <t>286-FABRICACION DE ALPARGATAS BABUCHAS Y PANTUFLAS</t>
  </si>
  <si>
    <t>FABRICACION DE AMPOLLETAS</t>
  </si>
  <si>
    <t xml:space="preserve"> VIDRIO Y SUS PRODUCTOS</t>
  </si>
  <si>
    <t>410-FABRICACION DE AMPOLLETAS</t>
  </si>
  <si>
    <t>FABRICACION DE ANIL</t>
  </si>
  <si>
    <t>350-FABRICACION DE ANIL</t>
  </si>
  <si>
    <t>FABRICACION DE ANIL (GOBIERNO)</t>
  </si>
  <si>
    <t>1004-FABRICACION DE ANIL (GOBIERNO)</t>
  </si>
  <si>
    <t>FABRICACION DE ANILINAS</t>
  </si>
  <si>
    <t>351-FABRICACION DE ANILINAS</t>
  </si>
  <si>
    <t>FABRICACION DE ANILINAS (GOBIERNO)</t>
  </si>
  <si>
    <t>1005-FABRICACION DE ANILINAS (GOBIERNO)</t>
  </si>
  <si>
    <t>FABRICACION DE ANUNCIOS LUMINOSOS</t>
  </si>
  <si>
    <t>538-FABRICACION DE ANUNCIOS LUMINOSOS</t>
  </si>
  <si>
    <t>FABRICACION DE APARATOS DE INTERCOMUNICACION</t>
  </si>
  <si>
    <t xml:space="preserve"> EQUIPO Y ACCESORIOS ELECTRONICOS</t>
  </si>
  <si>
    <t>529-FABRICACION DE APARATOS DE INTERCOMUNICACION</t>
  </si>
  <si>
    <t>FABRICACION DE APARATOS OZONIZADORES</t>
  </si>
  <si>
    <t>579-FABRICACION DE APARATOS OZONIZADORES</t>
  </si>
  <si>
    <t>FABRICACION DE APARATOS PARA GIMNASIA</t>
  </si>
  <si>
    <t>572-FABRICACION DE APARATOS PARA GIMNASIA</t>
  </si>
  <si>
    <t>FABRICACION DE ARMAS</t>
  </si>
  <si>
    <t>500-FABRICACION DE ARMAS</t>
  </si>
  <si>
    <t>FABRICACION DE ARTICULOS BORDADOS Y DESHILADOS</t>
  </si>
  <si>
    <t>255-FABRICACION DE ARTICULOS BORDADOS Y DESHILADOS</t>
  </si>
  <si>
    <t>FABRICACION DE ARTICULOS CON HULE USADO</t>
  </si>
  <si>
    <t xml:space="preserve"> PRODUCTOS DE HULE</t>
  </si>
  <si>
    <t>392-FABRICACION DE ARTICULOS CON HULE USADO</t>
  </si>
  <si>
    <t>FABRICACION DE ARTICULOS DE BAQUELITA</t>
  </si>
  <si>
    <t>385-FABRICACION DE ARTICULOS DE BAQUELITA</t>
  </si>
  <si>
    <t>FABRICACION DE ARTICULOS DE CAREY</t>
  </si>
  <si>
    <t>594-FABRICACION DE ARTICULOS DE CAREY</t>
  </si>
  <si>
    <t>FABRICACION DE ARTICULOS DE CELULOIDE</t>
  </si>
  <si>
    <t xml:space="preserve"> ARTICULOS DE PLASTICO</t>
  </si>
  <si>
    <t>400-FABRICACION DE ARTICULOS DE CELULOIDE</t>
  </si>
  <si>
    <t>FABRICACION DE ARTICULOS DE CONCHA</t>
  </si>
  <si>
    <t>595-FABRICACION DE ARTICULOS DE CONCHA</t>
  </si>
  <si>
    <t>FABRICACION DE ARTICULOS DE CUERO PARA VIAJE</t>
  </si>
  <si>
    <t>292-FABRICACION DE ARTICULOS DE CUERO PARA VIAJE</t>
  </si>
  <si>
    <t>FABRICACION DE ARTICULOS DE CUERO Y HUESO</t>
  </si>
  <si>
    <t>293-FABRICACION DE ARTICULOS DE CUERO Y HUESO</t>
  </si>
  <si>
    <t>FABRICACION DE ARTICULOS DE CUERO Y PIEL PARA ZAPATERO</t>
  </si>
  <si>
    <t>294-FABRICACION DE ARTICULOS DE CUERO Y PIEL PARA ZAPATERO</t>
  </si>
  <si>
    <t>FABRICACION DE ARTICULOS DE JOYERIA</t>
  </si>
  <si>
    <t>566-FABRICACION DE ARTICULOS DE JOYERIA</t>
  </si>
  <si>
    <t>FABRICACION DE ARTICULOS DE LONA</t>
  </si>
  <si>
    <t>241-FABRICACION DE ARTICULOS DE LONA</t>
  </si>
  <si>
    <t>FABRICACION DE ARTICULOS DE PALMA VARA CARRIZO MIMBRE Y SIMILARES</t>
  </si>
  <si>
    <t>307-FABRICACION DE ARTICULOS DE PALMA VARA CARRIZO MIMBRE Y SIMILARES</t>
  </si>
  <si>
    <t>FABRICACION DE ARTICULOS DE PALMA Y TULE</t>
  </si>
  <si>
    <t>231-FABRICACION DE ARTICULOS DE PALMA Y TULE</t>
  </si>
  <si>
    <t>FABRICACION DE ARTICULOS DE PELTRE</t>
  </si>
  <si>
    <t>479-FABRICACION DE ARTICULOS DE PELTRE</t>
  </si>
  <si>
    <t>FABRICACION DE ARTICULOS DE POLIETILENO</t>
  </si>
  <si>
    <t>396-FABRICACION DE ARTICULOS DE POLIETILENO</t>
  </si>
  <si>
    <t>FABRICACION DE ARTICULOS DE QUINCALLERIA Y BISUTERIA</t>
  </si>
  <si>
    <t>569-FABRICACION DE ARTICULOS DE QUINCALLERIA Y BISUTERIA</t>
  </si>
  <si>
    <t>FABRICACION DE ARTICULOS PARA DENTISTA</t>
  </si>
  <si>
    <t>590-FABRICACION DE ARTICULOS PARA DENTISTA</t>
  </si>
  <si>
    <t>FABRICACION DE ARTICULOS PARA ESCRITORIO</t>
  </si>
  <si>
    <t>584-FABRICACION DE ARTICULOS PARA ESCRITORIO</t>
  </si>
  <si>
    <t>FABRICACION DE ARTICULOS TEJIDOS DE CUERO</t>
  </si>
  <si>
    <t>295-FABRICACION DE ARTICULOS TEJIDOS DE CUERO</t>
  </si>
  <si>
    <t>FABRICACION DE ASBESTOS Y CORCHOS AISLANTES</t>
  </si>
  <si>
    <t>311-FABRICACION DE ASBESTOS Y CORCHOS AISLANTES</t>
  </si>
  <si>
    <t>FABRICACION DE ATAUDES DE MADERA</t>
  </si>
  <si>
    <t>308-FABRICACION DE ATAUDES DE MADERA</t>
  </si>
  <si>
    <t>FABRICACION DE ATES</t>
  </si>
  <si>
    <t>166-FABRICACION DE ATES</t>
  </si>
  <si>
    <t>FABRICACION DE AZULEJOS</t>
  </si>
  <si>
    <t>424-FABRICACION DE AZULEJOS</t>
  </si>
  <si>
    <t>FABRICACION DE BALONES GLOBOS Y PELOTAS</t>
  </si>
  <si>
    <t>401-FABRICACION DE BALONES GLOBOS Y PELOTAS</t>
  </si>
  <si>
    <t>FABRICACION DE BANDAS Y CORREAS DE CUERO</t>
  </si>
  <si>
    <t>296-FABRICACION DE BANDAS Y CORREAS DE CUERO</t>
  </si>
  <si>
    <t>FABRICACION DE BANDERAS Y ADORNOS DE TELA</t>
  </si>
  <si>
    <t>257-FABRICACION DE BANDERAS Y ADORNOS DE TELA</t>
  </si>
  <si>
    <t>FABRICACION DE BASTONES PARAGUAS Y SOMBRILLAS</t>
  </si>
  <si>
    <t>596-FABRICACION DE BASTONES PARAGUAS Y SOMBRILLAS</t>
  </si>
  <si>
    <t>FABRICACION DE BEBIDAS GASEOSAS</t>
  </si>
  <si>
    <t>206-FABRICACION DE BEBIDAS GASEOSAS</t>
  </si>
  <si>
    <t>FABRICACION DE BLOQUES DE CEMENTO</t>
  </si>
  <si>
    <t>432-FABRICACION DE BLOQUES DE CEMENTO</t>
  </si>
  <si>
    <t>FABRICACION DE BOLSAS Y CARTERAS DE CUERO</t>
  </si>
  <si>
    <t>297-FABRICACION DE BOLSAS Y CARTERAS DE CUERO</t>
  </si>
  <si>
    <t>FABRICACION DE BOMBAS PARA AGUA</t>
  </si>
  <si>
    <t>516-FABRICACION DE BOMBAS PARA AGUA</t>
  </si>
  <si>
    <t>FABRICACION DE BORRAS Y ESTOPAS</t>
  </si>
  <si>
    <t>248-FABRICACION DE BORRAS Y ESTOPAS</t>
  </si>
  <si>
    <t>FABRICACION DE BOTELLAS</t>
  </si>
  <si>
    <t>411-FABRICACION DE BOTELLAS</t>
  </si>
  <si>
    <t>FABRICACION DE BOTONES DE PLASTICO</t>
  </si>
  <si>
    <t>402-FABRICACION DE BOTONES DE PLASTICO</t>
  </si>
  <si>
    <t>FABRICACION DE BROCHAS Y PINCELES</t>
  </si>
  <si>
    <t>298-FABRICACION DE BROCHAS Y PINCELES</t>
  </si>
  <si>
    <t>FABRICACION DE BUJIAS</t>
  </si>
  <si>
    <t xml:space="preserve"> CARROCERIAS Y PARTES AUTOMOTRICES</t>
  </si>
  <si>
    <t>549-FABRICACION DE BUJIAS</t>
  </si>
  <si>
    <t>FABRICACION DE BUTACAS DE METAL</t>
  </si>
  <si>
    <t xml:space="preserve"> MUEBLES Y ACCESORIOS METALICOS</t>
  </si>
  <si>
    <t>454-FABRICACION DE BUTACAS DE METAL</t>
  </si>
  <si>
    <t>FABRICACION DE CABLES DE METAL</t>
  </si>
  <si>
    <t>535-FABRICACION DE CABLES DE METAL</t>
  </si>
  <si>
    <t>FABRICACION DE CACHUCHAS Y GORRAS</t>
  </si>
  <si>
    <t xml:space="preserve"> PRENDAS DE VESTIR</t>
  </si>
  <si>
    <t>274-FABRICACION DE CACHUCHAS Y GORRAS</t>
  </si>
  <si>
    <t>FABRICACION DE CAJAS FUERTES</t>
  </si>
  <si>
    <t>488-FABRICACION DE CAJAS FUERTES</t>
  </si>
  <si>
    <t>FABRICACION DE CAJAS Y EMPAQUES DE MADERA</t>
  </si>
  <si>
    <t>305-FABRICACION DE CAJAS Y EMPAQUES DE MADERA</t>
  </si>
  <si>
    <t>FABRICACION DE CAJETAS YOGOURTS Y OTROS PRODUCTOS A BASE DE LECHE</t>
  </si>
  <si>
    <t>139-FABRICACION DE CAJETAS YOGOURTS Y OTROS PRODUCTOS A BASE DE LECHE</t>
  </si>
  <si>
    <t>FABRICACION DE CALCETINES</t>
  </si>
  <si>
    <t>259-FABRICACION DE CALCETINES</t>
  </si>
  <si>
    <t>FABRICACION DE CALCOMANIAS</t>
  </si>
  <si>
    <t>341-FABRICACION DE CALCOMANIAS</t>
  </si>
  <si>
    <t>FABRICACION DE CALDERAS TANQUES Y TINACOS DE METAL</t>
  </si>
  <si>
    <t xml:space="preserve"> PRODUCTOS METALICOS ESTRUCTURALES</t>
  </si>
  <si>
    <t>459-FABRICACION DE CALDERAS TANQUES Y TINACOS DE METAL</t>
  </si>
  <si>
    <t>FABRICACION DE CALENTADORES PARA BAÑO</t>
  </si>
  <si>
    <t>460-FABRICACION DE CALENTADORES PARA BAÑO</t>
  </si>
  <si>
    <t>FABRICACION DE CALZADO DE CUERO O PIEL</t>
  </si>
  <si>
    <t>288-FABRICACION DE CALZADO DE CUERO O PIEL</t>
  </si>
  <si>
    <t>FABRICACION DE CALZADO DE PLASTICO</t>
  </si>
  <si>
    <t>398-FABRICACION DE CALZADO DE PLASTICO</t>
  </si>
  <si>
    <t>FABRICACION DE CALZADO PARA DEPORTE EXCEPTO DE PLASTICO Y HULE</t>
  </si>
  <si>
    <t>285-FABRICACION DE CALZADO PARA DEPORTE EXCEPTO DE PLASTICO Y HULE</t>
  </si>
  <si>
    <t>FABRICACION DE CAMARAS FOTOGRAFICAS DE CINE Y PROYECTORES</t>
  </si>
  <si>
    <t>562-FABRICACION DE CAMARAS FOTOGRAFICAS DE CINE Y PROYECTORES</t>
  </si>
  <si>
    <t>FABRICACION DE CAMISAS</t>
  </si>
  <si>
    <t>269-FABRICACION DE CAMISAS</t>
  </si>
  <si>
    <t>FABRICACION DE CANDADOS</t>
  </si>
  <si>
    <t>466-FABRICACION DE CANDADOS</t>
  </si>
  <si>
    <t>FABRICACION DE CANDILES Y ARBOTANTES</t>
  </si>
  <si>
    <t>539-FABRICACION DE CANDILES Y ARBOTANTES</t>
  </si>
  <si>
    <t>FABRICACION DE CARNES FRIAS Y EMBUTIDOS</t>
  </si>
  <si>
    <t>131-FABRICACION DE CARNES FRIAS Y EMBUTIDOS</t>
  </si>
  <si>
    <t>FABRICACION DE CARREOLAS Y ANDADERAS</t>
  </si>
  <si>
    <t xml:space="preserve"> OTROS EQUIPOS Y MATERIALES DE TRANSPORTE</t>
  </si>
  <si>
    <t>557-FABRICACION DE CARREOLAS Y ANDADERAS</t>
  </si>
  <si>
    <t>FABRICACION DE CARROCERIAS DE METAL</t>
  </si>
  <si>
    <t>542-FABRICACION DE CARROCERIAS DE METAL</t>
  </si>
  <si>
    <t>FABRICACION DE CARROCERIAS Y REDILAS DE MADERA</t>
  </si>
  <si>
    <t>314-FABRICACION DE CARROCERIAS Y REDILAS DE MADERA</t>
  </si>
  <si>
    <t>FABRICACION DE CARTON</t>
  </si>
  <si>
    <t xml:space="preserve"> PAPEL Y CARTON</t>
  </si>
  <si>
    <t>327-FABRICACION DE CARTON</t>
  </si>
  <si>
    <t>FABRICACION DE CARTUCHOS</t>
  </si>
  <si>
    <t>501-FABRICACION DE CARTUCHOS</t>
  </si>
  <si>
    <t>FABRICACION DE CASIMIRES Y PAÑOS</t>
  </si>
  <si>
    <t>224-FABRICACION DE CASIMIRES Y PAÑOS</t>
  </si>
  <si>
    <t>FABRICACION DE CASQUILLOS</t>
  </si>
  <si>
    <t>502-FABRICACION DE CASQUILLOS</t>
  </si>
  <si>
    <t>FABRICACION DE CELULOIDE Y POLIETILENO</t>
  </si>
  <si>
    <t>397-FABRICACION DE CELULOIDE Y POLIETILENO</t>
  </si>
  <si>
    <t>FABRICACION DE CEMENTO</t>
  </si>
  <si>
    <t xml:space="preserve"> CEMENTO</t>
  </si>
  <si>
    <t>419-FABRICACION DE CEMENTO</t>
  </si>
  <si>
    <t>FABRICACION DE CEPILLOS Y PLUMEROS</t>
  </si>
  <si>
    <t>291-FABRICACION DE CEPILLOS Y PLUMEROS</t>
  </si>
  <si>
    <t>FABRICACION DE CERA PULIMENTOS Y ABRILLANTADORES</t>
  </si>
  <si>
    <t>374-FABRICACION DE CERA PULIMENTOS Y ABRILLANTADORES</t>
  </si>
  <si>
    <t>FABRICACION DE CERILLOS Y FOSFOROS</t>
  </si>
  <si>
    <t>558-FABRICACION DE CERILLOS Y FOSFOROS</t>
  </si>
  <si>
    <t>FABRICACION DE CERRADURAS</t>
  </si>
  <si>
    <t>467-FABRICACION DE CERRADURAS</t>
  </si>
  <si>
    <t>FABRICACION DE CERVEZA</t>
  </si>
  <si>
    <t>CERVEZA</t>
  </si>
  <si>
    <t>204-FABRICACION DE CERVEZA</t>
  </si>
  <si>
    <t>FABRICACION DE CHAMARRAS Y ABRIGOS</t>
  </si>
  <si>
    <t>277-FABRICACION DE CHAMARRAS Y ABRIGOS</t>
  </si>
  <si>
    <t>FABRICACION DE CHOCOLATES</t>
  </si>
  <si>
    <t>179-FABRICACION DE CHOCOLATES</t>
  </si>
  <si>
    <t>FABRICACION DE CIERRES AUTOMATICOS DE METAL</t>
  </si>
  <si>
    <t>489-FABRICACION DE CIERRES AUTOMATICOS DE METAL</t>
  </si>
  <si>
    <t>FABRICACION DE CIGARROS</t>
  </si>
  <si>
    <t>210-FABRICACION DE CIGARROS</t>
  </si>
  <si>
    <t>FABRICACION DE CINTAS AGUJETAS Y LISTONES</t>
  </si>
  <si>
    <t>238-FABRICACION DE CINTAS AGUJETAS Y LISTONES</t>
  </si>
  <si>
    <t>FABRICACION DE CINTAS PARA MAQUINAS CALCULADORAS REGISTRADORAS Y DE ESCRIBIR</t>
  </si>
  <si>
    <t>585-FABRICACION DE CINTAS PARA MAQUINAS CALCULADORAS REGISTRADORAS Y DE ESCRIBIR</t>
  </si>
  <si>
    <t>FABRICACION DE CLAVOS CADENAS GRAPAS Y TACHUELAS</t>
  </si>
  <si>
    <t>465-FABRICACION DE CLAVOS CADENAS GRAPAS Y TACHUELAS</t>
  </si>
  <si>
    <t>FABRICACION DE COLAS Y PEGAMENTOS</t>
  </si>
  <si>
    <t>372-FABRICACION DE COLAS Y PEGAMENTOS</t>
  </si>
  <si>
    <t>FABRICACION DE COLCHAS</t>
  </si>
  <si>
    <t>237-FABRICACION DE COLCHAS</t>
  </si>
  <si>
    <t>FABRICACION DE COLCHONES Y COLCHONETAS</t>
  </si>
  <si>
    <t>321-FABRICACION DE COLCHONES Y COLCHONETAS</t>
  </si>
  <si>
    <t>FABRICACION DE CONCENTRADOS DE FRUTAS</t>
  </si>
  <si>
    <t>143-FABRICACION DE CONCENTRADOS DE FRUTAS</t>
  </si>
  <si>
    <t>FABRICACION DE CONCRETO CIENTIFICO</t>
  </si>
  <si>
    <t>420-FABRICACION DE CONCRETO CIENTIFICO</t>
  </si>
  <si>
    <t>FABRICACION DE CONCRETO PARA CONSTRUCCION</t>
  </si>
  <si>
    <t>421-FABRICACION DE CONCRETO PARA CONSTRUCCION</t>
  </si>
  <si>
    <t>FABRICACION DE CONOS PARA NIEVE</t>
  </si>
  <si>
    <t xml:space="preserve"> MOLIENDA DE TRIGO Y SUS PRODUCTOS</t>
  </si>
  <si>
    <t>148-FABRICACION DE CONOS PARA NIEVE</t>
  </si>
  <si>
    <t>FABRICACION DE COQUE Y OTROS DERIVADOS DEL CARBON MINERAL</t>
  </si>
  <si>
    <t>112-FABRICACION DE COQUE Y OTROS DERIVADOS DEL CARBON MINERAL</t>
  </si>
  <si>
    <t>FABRICACION DE CORBATAS</t>
  </si>
  <si>
    <t>271-FABRICACION DE CORBATAS</t>
  </si>
  <si>
    <t>FABRICACION DE CORCHOLATAS</t>
  </si>
  <si>
    <t>475-FABRICACION DE CORCHOLATAS</t>
  </si>
  <si>
    <t>FABRICACION DE CORSETERIA Y ROPA INTERIOR PARA DAMA</t>
  </si>
  <si>
    <t>283-FABRICACION DE CORSETERIA Y ROPA INTERIOR PARA DAMA</t>
  </si>
  <si>
    <t>FABRICACION DE CORTINAS DE METAL</t>
  </si>
  <si>
    <t>468-FABRICACION DE CORTINAS DE METAL</t>
  </si>
  <si>
    <t>FABRICACION DE CORTINAS DE TELA Y MANTELERIA</t>
  </si>
  <si>
    <t>251-FABRICACION DE CORTINAS DE TELA Y MANTELERIA</t>
  </si>
  <si>
    <t>FABRICACION DE COSTALES</t>
  </si>
  <si>
    <t>258-FABRICACION DE COSTALES</t>
  </si>
  <si>
    <t>FABRICACION DE CREMA MANTEQUILLA Y QUESO</t>
  </si>
  <si>
    <t>135-FABRICACION DE CREMA MANTEQUILLA Y QUESO</t>
  </si>
  <si>
    <t>FABRICACION DE CRISOLES</t>
  </si>
  <si>
    <t>412-FABRICACION DE CRISOLES</t>
  </si>
  <si>
    <t>FABRICACION DE CRISTALES PARA AUTOMOVIL</t>
  </si>
  <si>
    <t>408-FABRICACION DE CRISTALES PARA AUTOMOVIL</t>
  </si>
  <si>
    <t>FABRICACION DE CUBIERTOS Y CUCHILLERIA</t>
  </si>
  <si>
    <t>461-FABRICACION DE CUBIERTOS Y CUCHILLERIA</t>
  </si>
  <si>
    <t>FABRICACION DE CUBREASIENTOS PARA VEHICULOS</t>
  </si>
  <si>
    <t>252-FABRICACION DE CUBREASIENTOS PARA VEHICULOS</t>
  </si>
  <si>
    <t>FABRICACION DE CUERDAS PARA GUITARRA</t>
  </si>
  <si>
    <t>570-FABRICACION DE CUERDAS PARA GUITARRA</t>
  </si>
  <si>
    <t>FABRICACION DE DENTIFRICO</t>
  </si>
  <si>
    <t xml:space="preserve"> JABONES, DETERGENTES, PERFUMES Y COSMETICOS</t>
  </si>
  <si>
    <t>364-FABRICACION DE DENTIFRICO</t>
  </si>
  <si>
    <t>FABRICACION DE DESINCRUSTANTES</t>
  </si>
  <si>
    <t>386-FABRICACION DE DESINCRUSTANTES</t>
  </si>
  <si>
    <t>FABRICACION DE DESINFECTANTES Y DESODORIZANTES</t>
  </si>
  <si>
    <t>375-FABRICACION DE DESINFECTANTES Y DESODORIZANTES</t>
  </si>
  <si>
    <t>FABRICACION DE DINAMITA</t>
  </si>
  <si>
    <t>380-FABRICACION DE DINAMITA</t>
  </si>
  <si>
    <t>FABRICACION DE DISCOS Y CINTAS PARA GRABACIONES</t>
  </si>
  <si>
    <t>527-FABRICACION DE DISCOS Y CINTAS PARA GRABACIONES</t>
  </si>
  <si>
    <t>FABRICACION DE DUELAS Y OTROS MATERIALES DE MADERA PARA PISO</t>
  </si>
  <si>
    <t>312-FABRICACION DE DUELAS Y OTROS MATERIALES DE MADERA PARA PISO</t>
  </si>
  <si>
    <t>FABRICACION DE DULCES BOMBONES Y CONFITES</t>
  </si>
  <si>
    <t>180-FABRICACION DE DULCES BOMBONES Y CONFITES</t>
  </si>
  <si>
    <t>FABRICACION DE EMPLOMADOS</t>
  </si>
  <si>
    <t>414-FABRICACION DE EMPLOMADOS</t>
  </si>
  <si>
    <t>FABRICACION DE ENCAJES</t>
  </si>
  <si>
    <t>239-FABRICACION DE ENCAJES</t>
  </si>
  <si>
    <t>FABRICACION DE ENCURTIDOS</t>
  </si>
  <si>
    <t>144-FABRICACION DE ENCURTIDOS</t>
  </si>
  <si>
    <t>FABRICACION DE ENGRANES DE METAL</t>
  </si>
  <si>
    <t>520-FABRICACION DE ENGRANES DE METAL</t>
  </si>
  <si>
    <t>FABRICACION DE ENTRETELAS Y FIELTROS</t>
  </si>
  <si>
    <t>246-FABRICACION DE ENTRETELAS Y FIELTROS</t>
  </si>
  <si>
    <t>FABRICACION DE ENVASES DE CARTON</t>
  </si>
  <si>
    <t>329-FABRICACION DE ENVASES DE CARTON</t>
  </si>
  <si>
    <t>FABRICACION DE ENVASES DE LAMINA</t>
  </si>
  <si>
    <t>473-FABRICACION DE ENVASES DE LAMINA</t>
  </si>
  <si>
    <t>FABRICACION DE EQUIPOS PARA SOLDAR Y SOLDADURAS</t>
  </si>
  <si>
    <t xml:space="preserve"> INDUSTRIAS METALICAS BASICAS</t>
  </si>
  <si>
    <t xml:space="preserve"> INDUSTRIAS BASICAS DE METALES NO FERROSOS</t>
  </si>
  <si>
    <t>452-FABRICACION DE EQUIPOS PARA SOLDAR Y SOLDADURAS</t>
  </si>
  <si>
    <t>FABRICACION DE ESCOBAS</t>
  </si>
  <si>
    <t>592-FABRICACION DE ESCOBAS</t>
  </si>
  <si>
    <t>FABRICACION DE ESENCIAS</t>
  </si>
  <si>
    <t>369-FABRICACION DE ESENCIAS</t>
  </si>
  <si>
    <t>FABRICACION DE ESFERAS DE VIDRIO</t>
  </si>
  <si>
    <t>416-FABRICACION DE ESFERAS DE VIDRIO</t>
  </si>
  <si>
    <t>FABRICACION DE ESMERILES</t>
  </si>
  <si>
    <t>437-FABRICACION DE ESMERILES</t>
  </si>
  <si>
    <t>FABRICACION DE ESPEJOS Y LUNAS</t>
  </si>
  <si>
    <t>415-FABRICACION DE ESPEJOS Y LUNAS</t>
  </si>
  <si>
    <t>FABRICACION DE ESPUELAS FRENOS Y ARNESES DE METAL</t>
  </si>
  <si>
    <t>490-FABRICACION DE ESPUELAS FRENOS Y ARNESES DE METAL</t>
  </si>
  <si>
    <t>FABRICACION DE ESTAMBRES</t>
  </si>
  <si>
    <t>222-FABRICACION DE ESTAMBRES</t>
  </si>
  <si>
    <t>FABRICACION DE ESTRUCTURAS DE METAL</t>
  </si>
  <si>
    <t>457-FABRICACION DE ESTRUCTURAS DE METAL</t>
  </si>
  <si>
    <t>FABRICACION DE ESTUFAS</t>
  </si>
  <si>
    <t>455-FABRICACION DE ESTUFAS</t>
  </si>
  <si>
    <t>FABRICACION DE EXTINGUIDORES</t>
  </si>
  <si>
    <t>515-FABRICACION DE EXTINGUIDORES</t>
  </si>
  <si>
    <t>FABRICACION DE FIBRA DE VIDRIO</t>
  </si>
  <si>
    <t>409-FABRICACION DE FIBRA DE VIDRIO</t>
  </si>
  <si>
    <t>FABRICACION DE FIBRAS SINTETICAS</t>
  </si>
  <si>
    <t xml:space="preserve"> RESINAS SINTETICAS, PLASTICOS Y FIBRAS</t>
  </si>
  <si>
    <t>360-FABRICACION DE FIBRAS SINTETICAS</t>
  </si>
  <si>
    <t>FABRICACION DE FIERRO ESPONJA</t>
  </si>
  <si>
    <t xml:space="preserve"> INDUSTRIAS BASICAS DE HIERRO Y ACERO</t>
  </si>
  <si>
    <t>443-FABRICACION DE FIERRO ESPONJA</t>
  </si>
  <si>
    <t>FABRICACION DE FILTROS DE METAL</t>
  </si>
  <si>
    <t>518-FABRICACION DE FILTROS DE METAL</t>
  </si>
  <si>
    <t>FABRICACION DE FLORES ARTIFICIALES</t>
  </si>
  <si>
    <t>597-FABRICACION DE FLORES ARTIFICIALES</t>
  </si>
  <si>
    <t>FABRICACION DE FOCOS</t>
  </si>
  <si>
    <t>534-FABRICACION DE FOCOS</t>
  </si>
  <si>
    <t>FABRICACION DE FORMULARIOS Y FORMAS CONTINUAS</t>
  </si>
  <si>
    <t>335-FABRICACION DE FORMULARIOS Y FORMAS CONTINUAS</t>
  </si>
  <si>
    <t>FABRICACION DE FORNITURAS MILITARES DE CUERO</t>
  </si>
  <si>
    <t>299-FABRICACION DE FORNITURAS MILITARES DE CUERO</t>
  </si>
  <si>
    <t>FABRICACION DE FRITURAS</t>
  </si>
  <si>
    <t>186-FABRICACION DE FRITURAS</t>
  </si>
  <si>
    <t>FABRICACION DE FURGONES Y VAGONES</t>
  </si>
  <si>
    <t>543-FABRICACION DE FURGONES Y VAGONES</t>
  </si>
  <si>
    <t>FABRICACION DE GALLETAS</t>
  </si>
  <si>
    <t>149-FABRICACION DE GALLETAS</t>
  </si>
  <si>
    <t>FABRICACION DE GAS ACETILENO</t>
  </si>
  <si>
    <t>353-FABRICACION DE GAS ACETILENO</t>
  </si>
  <si>
    <t>FABRICACION DE GAS ACETILENO (GOBIERNO)</t>
  </si>
  <si>
    <t>1007-FABRICACION DE GAS ACETILENO (GOBIERNO)</t>
  </si>
  <si>
    <t>FABRICACION DE GASOLINA Y OTROS PRODUCTOS DERIVADOS DE LA REFINACION DE PETROLEO</t>
  </si>
  <si>
    <t xml:space="preserve"> REFINACION DE PETROLEO</t>
  </si>
  <si>
    <t>346-FABRICACION DE GASOLINA Y OTROS PRODUCTOS DERIVADOS DE LA REFINACION DE PETROLEO</t>
  </si>
  <si>
    <t>FABRICACION DE GASOLINA Y OTROS PRODUCTOS DERIVADOS DE LA REFINACION DE PETROLEO (GOBIERNO)</t>
  </si>
  <si>
    <t>1000-FABRICACION DE GASOLINA Y OTROS PRODUCTOS DERIVADOS DE LA REFINACION DE PETROLEO (GOBIERNO)</t>
  </si>
  <si>
    <t>FABRICACION DE GELATINAS</t>
  </si>
  <si>
    <t>137-FABRICACION DE GELATINAS</t>
  </si>
  <si>
    <t>FABRICACION DE GOMA DE MASCAR</t>
  </si>
  <si>
    <t>181-FABRICACION DE GOMA DE MASCAR</t>
  </si>
  <si>
    <t>FABRICACION DE GRASAS Y CREMAS LUSTRADORAS</t>
  </si>
  <si>
    <t>376-FABRICACION DE GRASAS Y CREMAS LUSTRADORAS</t>
  </si>
  <si>
    <t>FABRICACION DE GRENETINA</t>
  </si>
  <si>
    <t>138-FABRICACION DE GRENETINA</t>
  </si>
  <si>
    <t>FABRICACION DE GUANTES</t>
  </si>
  <si>
    <t>272-FABRICACION DE GUANTES</t>
  </si>
  <si>
    <t>FABRICACION DE HARINA DE PESCADO</t>
  </si>
  <si>
    <t>194-FABRICACION DE HARINA DE PESCADO</t>
  </si>
  <si>
    <t>FABRICACION DE HEBILLAS DE METAL</t>
  </si>
  <si>
    <t>491-FABRICACION DE HEBILLAS DE METAL</t>
  </si>
  <si>
    <t>FABRICACION DE HELADOS NIEVES Y PALETAS</t>
  </si>
  <si>
    <t>191-FABRICACION DE HELADOS NIEVES Y PALETAS</t>
  </si>
  <si>
    <t>FABRICACION DE HERRAMIENTAS DE METAL</t>
  </si>
  <si>
    <t>506-FABRICACION DE HERRAMIENTAS DE METAL</t>
  </si>
  <si>
    <t>FABRICACION DE HIELO</t>
  </si>
  <si>
    <t>190-FABRICACION DE HIELO</t>
  </si>
  <si>
    <t>FABRICACION DE HIELO SECO</t>
  </si>
  <si>
    <t>387-FABRICACION DE HIELO SECO</t>
  </si>
  <si>
    <t>FABRICACION DE HILADOS Y TEJIDOS DE ALGODON</t>
  </si>
  <si>
    <t>217-FABRICACION DE HILADOS Y TEJIDOS DE ALGODON</t>
  </si>
  <si>
    <t>FABRICACION DE HILADOS Y TEJIDOS DE FIBRA DE COCO</t>
  </si>
  <si>
    <t>235-FABRICACION DE HILADOS Y TEJIDOS DE FIBRA DE COCO</t>
  </si>
  <si>
    <t>FABRICACION DE HILADOS Y TEJIDOS DE HENEQUEN</t>
  </si>
  <si>
    <t>230-FABRICACION DE HILADOS Y TEJIDOS DE HENEQUEN</t>
  </si>
  <si>
    <t>FABRICACION DE HILADOS Y TEJIDOS DE LANA</t>
  </si>
  <si>
    <t>218-FABRICACION DE HILADOS Y TEJIDOS DE LANA</t>
  </si>
  <si>
    <t>FABRICACION DE HILADOS Y TEJIDOS DE OTRAS FIBRAS SINTETICAS</t>
  </si>
  <si>
    <t>262-FABRICACION DE HILADOS Y TEJIDOS DE OTRAS FIBRAS SINTETICAS</t>
  </si>
  <si>
    <t>FABRICACION DE HILADOS Y TEJIDOS DE SEDA</t>
  </si>
  <si>
    <t>225-FABRICACION DE HILADOS Y TEJIDOS DE SEDA</t>
  </si>
  <si>
    <t>FABRICACION DE HILADOS Y TEJIDOS DE YUTE</t>
  </si>
  <si>
    <t>234-FABRICACION DE HILADOS Y TEJIDOS DE YUTE</t>
  </si>
  <si>
    <t>FABRICACION DE HILOS PARA COSER</t>
  </si>
  <si>
    <t>219-FABRICACION DE HILOS PARA COSER</t>
  </si>
  <si>
    <t>FABRICACION DE HOJAS PARA RASURAR</t>
  </si>
  <si>
    <t>492-FABRICACION DE HOJAS PARA RASURAR</t>
  </si>
  <si>
    <t>FABRICACION DE HORMAS PARA CALZADO Y TACONES</t>
  </si>
  <si>
    <t>591-FABRICACION DE HORMAS PARA CALZADO Y TACONES</t>
  </si>
  <si>
    <t>FABRICACION DE HUARACHES Y SANDALIAS</t>
  </si>
  <si>
    <t>287-FABRICACION DE HUARACHES Y SANDALIAS</t>
  </si>
  <si>
    <t>FABRICACION DE HULE ESPUMA</t>
  </si>
  <si>
    <t>359-FABRICACION DE HULE ESPUMA</t>
  </si>
  <si>
    <t>FABRICACION DE IMPERMEABILIZANTES</t>
  </si>
  <si>
    <t>373-FABRICACION DE IMPERMEABILIZANTES</t>
  </si>
  <si>
    <t>FABRICACION DE IMPERMEABLES</t>
  </si>
  <si>
    <t>278-FABRICACION DE IMPERMEABLES</t>
  </si>
  <si>
    <t>FABRICACION DE INSECTICIDAS Y PLAGUICIDAS</t>
  </si>
  <si>
    <t>367-FABRICACION DE INSECTICIDAS Y PLAGUICIDAS</t>
  </si>
  <si>
    <t>FABRICACION DE JABON Y DETERGENTE</t>
  </si>
  <si>
    <t>365-FABRICACION DE JABON Y DETERGENTE</t>
  </si>
  <si>
    <t>FABRICACION DE JARABES</t>
  </si>
  <si>
    <t>183-FABRICACION DE JARABES</t>
  </si>
  <si>
    <t>FABRICACION DE JAULAS DE METAL</t>
  </si>
  <si>
    <t>469-FABRICACION DE JAULAS DE METAL</t>
  </si>
  <si>
    <t>FABRICACION DE JUGUETES EXCEPTO LOS DE HULE Y DE PLASTICO MOLDEADOS</t>
  </si>
  <si>
    <t>583-FABRICACION DE JUGUETES EXCEPTO LOS DE HULE Y DE PLASTICO MOLDEADOS</t>
  </si>
  <si>
    <t>FABRICACION DE JUNTAS Y EMPAQUES DE CORCHO</t>
  </si>
  <si>
    <t>309-FABRICACION DE JUNTAS Y EMPAQUES DE CORCHO</t>
  </si>
  <si>
    <t>FABRICACION DE LADRILLOS</t>
  </si>
  <si>
    <t>428-FABRICACION DE LADRILLOS</t>
  </si>
  <si>
    <t>FABRICACION DE LAMINAS DE HIERRO Y ACERO</t>
  </si>
  <si>
    <t>446-FABRICACION DE LAMINAS DE HIERRO Y ACERO</t>
  </si>
  <si>
    <t>FABRICACION DE LAMINAS PERFILES TUBOS Y OTROS MATERIALES SIMILARES  DE PLASTICO</t>
  </si>
  <si>
    <t>395-FABRICACION DE LAMINAS PERFILES TUBOS Y OTROS MATERIALES SIMILARES  DE PLASTICO</t>
  </si>
  <si>
    <t>FABRICACION DE LAMPARAS ELECTRICAS</t>
  </si>
  <si>
    <t>540-FABRICACION DE LAMPARAS ELECTRICAS</t>
  </si>
  <si>
    <t>FABRICACION DE LANOLINA</t>
  </si>
  <si>
    <t>377-FABRICACION DE LANOLINA</t>
  </si>
  <si>
    <t>FABRICACION DE LAPICES</t>
  </si>
  <si>
    <t>586-FABRICACION DE LAPICES</t>
  </si>
  <si>
    <t>FABRICACION DE LECHE CONDENSADA EVAPORADA Y PULVERIZADA</t>
  </si>
  <si>
    <t>136-FABRICACION DE LECHE CONDENSADA EVAPORADA Y PULVERIZADA</t>
  </si>
  <si>
    <t>FABRICACION DE LEVADURAS</t>
  </si>
  <si>
    <t>185-FABRICACION DE LEVADURAS</t>
  </si>
  <si>
    <t>FABRICACION DE LIBRETAS CUADERNOS Y HOJAS PARA ENCUADERNACION</t>
  </si>
  <si>
    <t>336-FABRICACION DE LIBRETAS CUADERNOS Y HOJAS PARA ENCUADERNACION</t>
  </si>
  <si>
    <t>FABRICACION DE LIJA</t>
  </si>
  <si>
    <t>438-FABRICACION DE LIJA</t>
  </si>
  <si>
    <t>FABRICACION DE LINOLEO</t>
  </si>
  <si>
    <t>393-FABRICACION DE LINOLEO</t>
  </si>
  <si>
    <t>FABRICACION DE LLANTAS Y CAMARAS PARA VEHICULOS</t>
  </si>
  <si>
    <t>389-FABRICACION DE LLANTAS Y CAMARAS PARA VEHICULOS</t>
  </si>
  <si>
    <t>FABRICACION DE LONA</t>
  </si>
  <si>
    <t>242-FABRICACION DE LONA</t>
  </si>
  <si>
    <t>FABRICACION DE LOZA Y PORCELANA</t>
  </si>
  <si>
    <t>425-FABRICACION DE LOZA Y PORCELANA</t>
  </si>
  <si>
    <t>FABRICACION DE MALTA</t>
  </si>
  <si>
    <t>203-FABRICACION DE MALTA</t>
  </si>
  <si>
    <t>FABRICACION DE MANGOS DE MADERA</t>
  </si>
  <si>
    <t>315-FABRICACION DE MANGOS DE MADERA</t>
  </si>
  <si>
    <t>FABRICACION DE MANTECAS VEGETALES COMESTIBLES</t>
  </si>
  <si>
    <t>162-FABRICACION DE MANTECAS VEGETALES COMESTIBLES</t>
  </si>
  <si>
    <t>FABRICACION DE MANTONES Y CHALINAS</t>
  </si>
  <si>
    <t>280-FABRICACION DE MANTONES Y CHALINAS</t>
  </si>
  <si>
    <t>FABRICACION DE MAQUINARIA E IMPLEMENTOS AGRICOLAS</t>
  </si>
  <si>
    <t>505-FABRICACION DE MAQUINARIA E IMPLEMENTOS AGRICOLAS</t>
  </si>
  <si>
    <t>FABRICACION DE MAQUINAS CALCULADORAS REGISTRADORAS Y DE ESCRIBIR</t>
  </si>
  <si>
    <t>511-FABRICACION DE MAQUINAS CALCULADORAS REGISTRADORAS Y DE ESCRIBIR</t>
  </si>
  <si>
    <t>FABRICACION DE MAQUINAS DE COSER</t>
  </si>
  <si>
    <t>512-FABRICACION DE MAQUINAS DE COSER</t>
  </si>
  <si>
    <t>FABRICACION DE MARCOS Y MOLDURAS DE MADERA</t>
  </si>
  <si>
    <t>322-FABRICACION DE MARCOS Y MOLDURAS DE MADERA</t>
  </si>
  <si>
    <t>FABRICACION DE MARQUETAS Y ESTUCHADOS DE AZUCAR</t>
  </si>
  <si>
    <t>157-FABRICACION DE MARQUETAS Y ESTUCHADOS DE AZUCAR</t>
  </si>
  <si>
    <t>FABRICACION DE MATERIAL FOTOGRAFICO</t>
  </si>
  <si>
    <t>563-FABRICACION DE MATERIAL FOTOGRAFICO</t>
  </si>
  <si>
    <t>FABRICACION DE MATERIAL PARA INSTALACIONES ELECTRICAS</t>
  </si>
  <si>
    <t>536-FABRICACION DE MATERIAL PARA INSTALACIONES ELECTRICAS</t>
  </si>
  <si>
    <t>FABRICACION DE MATERIALES ASFALTICOS PARA PAVIMENTACION Y TECHADO</t>
  </si>
  <si>
    <t>347-FABRICACION DE MATERIALES ASFALTICOS PARA PAVIMENTACION Y TECHADO</t>
  </si>
  <si>
    <t>FABRICACION DE MATERIALES ASFALTICOS PARA PAVIMENTACION Y TECHADO (GOBIERNO)</t>
  </si>
  <si>
    <t>1001-FABRICACION DE MATERIALES ASFALTICOS PARA PAVIMENTACION Y TECHADO (GOBIERNO)</t>
  </si>
  <si>
    <t>FABRICACION DE MATERIALES PARA MUROS</t>
  </si>
  <si>
    <t>430-FABRICACION DE MATERIALES PARA MUROS</t>
  </si>
  <si>
    <t>FABRICACION DE MECHAS PARA MINAS</t>
  </si>
  <si>
    <t>381-FABRICACION DE MECHAS PARA MINAS</t>
  </si>
  <si>
    <t>FABRICACION DE MEDALLAS INSIGNIAS Y PLACAS</t>
  </si>
  <si>
    <t>565-FABRICACION DE MEDALLAS INSIGNIAS Y PLACAS</t>
  </si>
  <si>
    <t>FABRICACION DE MEDIAS</t>
  </si>
  <si>
    <t>260-FABRICACION DE MEDIAS</t>
  </si>
  <si>
    <t>FABRICACION DE MESAS DE BILLAR</t>
  </si>
  <si>
    <t>573-FABRICACION DE MESAS DE BILLAR</t>
  </si>
  <si>
    <t>FABRICACION DE MOLINOS PARA GRANOS</t>
  </si>
  <si>
    <t>510-FABRICACION DE MOLINOS PARA GRANOS</t>
  </si>
  <si>
    <t>FABRICACION DE MOSAICOS TERRAZOS Y GRANITO</t>
  </si>
  <si>
    <t>440-FABRICACION DE MOSAICOS TERRAZOS Y GRANITO</t>
  </si>
  <si>
    <t>FABRICACION DE MUEBLES DE MADERA</t>
  </si>
  <si>
    <t>317-FABRICACION DE MUEBLES DE MADERA</t>
  </si>
  <si>
    <t>FABRICACION DE MUEBLES DE MATERIAL SINTETICO</t>
  </si>
  <si>
    <t>318-FABRICACION DE MUEBLES DE MATERIAL SINTETICO</t>
  </si>
  <si>
    <t>FABRICACION DE MUEBLES Y ARTICULOS SANITARIOS</t>
  </si>
  <si>
    <t>426-FABRICACION DE MUEBLES Y ARTICULOS SANITARIOS</t>
  </si>
  <si>
    <t>FABRICACION DE MUELLES Y RESORTES PARA VEHICULOS</t>
  </si>
  <si>
    <t>547-FABRICACION DE MUELLES Y RESORTES PARA VEHICULOS</t>
  </si>
  <si>
    <t>FABRICACION DE MUNICIONES PARA CAZA</t>
  </si>
  <si>
    <t>503-FABRICACION DE MUNICIONES PARA CAZA</t>
  </si>
  <si>
    <t>FABRICACION DE OBJETOS ARTISTICOS DE VIDRIO Y CRISTAL</t>
  </si>
  <si>
    <t>417-FABRICACION DE OBJETOS ARTISTICOS DE VIDRIO Y CRISTAL</t>
  </si>
  <si>
    <t>FABRICACION DE OJILLOS DE METAL</t>
  </si>
  <si>
    <t>493-FABRICACION DE OJILLOS DE METAL</t>
  </si>
  <si>
    <t>FABRICACION DE OTRAS MATERIAS COLORANTES</t>
  </si>
  <si>
    <t>352-FABRICACION DE OTRAS MATERIAS COLORANTES</t>
  </si>
  <si>
    <t>FABRICACION DE OTRAS MATERIAS COLORANTES (GOBIERNO)</t>
  </si>
  <si>
    <t>1006-FABRICACION DE OTRAS MATERIAS COLORANTES (GOBIERNO)</t>
  </si>
  <si>
    <t>FABRICACION DE OTRAS PRENDAS EXTERIORES DE VESTIR PARA CABALLERO</t>
  </si>
  <si>
    <t>265-FABRICACION DE OTRAS PRENDAS EXTERIORES DE VESTIR PARA CABALLERO</t>
  </si>
  <si>
    <t>FABRICACION DE OTRAS PRENDAS EXTERIORES DE VESTIR PARA NIÑO</t>
  </si>
  <si>
    <t>270-FABRICACION DE OTRAS PRENDAS EXTERIORES DE VESTIR PARA NIÑO</t>
  </si>
  <si>
    <t>FABRICACION DE OTRAS SUBSTANCIAS QUIMICAS BASICAS</t>
  </si>
  <si>
    <t>355-FABRICACION DE OTRAS SUBSTANCIAS QUIMICAS BASICAS</t>
  </si>
  <si>
    <t>FABRICACION DE OTRAS SUBSTANCIAS QUIMICAS BASICAS (GOBIERNO)</t>
  </si>
  <si>
    <t>1009-FABRICACION DE OTRAS SUBSTANCIAS QUIMICAS BASICAS (GOBIERNO)</t>
  </si>
  <si>
    <t>FABRICACION DE OTRAS TELAS MIXTAS  DE FIBRAS BLANDAS</t>
  </si>
  <si>
    <t>227-FABRICACION DE OTRAS TELAS MIXTAS  DE FIBRAS BLANDAS</t>
  </si>
  <si>
    <t>FABRICACION DE OTROS AGUARDIENTES NO DE CAÑA</t>
  </si>
  <si>
    <t>199-FABRICACION DE OTROS AGUARDIENTES NO DE CAÑA</t>
  </si>
  <si>
    <t>FABRICACION DE OTROS APARATOS ELECTRICOS PARA EL HOGAR</t>
  </si>
  <si>
    <t xml:space="preserve"> APARATOS ELECTRODOMESTICOS</t>
  </si>
  <si>
    <t>524-FABRICACION DE OTROS APARATOS ELECTRICOS PARA EL HOGAR</t>
  </si>
  <si>
    <t>FABRICACION DE OTROS ARTICULOS DE ALAMBRE</t>
  </si>
  <si>
    <t>478-FABRICACION DE OTROS ARTICULOS DE ALAMBRE</t>
  </si>
  <si>
    <t>FABRICACION DE OTROS ARTICULOS DE ALGODON</t>
  </si>
  <si>
    <t>249-FABRICACION DE OTROS ARTICULOS DE ALGODON</t>
  </si>
  <si>
    <t>FABRICACION DE OTROS ARTICULOS DE ALUMINIO</t>
  </si>
  <si>
    <t>470-FABRICACION DE OTROS ARTICULOS DE ALUMINIO</t>
  </si>
  <si>
    <t>FABRICACION DE OTROS ARTICULOS DE CARTON</t>
  </si>
  <si>
    <t>330-FABRICACION DE OTROS ARTICULOS DE CARTON</t>
  </si>
  <si>
    <t>FABRICACION DE OTROS ARTICULOS DE CERA</t>
  </si>
  <si>
    <t>559-FABRICACION DE OTROS ARTICULOS DE CERA</t>
  </si>
  <si>
    <t>FABRICACION DE OTROS ARTICULOS DE CORCHO</t>
  </si>
  <si>
    <t>310-FABRICACION DE OTROS ARTICULOS DE CORCHO</t>
  </si>
  <si>
    <t>FABRICACION DE OTROS ARTICULOS DE CUERO</t>
  </si>
  <si>
    <t>300-FABRICACION DE OTROS ARTICULOS DE CUERO</t>
  </si>
  <si>
    <t>FABRICACION DE OTROS ARTICULOS DE HULE</t>
  </si>
  <si>
    <t>394-FABRICACION DE OTROS ARTICULOS DE HULE</t>
  </si>
  <si>
    <t>FABRICACION DE OTROS ARTICULOS DE LAMINA</t>
  </si>
  <si>
    <t>447-FABRICACION DE OTROS ARTICULOS DE LAMINA</t>
  </si>
  <si>
    <t>FABRICACION DE OTROS ARTICULOS DE LANA</t>
  </si>
  <si>
    <t>226-FABRICACION DE OTROS ARTICULOS DE LANA</t>
  </si>
  <si>
    <t>FABRICACION DE OTROS ARTICULOS DE LATON</t>
  </si>
  <si>
    <t>494-FABRICACION DE OTROS ARTICULOS DE LATON</t>
  </si>
  <si>
    <t>FABRICACION DE OTROS ARTICULOS DE MADERA</t>
  </si>
  <si>
    <t>316-FABRICACION DE OTROS ARTICULOS DE MADERA</t>
  </si>
  <si>
    <t>FABRICACION DE OTROS ARTICULOS DE METAL NO CLASIFICADOS EN OTRA PARTE</t>
  </si>
  <si>
    <t>495-FABRICACION DE OTROS ARTICULOS DE METAL NO CLASIFICADOS EN OTRA PARTE</t>
  </si>
  <si>
    <t>FABRICACION DE OTROS ARTICULOS DE PAPEL</t>
  </si>
  <si>
    <t>331-FABRICACION DE OTROS ARTICULOS DE PAPEL</t>
  </si>
  <si>
    <t>FABRICACION DE OTROS ARTICULOS DE PLASTICO</t>
  </si>
  <si>
    <t>403-FABRICACION DE OTROS ARTICULOS DE PLASTICO</t>
  </si>
  <si>
    <t>FABRICACION DE OTROS ARTICULOS DE PLUMA DE AVE</t>
  </si>
  <si>
    <t>598-FABRICACION DE OTROS ARTICULOS DE PLUMA DE AVE</t>
  </si>
  <si>
    <t>FABRICACION DE OTROS ARTICULOS PARA DEPORTES</t>
  </si>
  <si>
    <t>574-FABRICACION DE OTROS ARTICULOS PARA DEPORTES</t>
  </si>
  <si>
    <t>FABRICACION DE OTROS ENVASES DE VIDRIO</t>
  </si>
  <si>
    <t>413-FABRICACION DE OTROS ENVASES DE VIDRIO</t>
  </si>
  <si>
    <t>FABRICACION DE OTROS EXPLOSIVOS</t>
  </si>
  <si>
    <t>382-FABRICACION DE OTROS EXPLOSIVOS</t>
  </si>
  <si>
    <t>FABRICACION DE OTROS HILADOS Y TEJIDOS NO SINTETICOS</t>
  </si>
  <si>
    <t>221-FABRICACION DE OTROS HILADOS Y TEJIDOS NO SINTETICOS</t>
  </si>
  <si>
    <t>FABRICACION DE OTROS INSTRUMENTOS DE MEDICION</t>
  </si>
  <si>
    <t>575-FABRICACION DE OTROS INSTRUMENTOS DE MEDICION</t>
  </si>
  <si>
    <t>FABRICACION DE OTROS JUGUETES DE PLASTICO</t>
  </si>
  <si>
    <t>399-FABRICACION DE OTROS JUGUETES DE PLASTICO</t>
  </si>
  <si>
    <t>FABRICACION DE OTROS MATERIALES DE PLASTICO</t>
  </si>
  <si>
    <t>404-FABRICACION DE OTROS MATERIALES DE PLASTICO</t>
  </si>
  <si>
    <t>FABRICACION DE OTROS MUEBLES DE METAL</t>
  </si>
  <si>
    <t>456-FABRICACION DE OTROS MUEBLES DE METAL</t>
  </si>
  <si>
    <t>FABRICACION DE OTROS OBJETOS DE CRISTAL</t>
  </si>
  <si>
    <t>418-FABRICACION DE OTROS OBJETOS DE CRISTAL</t>
  </si>
  <si>
    <t>FABRICACION DE OTROS PREPARADOS ALIMENTICIOS DERIVADOS DE CEREALES</t>
  </si>
  <si>
    <t>187-FABRICACION DE OTROS PREPARADOS ALIMENTICIOS DERIVADOS DE CEREALES</t>
  </si>
  <si>
    <t>FABRICACION DE OTROS PRODUCTOS FARMACEUTICOS Y MEDICAMENTOS</t>
  </si>
  <si>
    <t>362-FABRICACION DE OTROS PRODUCTOS FARMACEUTICOS Y MEDICAMENTOS</t>
  </si>
  <si>
    <t>FABRICACION DE OXIGENO MEDICINAL</t>
  </si>
  <si>
    <t>363-FABRICACION DE OXIGENO MEDICINAL</t>
  </si>
  <si>
    <t>FABRICACION DE PAN Y PASTELES</t>
  </si>
  <si>
    <t>147-FABRICACION DE PAN Y PASTELES</t>
  </si>
  <si>
    <t>FABRICACION DE PAÑUELOS PAÑOLETAS Y MASCADAS</t>
  </si>
  <si>
    <t>273-FABRICACION DE PAÑUELOS PAÑOLETAS Y MASCADAS</t>
  </si>
  <si>
    <t>FABRICACION DE PAPEL</t>
  </si>
  <si>
    <t>323-FABRICACION DE PAPEL</t>
  </si>
  <si>
    <t>FABRICACION DE PAPEL PARA CIGARROS</t>
  </si>
  <si>
    <t>324-FABRICACION DE PAPEL PARA CIGARROS</t>
  </si>
  <si>
    <t>FABRICACION DE PARTES DISPOSITIVOS Y ACCESORIOS PARA EQUIPO Y APARATOS DE RADIO, TELEVISION Y COMUNICACIONES</t>
  </si>
  <si>
    <t>531-FABRICACION DE PARTES DISPOSITIVOS Y ACCESORIOS PARA EQUIPO Y APARATOS DE RADIO, TELEVISION Y COMUNICACIONES</t>
  </si>
  <si>
    <t>FABRICACION DE PARTES PARA EL SISTEMA DE FRENOS DE VEHICULOS AUTOMOVILES</t>
  </si>
  <si>
    <t>548-FABRICACION DE PARTES PARA EL SISTEMA DE FRENOS DE VEHICULOS AUTOMOVILES</t>
  </si>
  <si>
    <t>FABRICACION DE PARTES PARA EL SISTEMA DE TRANSMISION DE VEHICULOS AUTOMOVILES</t>
  </si>
  <si>
    <t>546-FABRICACION DE PARTES PARA EL SISTEMA DE TRANSMISION DE VEHICULOS AUTOMOVILES</t>
  </si>
  <si>
    <t>FABRICACION DE PARTES REFACCIONES Y ACCESORIOS PARA MOTOCICLETAS BICICLETAS Y OTROS VEHICULOS DE PEDAL</t>
  </si>
  <si>
    <t>556-FABRICACION DE PARTES REFACCIONES Y ACCESORIOS PARA MOTOCICLETAS BICICLETAS Y OTROS VEHICULOS DE PEDAL</t>
  </si>
  <si>
    <t>FABRICACION DE PASADORES Y HORQUILLAS</t>
  </si>
  <si>
    <t>496-FABRICACION DE PASADORES Y HORQUILLAS</t>
  </si>
  <si>
    <t>FABRICACION DE PASTA DE CELULOSA</t>
  </si>
  <si>
    <t>325-FABRICACION DE PASTA DE CELULOSA</t>
  </si>
  <si>
    <t>FABRICACION DE PASTA O PULPA PARA PAPEL</t>
  </si>
  <si>
    <t>326-FABRICACION DE PASTA O PULPA PARA PAPEL</t>
  </si>
  <si>
    <t>FABRICACION DE PASTAS ALIMENTICIAS</t>
  </si>
  <si>
    <t>150-FABRICACION DE PASTAS ALIMENTICIAS</t>
  </si>
  <si>
    <t>FABRICACION DE PASTAS PARA GUISOS</t>
  </si>
  <si>
    <t>195-FABRICACION DE PASTAS PARA GUISOS</t>
  </si>
  <si>
    <t>FABRICACION DE PEINES PEINETAS Y CEPILLOS PARA USO PERSONAL</t>
  </si>
  <si>
    <t>405-FABRICACION DE PEINES PEINETAS Y CEPILLOS PARA USO PERSONAL</t>
  </si>
  <si>
    <t>FABRICACION DE PERFILES PUERTAS Y VENTANAS DE METAL</t>
  </si>
  <si>
    <t>471-FABRICACION DE PERFILES PUERTAS Y VENTANAS DE METAL</t>
  </si>
  <si>
    <t>FABRICACION DE PERFUMES Y COSMETICOS</t>
  </si>
  <si>
    <t>366-FABRICACION DE PERFUMES Y COSMETICOS</t>
  </si>
  <si>
    <t>FABRICACION DE PERSIANAS DE MADERA</t>
  </si>
  <si>
    <t>319-FABRICACION DE PERSIANAS DE MADERA</t>
  </si>
  <si>
    <t>FABRICACION DE PIELES ARTIFICIALES</t>
  </si>
  <si>
    <t>406-FABRICACION DE PIELES ARTIFICIALES</t>
  </si>
  <si>
    <t>FABRICACION DE PIEZAS METALICAS POR FUNDICION Y MOLDEO EXCEPTO PARA MAQUINARIA EQUIPO Y MATERIAL DE TRANSPORTE</t>
  </si>
  <si>
    <t>485-FABRICACION DE PIEZAS METALICAS POR FUNDICION Y MOLDEO EXCEPTO PARA MAQUINARIA EQUIPO Y MATERIAL DE TRANSPORTE</t>
  </si>
  <si>
    <t>FABRICACION DE PILAS</t>
  </si>
  <si>
    <t>533-FABRICACION DE PILAS</t>
  </si>
  <si>
    <t>FABRICACION DE PILONCILLO</t>
  </si>
  <si>
    <t>159-FABRICACION DE PILONCILLO</t>
  </si>
  <si>
    <t>FABRICACION DE PINTURAS, BARNICES Y LACAS</t>
  </si>
  <si>
    <t>368-FABRICACION DE PINTURAS, BARNICES Y LACAS</t>
  </si>
  <si>
    <t>FABRICACION DE PISTONES BIELAS ANILLOS CIGUEÑALES Y MONOBLOCKS PARA MOTORES</t>
  </si>
  <si>
    <t>545-FABRICACION DE PISTONES BIELAS ANILLOS CIGUEÑALES Y MONOBLOCKS PARA MOTORES</t>
  </si>
  <si>
    <t>FABRICACION DE PIZARRONES</t>
  </si>
  <si>
    <t>587-FABRICACION DE PIZARRONES</t>
  </si>
  <si>
    <t>FABRICACION DE PLANCHAS INDUSTRIALES</t>
  </si>
  <si>
    <t>497-FABRICACION DE PLANCHAS INDUSTRIALES</t>
  </si>
  <si>
    <t>FABRICACION DE POLVORA</t>
  </si>
  <si>
    <t>383-FABRICACION DE POLVORA</t>
  </si>
  <si>
    <t>FABRICACION DE POSTES Y DURMIENTES DE CONCRETO</t>
  </si>
  <si>
    <t>441-FABRICACION DE POSTES Y DURMIENTES DE CONCRETO</t>
  </si>
  <si>
    <t>FABRICACION DE PRODUCTOS AMONIACALES</t>
  </si>
  <si>
    <t>356-FABRICACION DE PRODUCTOS AMONIACALES</t>
  </si>
  <si>
    <t>FABRICACION DE PRODUCTOS AMONIACALES (GOBIERNO)</t>
  </si>
  <si>
    <t>1010-FABRICACION DE PRODUCTOS AMONIACALES (GOBIERNO)</t>
  </si>
  <si>
    <t>FABRICACION DE PRODUCTOS MANUFACTURADOS NO CLASIFICADOS EN OTRA PARTE</t>
  </si>
  <si>
    <t>602-FABRICACION DE PRODUCTOS MANUFACTURADOS NO CLASIFICADOS EN OTRA PARTE</t>
  </si>
  <si>
    <t>FABRICACION DE PRODUCTOS PETROQUIMICOS BASICOS</t>
  </si>
  <si>
    <t>348-FABRICACION DE PRODUCTOS PETROQUIMICOS BASICOS</t>
  </si>
  <si>
    <t>FABRICACION DE PRODUCTOS PETROQUIMICOS BASICOS (GOBIERNO)</t>
  </si>
  <si>
    <t>1002-FABRICACION DE PRODUCTOS PETROQUIMICOS BASICOS (GOBIERNO)</t>
  </si>
  <si>
    <t>FABRICACION DE PRODUCTOS PIROTECNICOS</t>
  </si>
  <si>
    <t>384-FABRICACION DE PRODUCTOS PIROTECNICOS</t>
  </si>
  <si>
    <t>FABRICACION DE PRODUCTOS REFRACTARIOS</t>
  </si>
  <si>
    <t>431-FABRICACION DE PRODUCTOS REFRACTARIOS</t>
  </si>
  <si>
    <t>FABRICACION DE PUERTAS Y VENTANAS DE MADERA</t>
  </si>
  <si>
    <t>313-FABRICACION DE PUERTAS Y VENTANAS DE MADERA</t>
  </si>
  <si>
    <t>FABRICACION DE PUROS</t>
  </si>
  <si>
    <t>211-FABRICACION DE PUROS</t>
  </si>
  <si>
    <t>FABRICACION DE QUESO Y MIEL DE TUNA</t>
  </si>
  <si>
    <t>167-FABRICACION DE QUESO Y MIEL DE TUNA</t>
  </si>
  <si>
    <t>FABRICACION DE RADIOS TOCADISCOS GRABADORAS Y TELEVISORES</t>
  </si>
  <si>
    <t>526-FABRICACION DE RADIOS TOCADISCOS GRABADORAS Y TELEVISORES</t>
  </si>
  <si>
    <t>FABRICACION DE REBOZOS Y CINTURONES TEJIDOS DE HILO</t>
  </si>
  <si>
    <t>281-FABRICACION DE REBOZOS Y CINTURONES TEJIDOS DE HILO</t>
  </si>
  <si>
    <t>FABRICACION DE REFACCIONES PARA APARATOS ELECTRICOS</t>
  </si>
  <si>
    <t>537-FABRICACION DE REFACCIONES PARA APARATOS ELECTRICOS</t>
  </si>
  <si>
    <t>FABRICACION DE REFACCIONES Y ACCESORIOS AUTOMOTRICES</t>
  </si>
  <si>
    <t>550-FABRICACION DE REFACCIONES Y ACCESORIOS AUTOMOTRICES</t>
  </si>
  <si>
    <t>FABRICACION DE REFACCIONES Y MAQUINARIA INDUSTRIAL</t>
  </si>
  <si>
    <t>507-FABRICACION DE REFACCIONES Y MAQUINARIA INDUSTRIAL</t>
  </si>
  <si>
    <t>FABRICACION DE REFRESCOS DE FRUTAS NATURALES</t>
  </si>
  <si>
    <t>207-FABRICACION DE REFRESCOS DE FRUTAS NATURALES</t>
  </si>
  <si>
    <t>FABRICACION DE REFRIGERADORES Y EQUIPOS DE CALEFACCION DOMESTICA</t>
  </si>
  <si>
    <t>525-FABRICACION DE REFRIGERADORES Y EQUIPOS DE CALEFACCION DOMESTICA</t>
  </si>
  <si>
    <t>FABRICACION DE RELOJES</t>
  </si>
  <si>
    <t>564-FABRICACION DE RELOJES</t>
  </si>
  <si>
    <t>FABRICACION DE REMACHES</t>
  </si>
  <si>
    <t>463-FABRICACION DE REMACHES</t>
  </si>
  <si>
    <t>FABRICACION DE ROPA CON PIEL</t>
  </si>
  <si>
    <t>282-FABRICACION DE ROPA CON PIEL</t>
  </si>
  <si>
    <t>FABRICACION DE ROPA INTERIOR PARA CABALLERO</t>
  </si>
  <si>
    <t>284-FABRICACION DE ROPA INTERIOR PARA CABALLERO</t>
  </si>
  <si>
    <t>FABRICACION DE ROTULOS</t>
  </si>
  <si>
    <t>599-FABRICACION DE ROTULOS</t>
  </si>
  <si>
    <t>FABRICACION DE SABANAS</t>
  </si>
  <si>
    <t>250-FABRICACION DE SABANAS</t>
  </si>
  <si>
    <t>FABRICACION DE SACOS Y BOLSAS DE PAPEL PARA ENVASE</t>
  </si>
  <si>
    <t>328-FABRICACION DE SACOS Y BOLSAS DE PAPEL PARA ENVASE</t>
  </si>
  <si>
    <t>FABRICACION DE SALSAS</t>
  </si>
  <si>
    <t>145-FABRICACION DE SALSAS</t>
  </si>
  <si>
    <t>FABRICACION DE SARAPES Y COBIJAS</t>
  </si>
  <si>
    <t>223-FABRICACION DE SARAPES Y COBIJAS</t>
  </si>
  <si>
    <t>FABRICACION DE SELLOS DE GOMA</t>
  </si>
  <si>
    <t>588-FABRICACION DE SELLOS DE GOMA</t>
  </si>
  <si>
    <t>FABRICACION DE SELLOS PARA CARROS DE FERROCARRIL</t>
  </si>
  <si>
    <t>589-FABRICACION DE SELLOS PARA CARROS DE FERROCARRIL</t>
  </si>
  <si>
    <t>FABRICACION DE SIDRA, CHAMPAÑA Y OTRAS BEBIDAS FERMENTADAS, EXCEPTO LAS MALTEADAS</t>
  </si>
  <si>
    <t>202-FABRICACION DE SIDRA, CHAMPAÑA Y OTRAS BEBIDAS FERMENTADAS, EXCEPTO LAS MALTEADAS</t>
  </si>
  <si>
    <t>FABRICACION DE SOMBREROS DE PALMA</t>
  </si>
  <si>
    <t>276-FABRICACION DE SOMBREROS DE PALMA</t>
  </si>
  <si>
    <t>FABRICACION DE SOMBREROS EXCEPTO DE PALMA</t>
  </si>
  <si>
    <t>275-FABRICACION DE SOMBREROS EXCEPTO DE PALMA</t>
  </si>
  <si>
    <t>FABRICACION DE SOSA</t>
  </si>
  <si>
    <t>357-FABRICACION DE SOSA</t>
  </si>
  <si>
    <t>FABRICACION DE SOSA (GOBIERNO)</t>
  </si>
  <si>
    <t>1011-FABRICACION DE SOSA (GOBIERNO)</t>
  </si>
  <si>
    <t>FABRICACION DE SOTOL</t>
  </si>
  <si>
    <t>198-FABRICACION DE SOTOL</t>
  </si>
  <si>
    <t>FABRICACION DE SUETERES</t>
  </si>
  <si>
    <t>261-FABRICACION DE SUETERES</t>
  </si>
  <si>
    <t>FABRICACION DE TALCO INDUSTRIAL</t>
  </si>
  <si>
    <t>600-FABRICACION DE TALCO INDUSTRIAL</t>
  </si>
  <si>
    <t>FABRICACION DE TANQUES PARA ENVASADO DE GASES O LIQUIDOS</t>
  </si>
  <si>
    <t>458-FABRICACION DE TANQUES PARA ENVASADO DE GASES O LIQUIDOS</t>
  </si>
  <si>
    <t>FABRICACION DE TAPETES Y ALFOMBRAS</t>
  </si>
  <si>
    <t>244-FABRICACION DE TAPETES Y ALFOMBRAS</t>
  </si>
  <si>
    <t>FABRICACION DE TAPICES PLASTICOS</t>
  </si>
  <si>
    <t>253-FABRICACION DE TAPICES PLASTICOS</t>
  </si>
  <si>
    <t>FABRICACION DE TAPONES DE METAL</t>
  </si>
  <si>
    <t>498-FABRICACION DE TAPONES DE METAL</t>
  </si>
  <si>
    <t>FABRICACION DE TAXIMETROS</t>
  </si>
  <si>
    <t>580-FABRICACION DE TAXIMETROS</t>
  </si>
  <si>
    <t>FABRICACION DE TEJA Y TUBO DE ARCILLA</t>
  </si>
  <si>
    <t>429-FABRICACION DE TEJA Y TUBO DE ARCILLA</t>
  </si>
  <si>
    <t>FABRICACION DE TEJIDOS Y TORCIDOS DE IXTLE</t>
  </si>
  <si>
    <t>233-FABRICACION DE TEJIDOS Y TORCIDOS DE IXTLE</t>
  </si>
  <si>
    <t>FABRICACION DE TEJIDOS Y TORCIDOS DE PALMA</t>
  </si>
  <si>
    <t>232-FABRICACION DE TEJIDOS Y TORCIDOS DE PALMA</t>
  </si>
  <si>
    <t>FABRICACION DE TELAS ELASTICAS</t>
  </si>
  <si>
    <t>240-FABRICACION DE TELAS ELASTICAS</t>
  </si>
  <si>
    <t>FABRICACION DE TELAS IMPERMEABLES</t>
  </si>
  <si>
    <t>243-FABRICACION DE TELAS IMPERMEABLES</t>
  </si>
  <si>
    <t>FABRICACION DE TELAS PARA TAPICERIA</t>
  </si>
  <si>
    <t>245-FABRICACION DE TELAS PARA TAPICERIA</t>
  </si>
  <si>
    <t>FABRICACION DE TEQUILA Y MEZCAL</t>
  </si>
  <si>
    <t>196-FABRICACION DE TEQUILA Y MEZCAL</t>
  </si>
  <si>
    <t>FABRICACION DE TINACOS DE ASBESTO</t>
  </si>
  <si>
    <t>435-FABRICACION DE TINACOS DE ASBESTO</t>
  </si>
  <si>
    <t>FABRICACION DE TINTAS PARA IMPRESION</t>
  </si>
  <si>
    <t>379-FABRICACION DE TINTAS PARA IMPRESION</t>
  </si>
  <si>
    <t>FABRICACION DE TIPOS PARA IMPRENTA</t>
  </si>
  <si>
    <t>342-FABRICACION DE TIPOS PARA IMPRENTA</t>
  </si>
  <si>
    <t>FABRICACION DE TIRANTES</t>
  </si>
  <si>
    <t>279-FABRICACION DE TIRANTES</t>
  </si>
  <si>
    <t>FABRICACION DE TOALLAS</t>
  </si>
  <si>
    <t>236-FABRICACION DE TOALLAS</t>
  </si>
  <si>
    <t>FABRICACION DE TONELES Y BARRICAS DE MADERA</t>
  </si>
  <si>
    <t>306-FABRICACION DE TONELES Y BARRICAS DE MADERA</t>
  </si>
  <si>
    <t>FABRICACION DE TORNILLOS TUERCAS Y PIJAS</t>
  </si>
  <si>
    <t>464-FABRICACION DE TORNILLOS TUERCAS Y PIJAS</t>
  </si>
  <si>
    <t>FABRICACION DE TRAGALUCES Y MARQUESINAS</t>
  </si>
  <si>
    <t>601-FABRICACION DE TRAGALUCES Y MARQUESINAS</t>
  </si>
  <si>
    <t>FABRICACION DE TRAJES PARA CABALLERO</t>
  </si>
  <si>
    <t>266-FABRICACION DE TRAJES PARA CABALLERO</t>
  </si>
  <si>
    <t>FABRICACION DE TRIPLAY Y OTROS AGLOMERADOS DE MADERA</t>
  </si>
  <si>
    <t>304-FABRICACION DE TRIPLAY Y OTROS AGLOMERADOS DE MADERA</t>
  </si>
  <si>
    <t>FABRICACION DE TROQUELES</t>
  </si>
  <si>
    <t>499-FABRICACION DE TROQUELES</t>
  </si>
  <si>
    <t>FABRICACION DE TUBOS DE COBRE, PLOMO Y ALUMINIO</t>
  </si>
  <si>
    <t>486-FABRICACION DE TUBOS DE COBRE, PLOMO Y ALUMINIO</t>
  </si>
  <si>
    <t>FABRICACION DE TUBOS DE CONCRETO</t>
  </si>
  <si>
    <t>442-FABRICACION DE TUBOS DE CONCRETO</t>
  </si>
  <si>
    <t>FABRICACION DE TUBOS DE ESTAÑO</t>
  </si>
  <si>
    <t>451-FABRICACION DE TUBOS DE ESTAÑO</t>
  </si>
  <si>
    <t>FABRICACION DE TUBOS DE HIERRO Y ACERO</t>
  </si>
  <si>
    <t>448-FABRICACION DE TUBOS DE HIERRO Y ACERO</t>
  </si>
  <si>
    <t>FABRICACION DE UNIFORMES</t>
  </si>
  <si>
    <t>268-FABRICACION DE UNIFORMES</t>
  </si>
  <si>
    <t>FABRICACION DE UTENSILIOS AGRICOLAS Y HERRAMIENTAS DE MANO</t>
  </si>
  <si>
    <t>462-FABRICACION DE UTENSILIOS AGRICOLAS Y HERRAMIENTAS DE MANO</t>
  </si>
  <si>
    <t>FABRICACION DE VAJILLAS Y OTROS PRODUCTOS DE ALFARERIA Y CERAMICA   PARA EL HOGAR</t>
  </si>
  <si>
    <t>422-FABRICACION DE VAJILLAS Y OTROS PRODUCTOS DE ALFARERIA Y CERAMICA   PARA EL HOGAR</t>
  </si>
  <si>
    <t>FABRICACION DE VALVULAS DE METAL</t>
  </si>
  <si>
    <t>517-FABRICACION DE VALVULAS DE METAL</t>
  </si>
  <si>
    <t>FABRICACION DE VELAS VELADORAS Y CIRIOS</t>
  </si>
  <si>
    <t>560-FABRICACION DE VELAS VELADORAS Y CIRIOS</t>
  </si>
  <si>
    <t>FABRICACION DE VESTIDOS Y OTRAS PRENDAS EXTERIORES DE VESTIR PARA DAMA</t>
  </si>
  <si>
    <t>263-FABRICACION DE VESTIDOS Y OTRAS PRENDAS EXTERIORES DE VESTIR PARA DAMA</t>
  </si>
  <si>
    <t>FABRICACION DE VIDRIO</t>
  </si>
  <si>
    <t>407-FABRICACION DE VIDRIO</t>
  </si>
  <si>
    <t>FABRICACION DE VINAGRE</t>
  </si>
  <si>
    <t>188-FABRICACION DE VINAGRE</t>
  </si>
  <si>
    <t>FABRICACION DE VINOS Y OTROS LICORES</t>
  </si>
  <si>
    <t>200-FABRICACION DE VINOS Y OTROS LICORES</t>
  </si>
  <si>
    <t>FABRICACION DE YESO</t>
  </si>
  <si>
    <t>433-FABRICACION DE YESO</t>
  </si>
  <si>
    <t>FABRICACION E INSTALACION DE EQUIPOS Y APARATOS DE AIRE ACONDICIONADO CALEFACCION Y REFRIGERACION</t>
  </si>
  <si>
    <t>519-FABRICACION E INSTALACION DE EQUIPOS Y APARATOS DE AIRE ACONDICIONADO CALEFACCION Y REFRIGERACION</t>
  </si>
  <si>
    <t>FABRICACION ENSAMBLE Y REPARACION DE AERONAVES</t>
  </si>
  <si>
    <t>554-FABRICACION ENSAMBLE Y REPARACION DE AERONAVES</t>
  </si>
  <si>
    <t>FABRICACION ENSAMBLE Y REPARACION DE CARROS DE FERROCARRIL Y OTRO  EQUIPO FERROVIARIO</t>
  </si>
  <si>
    <t>551-FABRICACION ENSAMBLE Y REPARACION DE CARROS DE FERROCARRIL Y OTRO  EQUIPO FERROVIARIO</t>
  </si>
  <si>
    <t>FABRICACION ENSAMBLE Y REPARACION DE GRUAS MONTACARGAS Y OTRAS MAQUIMAQUINAS PARA TRANSPORTAR O LEVANTAR</t>
  </si>
  <si>
    <t>513-FABRICACION ENSAMBLE Y REPARACION DE GRUAS MONTACARGAS Y OTRAS MAQUIMAQUINAS PARA TRANSPORTAR O LEVANTAR</t>
  </si>
  <si>
    <t>FABRICACION ENSAMBLE Y REPARACION DE MAQUINARIA EQUIPO Y TRACTORES  PARA LAS INDUSTRIAS EXTRACTIVAS Y DE TRANSFORMACIÓN</t>
  </si>
  <si>
    <t>509-FABRICACION ENSAMBLE Y REPARACION DE MAQUINARIA EQUIPO Y TRACTORES  PARA LAS INDUSTRIAS EXTRACTIVAS Y DE TRANSFORMACIÓN</t>
  </si>
  <si>
    <t>FABRICACION ENSAMBLE Y REPARACION DE MAQUINARIA Y EQUIPO PARA LA INDUSTRIA DE ALIMENTOS Y BEBIDAS</t>
  </si>
  <si>
    <t>508-FABRICACION ENSAMBLE Y REPARACION DE MAQUINARIA Y EQUIPO PARA LA INDUSTRIA DE ALIMENTOS Y BEBIDAS</t>
  </si>
  <si>
    <t>FABRICACION ENSAMBLE Y REPARACION DE MOTORES NO ELECTRICOS EXCEPTO  PARA VEHICULOS AUTOMOVILES</t>
  </si>
  <si>
    <t>514-FABRICACION ENSAMBLE Y REPARACION DE MOTORES NO ELECTRICOS EXCEPTO  PARA VEHICULOS AUTOMOVILES</t>
  </si>
  <si>
    <t>FABRICACION ENSAMBLE Y REPARACION DE TRANSFORMADORES MOTORES Y MAQUINARIA Y EQUIPO PARA GENERACION DE ENERGIA</t>
  </si>
  <si>
    <t xml:space="preserve"> MAQUINARIA Y APARATOS ELECTRICOS</t>
  </si>
  <si>
    <t>523-FABRICACION ENSAMBLE Y REPARACION DE TRANSFORMADORES MOTORES Y MAQUINARIA Y EQUIPO PARA GENERACION DE ENERGIA</t>
  </si>
  <si>
    <t>FABRICACION ENSAMBLE Y REPARACION DE VEHICULOS DE USO AGROPECUARIO</t>
  </si>
  <si>
    <t>504-FABRICACION ENSAMBLE Y REPARACION DE VEHICULOS DE USO AGROPECUARIO</t>
  </si>
  <si>
    <t>FABRICACION Y ENSAMBLE DE AUTOMOVILES Y CAMIONES</t>
  </si>
  <si>
    <t xml:space="preserve"> VEHICULOS Y AUTOMOVILES</t>
  </si>
  <si>
    <t>541-FABRICACION Y ENSAMBLE DE AUTOMOVILES Y CAMIONES</t>
  </si>
  <si>
    <t>FABRICACIÓN Y ENSAMBLE DE EQUIPOS DE CÓMPUTO</t>
  </si>
  <si>
    <t>530-FABRICACIÓN Y ENSAMBLE DE EQUIPOS DE CÓMPUTO</t>
  </si>
  <si>
    <t>FABRICACION Y ENSAMBLE DE MOTOCICLETAS BICICLETAS Y OTROS VEHICULOS DE PEDAL</t>
  </si>
  <si>
    <t>555-FABRICACION Y ENSAMBLE DE MOTOCICLETAS BICICLETAS Y OTROS VEHICULOS DE PEDAL</t>
  </si>
  <si>
    <t>FABRICACION Y ENSAMBLE DE OTROS VEHICULOS</t>
  </si>
  <si>
    <t>544-FABRICACION Y ENSAMBLE DE OTROS VEHICULOS</t>
  </si>
  <si>
    <t>FABRICACION Y REFINACION DE SEBO GRASAS Y ACEITES ANIMALES PARA USO INDUSTRIAL</t>
  </si>
  <si>
    <t>370-FABRICACION Y REFINACION DE SEBO GRASAS Y ACEITES ANIMALES PARA USO INDUSTRIAL</t>
  </si>
  <si>
    <t>FABRICACION Y REHIDRATACION DE LECHE</t>
  </si>
  <si>
    <t>133-FABRICACION Y REHIDRATACION DE LECHE</t>
  </si>
  <si>
    <t>FABRICACION Y REPARACION DE APARATOS ORTOPEDICOS</t>
  </si>
  <si>
    <t>581-FABRICACION Y REPARACION DE APARATOS ORTOPEDICOS</t>
  </si>
  <si>
    <t>FABRICACION Y REPARACION DE ARTICULOS DE OPTICA</t>
  </si>
  <si>
    <t>561-FABRICACION Y REPARACION DE ARTICULOS DE OPTICA</t>
  </si>
  <si>
    <t>FABRICACION Y REPARACION DE BASCULAS Y BALANZAS</t>
  </si>
  <si>
    <t>576-FABRICACION Y REPARACION DE BASCULAS Y BALANZAS</t>
  </si>
  <si>
    <t>FABRICACION Y REPARACION DE BUQUES Y BARCOS</t>
  </si>
  <si>
    <t>552-FABRICACION Y REPARACION DE BUQUES Y BARCOS</t>
  </si>
  <si>
    <t>FABRICACION Y REPARACION DE INSTRUMENTOS DE CIRUGIA</t>
  </si>
  <si>
    <t>582-FABRICACION Y REPARACION DE INSTRUMENTOS DE CIRUGIA</t>
  </si>
  <si>
    <t>FABRICACION Y REPARACION DE INSTRUMENTOS DE INGENIERIA</t>
  </si>
  <si>
    <t>578-FABRICACION Y REPARACION DE INSTRUMENTOS DE INGENIERIA</t>
  </si>
  <si>
    <t>FABRICACION Y REPARACION DE INSTRUMENTOS MUSICALES</t>
  </si>
  <si>
    <t>571-FABRICACION Y REPARACION DE INSTRUMENTOS MUSICALES</t>
  </si>
  <si>
    <t>FABRICACION Y REPARACION DE INTRUMENTOS DE FISICA Y QUIMICA</t>
  </si>
  <si>
    <t>577-FABRICACION Y REPARACION DE INTRUMENTOS DE FISICA Y QUIMICA</t>
  </si>
  <si>
    <t>FABRICACION Y REPARACION DE OTROS VEHICULOS ACUATICOS</t>
  </si>
  <si>
    <t>553-FABRICACION Y REPARACION DE OTROS VEHICULOS ACUATICOS</t>
  </si>
  <si>
    <t>FACTORING</t>
  </si>
  <si>
    <t>849-FACTORING</t>
  </si>
  <si>
    <t>FEDERACIONES Y ASOCIACIONES DEPORTIVAS Y OTRAS CON FINES RECREATIVOS</t>
  </si>
  <si>
    <t>944-FEDERACIONES Y ASOCIACIONES DEPORTIVAS Y OTRAS CON FINES RECREATIVOS</t>
  </si>
  <si>
    <t>FERROCARRILES</t>
  </si>
  <si>
    <t>820-FERROCARRILES</t>
  </si>
  <si>
    <t>FERROCARRILES (GOBIERNO)</t>
  </si>
  <si>
    <t>1025-FERROCARRILES (GOBIERNO)</t>
  </si>
  <si>
    <t>FORMACION DE PRADERAS Y POTREROS ARTIFICIALES</t>
  </si>
  <si>
    <t>79-FORMACION DE PRADERAS Y POTREROS ARTIFICIALES</t>
  </si>
  <si>
    <t>FORRADO DE BOTONES Y HEBILLAS</t>
  </si>
  <si>
    <t>256-FORRADO DE BOTONES Y HEBILLAS</t>
  </si>
  <si>
    <t>FOTOCOPIADO</t>
  </si>
  <si>
    <t>337-FOTOCOPIADO</t>
  </si>
  <si>
    <t>FUNDICION DE FIERRO Y ACERO</t>
  </si>
  <si>
    <t>444-FUNDICION DE FIERRO Y ACERO</t>
  </si>
  <si>
    <t>FUNDICION DE METALES NO FERRUGINOSOS</t>
  </si>
  <si>
    <t>453-FUNDICION DE METALES NO FERRUGINOSOS</t>
  </si>
  <si>
    <t>FUNDICION LAMINACION EXTRUSION Y ESTIRAJE DE ALUMINIO Y FABRICACION DE SOLDADURAS ALUMINOTERMICAS</t>
  </si>
  <si>
    <t>450-FUNDICION LAMINACION EXTRUSION Y ESTIRAJE DE ALUMINIO Y FABRICACION DE SOLDADURAS ALUMINOTERMICAS</t>
  </si>
  <si>
    <t>FUNDICION REFINACION LAMINACION EXTRUSION Y ESTIRAJE DE COBRE Y SUS ALEACIONES</t>
  </si>
  <si>
    <t>449-FUNDICION REFINACION LAMINACION EXTRUSION Y ESTIRAJE DE COBRE Y SUS ALEACIONES</t>
  </si>
  <si>
    <t>GALERIAS DE ARTES GRAFICAS Y MUSEOS</t>
  </si>
  <si>
    <t>943-GALERIAS DE ARTES GRAFICAS Y MUSEOS</t>
  </si>
  <si>
    <t>GALVANIZACION DE LAMINA</t>
  </si>
  <si>
    <t>480-GALVANIZACION DE LAMINA</t>
  </si>
  <si>
    <t>GALVANIZACION DE TUBERIA</t>
  </si>
  <si>
    <t>481-GALVANIZACION DE TUBERIA</t>
  </si>
  <si>
    <t>GENERACION Y SUMINISTRO DE ENERGIA ELECTRICA</t>
  </si>
  <si>
    <t>631-GENERACION Y SUMINISTRO DE ENERGIA ELECTRICA</t>
  </si>
  <si>
    <t>GENERACION Y SUMINISTRO DE ENERGIA ELECTRICA (GOBIERNO)</t>
  </si>
  <si>
    <t>1012-GENERACION Y SUMINISTRO DE ENERGIA ELECTRICA (GOBIERNO)</t>
  </si>
  <si>
    <t>GOBIERNO ESTATAL</t>
  </si>
  <si>
    <t>995-GOBIERNO ESTATAL</t>
  </si>
  <si>
    <t>GOBIERNO EXTRANJERO</t>
  </si>
  <si>
    <t>1059-GOBIERNO EXTRANJERO</t>
  </si>
  <si>
    <t>GOBIERNO FEDERAL</t>
  </si>
  <si>
    <t xml:space="preserve"> GOBIERNO FEDERAL</t>
  </si>
  <si>
    <t>994-GOBIERNO FEDERAL</t>
  </si>
  <si>
    <t>GOBIERNO MUNICIPAL</t>
  </si>
  <si>
    <t xml:space="preserve"> GOBIERNOS MUNICIPALES</t>
  </si>
  <si>
    <t>997-GOBIERNO MUNICIPAL</t>
  </si>
  <si>
    <t>GRABACION DE DISCOS Y CINTAS</t>
  </si>
  <si>
    <t>528-GRABACION DE DISCOS Y CINTAS</t>
  </si>
  <si>
    <t>GRABACION DE SONIDO EN PELICULAS</t>
  </si>
  <si>
    <t>927-GRABACION DE SONIDO EN PELICULAS</t>
  </si>
  <si>
    <t>GRABADO E IMPRESION EN PIEDRA, VIDRIO Y OTROS MATERIALES LITOGRAFIA Y FOTOLITOGRAFIA</t>
  </si>
  <si>
    <t>343-GRABADO E IMPRESION EN PIEDRA, VIDRIO Y OTROS MATERIALES LITOGRAFIA Y FOTOLITOGRAFIA</t>
  </si>
  <si>
    <t>GRABADO E IMPRESION FOTOMECANICA MEDIANTE AGUA FUERTE(HELIOGRABADO)</t>
  </si>
  <si>
    <t>344-GRABADO E IMPRESION FOTOMECANICA MEDIANTE AGUA FUERTE(HELIOGRABADO)</t>
  </si>
  <si>
    <t>GRABADO EN METAL (FABRICACION DE CLICHES Y FOTOGRABADO)</t>
  </si>
  <si>
    <t>345-GRABADO EN METAL (FABRICACION DE CLICHES Y FOTOGRABADO)</t>
  </si>
  <si>
    <t>HIDROGENADORA DE PRODUCTOS DIVERSOS</t>
  </si>
  <si>
    <t>371-HIDROGENADORA DE PRODUCTOS DIVERSOS</t>
  </si>
  <si>
    <t>HIPODROMO</t>
  </si>
  <si>
    <t>938-HIPODROMO</t>
  </si>
  <si>
    <t>HORNO DE CAL</t>
  </si>
  <si>
    <t>434-HORNO DE CAL</t>
  </si>
  <si>
    <t>HOSPITALES, SANATORIOS, CLINICAS Y MATERNIDADES</t>
  </si>
  <si>
    <t>913-HOSPITALES, SANATORIOS, CLINICAS Y MATERNIDADES</t>
  </si>
  <si>
    <t>HOSPITALES, SANATORIOS, CLINICAS Y MATERNIDADES (GOBIERNO)</t>
  </si>
  <si>
    <t>1049-HOSPITALES, SANATORIOS, CLINICAS Y MATERNIDADES (GOBIERNO)</t>
  </si>
  <si>
    <t>HOTEL</t>
  </si>
  <si>
    <t>798-HOTEL</t>
  </si>
  <si>
    <t>IMPERMEABILIZACION DE INMUEBLES</t>
  </si>
  <si>
    <t>623-IMPERMEABILIZACION DE INMUEBLES</t>
  </si>
  <si>
    <t>IMPRENTA ( TIPOGRAFIA )</t>
  </si>
  <si>
    <t>338-IMPRENTA ( TIPOGRAFIA )</t>
  </si>
  <si>
    <t>IMPRESION MEDIANTE CILINDROS (ROTOGRABADO)</t>
  </si>
  <si>
    <t>340-IMPRESION MEDIANTE CILINDROS (ROTOGRABADO)</t>
  </si>
  <si>
    <t>IMPRESION MEDIANTE CILINDROS DE CAUCHO</t>
  </si>
  <si>
    <t>339-IMPRESION MEDIANTE CILINDROS DE CAUCHO</t>
  </si>
  <si>
    <t>INDUSTRIALIZACION DE BASURA</t>
  </si>
  <si>
    <t>388-INDUSTRIALIZACION DE BASURA</t>
  </si>
  <si>
    <t>INGENIO AZUCARERO</t>
  </si>
  <si>
    <t>158-INGENIO AZUCARERO</t>
  </si>
  <si>
    <t>INSEMINACION ARTIFICIAL Y OTROS SERVICIOS DE GANADERIA</t>
  </si>
  <si>
    <t>80-INSEMINACION ARTIFICIAL Y OTROS SERVICIOS DE GANADERIA</t>
  </si>
  <si>
    <t>INSTALACIÓN, VENTA Y SERVICIOS DE TELEVISIÓN POR CABLE Y/O TELEVISIÓN SATELITAL</t>
  </si>
  <si>
    <t>936-INSTALACIÓN, VENTA Y SERVICIOS DE TELEVISIÓN POR CABLE Y/O TELEVISIÓN SATELITAL</t>
  </si>
  <si>
    <t>INSTALACIONES DE SISTEMAS DE AIRE ACONDICIONADO Y CALEFACCION Y OTRAS INSTALACIONES ANALOGAS</t>
  </si>
  <si>
    <t>626-INSTALACIONES DE SISTEMAS DE AIRE ACONDICIONADO Y CALEFACCION Y OTRAS INSTALACIONES ANALOGAS</t>
  </si>
  <si>
    <t>INSTALACIONES DEL SISTEMA ELECTRICO INCLUYE SISTEMAS DE INTERCOMUNICACION</t>
  </si>
  <si>
    <t>625-INSTALACIONES DEL SISTEMA ELECTRICO INCLUYE SISTEMAS DE INTERCOMUNICACION</t>
  </si>
  <si>
    <t>INSTITUCIONES FINANCIERAS DEL EXTRANJERO</t>
  </si>
  <si>
    <t>1057-INSTITUCIONES FINANCIERAS DEL EXTRANJERO</t>
  </si>
  <si>
    <t>INVERSIONISTA</t>
  </si>
  <si>
    <t>855-INVERSIONISTA</t>
  </si>
  <si>
    <t>INVERSIONISTA (GOBIERNO)</t>
  </si>
  <si>
    <t>873-INVERSIONISTA (GOBIERNO)</t>
  </si>
  <si>
    <t>IRRIGACION DE TIERRAS</t>
  </si>
  <si>
    <t>62-IRRIGACION DE TIERRAS</t>
  </si>
  <si>
    <t>JUBILADO</t>
  </si>
  <si>
    <t>1067-JUBILADO</t>
  </si>
  <si>
    <t>JUEGOS DE FERIA</t>
  </si>
  <si>
    <t>945-JUEGOS DE FERIA</t>
  </si>
  <si>
    <t>LABORATORIOS CINEMATOGRAFICOS</t>
  </si>
  <si>
    <t>928-LABORATORIOS CINEMATOGRAFICOS</t>
  </si>
  <si>
    <t>LABORATORIOS DE ANALISIS CLINICOS</t>
  </si>
  <si>
    <t>916-LABORATORIOS DE ANALISIS CLINICOS</t>
  </si>
  <si>
    <t>LABORATORIOS DE ANALISIS CLINICOS (GOBIERNO)</t>
  </si>
  <si>
    <t>1052-LABORATORIOS DE ANALISIS CLINICOS (GOBIERNO)</t>
  </si>
  <si>
    <t>LABRADO Y COLOCACION DE PIEDRA</t>
  </si>
  <si>
    <t>628-LABRADO Y COLOCACION DE PIEDRA</t>
  </si>
  <si>
    <t>LAVANDERIA</t>
  </si>
  <si>
    <t>973-LAVANDERIA</t>
  </si>
  <si>
    <t>MOLINO DE ARROZ</t>
  </si>
  <si>
    <t>168-MOLINO DE ARROZ</t>
  </si>
  <si>
    <t>MOLINO DE AVENA</t>
  </si>
  <si>
    <t>173-MOLINO DE AVENA</t>
  </si>
  <si>
    <t>MOLINO DE CEBADA</t>
  </si>
  <si>
    <t>174-MOLINO DE CEBADA</t>
  </si>
  <si>
    <t>MOLINO DE MAIZ</t>
  </si>
  <si>
    <t xml:space="preserve"> MOLIENDA DE NIXTAMAL Y PRODUCTOS DE MAIZ</t>
  </si>
  <si>
    <t>151-MOLINO DE MAIZ</t>
  </si>
  <si>
    <t>MOLINO DE NIXTAMAL</t>
  </si>
  <si>
    <t>152-MOLINO DE NIXTAMAL</t>
  </si>
  <si>
    <t>MOLINO DE OTROS CEREALES</t>
  </si>
  <si>
    <t>175-MOLINO DE OTROS CEREALES</t>
  </si>
  <si>
    <t>MOLINO DE TRIGO</t>
  </si>
  <si>
    <t>146-MOLINO DE TRIGO</t>
  </si>
  <si>
    <t>MOLINO PARA OTROS GRANOS EXCEPTO CEREALES</t>
  </si>
  <si>
    <t>172-MOLINO PARA OTROS GRANOS EXCEPTO CEREALES</t>
  </si>
  <si>
    <t>MOLINO Y TOSTADOR DE CAFE</t>
  </si>
  <si>
    <t>155-MOLINO Y TOSTADOR DE CAFE</t>
  </si>
  <si>
    <t>MONTEPIO</t>
  </si>
  <si>
    <t>861-MONTEPIO</t>
  </si>
  <si>
    <t>MONTEPIO (GOBIERNO)</t>
  </si>
  <si>
    <t>880-MONTEPIO (GOBIERNO)</t>
  </si>
  <si>
    <t>NEVERIA Y REFRESQUERIA</t>
  </si>
  <si>
    <t>806-NEVERIA Y REFRESQUERIA</t>
  </si>
  <si>
    <t>ORFEBRERIA</t>
  </si>
  <si>
    <t>567-ORFEBRERIA</t>
  </si>
  <si>
    <t>ORGANIZACIONES CIVICAS</t>
  </si>
  <si>
    <t>990-ORGANIZACIONES CIVICAS</t>
  </si>
  <si>
    <t>ORGANIZACIONES DE ABOGADOS MEDICOS INGENIEROS Y OTRAS ASOCIACIONES DE PROFESIONALES</t>
  </si>
  <si>
    <t>989-ORGANIZACIONES DE ABOGADOS MEDICOS INGENIEROS Y OTRAS ASOCIACIONES DE PROFESIONALES</t>
  </si>
  <si>
    <t>ORGANIZACIONES LABORALES Y SINDICALES</t>
  </si>
  <si>
    <t>991-ORGANIZACIONES LABORALES Y SINDICALES</t>
  </si>
  <si>
    <t>ORGANIZACIONES POLITICAS</t>
  </si>
  <si>
    <t>992-ORGANIZACIONES POLITICAS</t>
  </si>
  <si>
    <t>ORGANIZACIONES RELIGIOSAS</t>
  </si>
  <si>
    <t>993-ORGANIZACIONES RELIGIOSAS</t>
  </si>
  <si>
    <t>OTROS SERVICIOS DE ACABADO PRESTADOS POR SUBCONTRATISTAS</t>
  </si>
  <si>
    <t>630-OTROS SERVICIOS DE ACABADO PRESTADOS POR SUBCONTRATISTAS</t>
  </si>
  <si>
    <t>PANTEON</t>
  </si>
  <si>
    <t>981-PANTEON</t>
  </si>
  <si>
    <t>PASTEURIZACION HOMOGENEIZACION Y ENVASADO DE LECHE</t>
  </si>
  <si>
    <t>134-PASTEURIZACION HOMOGENEIZACION Y ENVASADO DE LECHE</t>
  </si>
  <si>
    <t>PAVIMENTACION</t>
  </si>
  <si>
    <t>611-PAVIMENTACION</t>
  </si>
  <si>
    <t>PERFORACION DE NORIAS Y POZOS PARA AGUA</t>
  </si>
  <si>
    <t>617-PERFORACION DE NORIAS Y POZOS PARA AGUA</t>
  </si>
  <si>
    <t>PERFORACION DE POZOS PETROLEROS Y DE GAS</t>
  </si>
  <si>
    <t>619-PERFORACION DE POZOS PETROLEROS Y DE GAS</t>
  </si>
  <si>
    <t>PICADO DE TABACO</t>
  </si>
  <si>
    <t>212-PICADO DE TABACO</t>
  </si>
  <si>
    <t>PLANTA METALURGICA</t>
  </si>
  <si>
    <t>445-PLANTA METALURGICA</t>
  </si>
  <si>
    <t>PLANTACION Y REFORESTACION</t>
  </si>
  <si>
    <t>81-PLANTACION Y REFORESTACION</t>
  </si>
  <si>
    <t>PLAZA DE TOROS</t>
  </si>
  <si>
    <t>939-PLAZA DE TOROS</t>
  </si>
  <si>
    <t>PREMEZCLADO Y COLADO DE CONCRETO</t>
  </si>
  <si>
    <t>621-PREMEZCLADO Y COLADO DE CONCRETO</t>
  </si>
  <si>
    <t>PREPARACION DE TIERRAS DE CULTIVO Y OTROS SERVICIOS AGRICOLAS</t>
  </si>
  <si>
    <t>63-PREPARACION DE TIERRAS DE CULTIVO Y OTROS SERVICIOS AGRICOLAS</t>
  </si>
  <si>
    <t>PREPARACION DE VISCERAS PARA INDUSTRIAS NO ALIMENTICIAS</t>
  </si>
  <si>
    <t>290-PREPARACION DE VISCERAS PARA INDUSTRIAS NO ALIMENTICIAS</t>
  </si>
  <si>
    <t>PRESTACION DE OTROS SERVICIOS TECNICOS</t>
  </si>
  <si>
    <t>902-PRESTACION DE OTROS SERVICIOS TECNICOS</t>
  </si>
  <si>
    <t>PRESTACION DE SERVICIOS PUBLICOS Y SOCIALES</t>
  </si>
  <si>
    <t>1056-PRESTACION DE SERVICIOS PUBLICOS Y SOCIALES</t>
  </si>
  <si>
    <t>PRESTAMISTA</t>
  </si>
  <si>
    <t>862-PRESTAMISTA</t>
  </si>
  <si>
    <t>PRODUCCION DE PELICULAS</t>
  </si>
  <si>
    <t>929-PRODUCCION DE PELICULAS</t>
  </si>
  <si>
    <t>PROFESIONISTA INDEPENDIENTE</t>
  </si>
  <si>
    <t>1065-PROFESIONISTA INDEPENDIENTE</t>
  </si>
  <si>
    <t>PROMOCION DE ESPECTACULOS DEPORTIVOS</t>
  </si>
  <si>
    <t>940-PROMOCION DE ESPECTACULOS DEPORTIVOS</t>
  </si>
  <si>
    <t>PROMOCION DE ESPECTACULOS TAURINOS</t>
  </si>
  <si>
    <t>941-PROMOCION DE ESPECTACULOS TAURINOS</t>
  </si>
  <si>
    <t>PURIFICACION DE AGUA, EXCEPTO CAPTACION TRATAMIENTO CONDUCCION      Y DISTRIBUCION DE AGUA POTABLE</t>
  </si>
  <si>
    <t>208-PURIFICACION DE AGUA, EXCEPTO CAPTACION TRATAMIENTO CONDUCCION      Y DISTRIBUCION DE AGUA POTABLE</t>
  </si>
  <si>
    <t>QUEHACERES DEL HOGAR</t>
  </si>
  <si>
    <t>983-QUEHACERES DEL HOGAR</t>
  </si>
  <si>
    <t>RADIODIFUSORA</t>
  </si>
  <si>
    <t>932-RADIODIFUSORA</t>
  </si>
  <si>
    <t>RASTRO</t>
  </si>
  <si>
    <t>129-RASTRO</t>
  </si>
  <si>
    <t>RECOLECCION DE ALGAS Y OTRAS PLANTAS ACUATICAS</t>
  </si>
  <si>
    <t>104-RECOLECCION DE ALGAS Y OTRAS PLANTAS ACUATICAS</t>
  </si>
  <si>
    <t>RECOLECCION DE CONCHAS HUEVOS CORALES ESPONJAS Y PERLAS</t>
  </si>
  <si>
    <t>103-RECOLECCION DE CONCHAS HUEVOS CORALES ESPONJAS Y PERLAS</t>
  </si>
  <si>
    <t>REFINACION DE SAL</t>
  </si>
  <si>
    <t>189-REFINACION DE SAL</t>
  </si>
  <si>
    <t>REFRIGERACION DE CARNES</t>
  </si>
  <si>
    <t>132-REFRIGERACION DE CARNES</t>
  </si>
  <si>
    <t>REGENERACION DE HULE</t>
  </si>
  <si>
    <t>390-REGENERACION DE HULE</t>
  </si>
  <si>
    <t>RENTA DE VEHICULOS AEREOS</t>
  </si>
  <si>
    <t>840-RENTA DE VEHICULOS AEREOS</t>
  </si>
  <si>
    <t>RENTA DE VEHICULOS AEREOS (GOBIERNO)</t>
  </si>
  <si>
    <t>1045-RENTA DE VEHICULOS AEREOS (GOBIERNO)</t>
  </si>
  <si>
    <t>REPRESENTACION DE ARTISTAS</t>
  </si>
  <si>
    <t>897-REPRESENTACION DE ARTISTAS</t>
  </si>
  <si>
    <t>REPRESENTANTE CASAS EXTRANJERAS</t>
  </si>
  <si>
    <t>898-REPRESENTANTE CASAS EXTRANJERAS</t>
  </si>
  <si>
    <t>REPRESENTANTE CASAS NACIONALES</t>
  </si>
  <si>
    <t>899-REPRESENTANTE CASAS NACIONALES</t>
  </si>
  <si>
    <t>RESTAURANTE</t>
  </si>
  <si>
    <t>803-RESTAURANTE</t>
  </si>
  <si>
    <t>SALA DE CINE</t>
  </si>
  <si>
    <t>931-SALA DE CINE</t>
  </si>
  <si>
    <t>SALCHICHONERIA</t>
  </si>
  <si>
    <t>651-SALCHICHONERIA</t>
  </si>
  <si>
    <t>SALON DE BELLEZA</t>
  </si>
  <si>
    <t>972-SALON DE BELLEZA</t>
  </si>
  <si>
    <t>SALON DE BILLAR</t>
  </si>
  <si>
    <t>921-SALON DE BILLAR</t>
  </si>
  <si>
    <t>SALON DE BOLICHE</t>
  </si>
  <si>
    <t>922-SALON DE BOLICHE</t>
  </si>
  <si>
    <t>SALON DE FIESTAS</t>
  </si>
  <si>
    <t>903-SALON DE FIESTAS</t>
  </si>
  <si>
    <t>SERVICIO DE CORREDORES DE BIENES RAICES</t>
  </si>
  <si>
    <t>884-SERVICIO DE CORREDORES DE BIENES RAICES</t>
  </si>
  <si>
    <t>SERVICIO DE INVESTIGACION DE MERCADO, SOLVENCIA FINANCIERA DE PATENTES Y MARCAS INDUSTRIALES</t>
  </si>
  <si>
    <t>891-SERVICIO DE INVESTIGACION DE MERCADO, SOLVENCIA FINANCIERA DE PATENTES Y MARCAS INDUSTRIALES</t>
  </si>
  <si>
    <t>SERVICIO DE REPARACION DE VEHICULOS DE TRACCION ANIMAL Y PROPULSION A MANO</t>
  </si>
  <si>
    <t>961-SERVICIO DE REPARACION DE VEHICULOS DE TRACCION ANIMAL Y PROPULSION A MANO</t>
  </si>
  <si>
    <t>SERVICIOS ADMINISTRATIVOS DE TRAMITE Y COBRANZA INCLUSO ESCRITORIOS PUBLICOS</t>
  </si>
  <si>
    <t>895-SERVICIOS ADMINISTRATIVOS DE TRAMITE Y COBRANZA INCLUSO ESCRITORIOS PUBLICOS</t>
  </si>
  <si>
    <t>SERVICIOS DE AGENCIAS DE COLOCACION Y SELECCION DE PERSONAL</t>
  </si>
  <si>
    <t>901-SERVICIOS DE AGENCIAS DE COLOCACION Y SELECCION DE PERSONAL</t>
  </si>
  <si>
    <t>SERVICIOS DE ALIMENTOS EN LONCHERIAS TAQUERIAS Y TORTERIAS</t>
  </si>
  <si>
    <t>804-SERVICIOS DE ALIMENTOS EN LONCHERIAS TAQUERIAS Y TORTERIAS</t>
  </si>
  <si>
    <t>SERVICIOS DE ALMACENAMIENTO Y REFRIGERACION</t>
  </si>
  <si>
    <t>834-SERVICIOS DE ALMACENAMIENTO Y REFRIGERACION</t>
  </si>
  <si>
    <t>SERVICIOS DE ALMACENAMIENTO Y REFRIGERACION (GOBIERNO)</t>
  </si>
  <si>
    <t>1039-SERVICIOS DE ALMACENAMIENTO Y REFRIGERACION (GOBIERNO)</t>
  </si>
  <si>
    <t>SERVICIOS DE ALOJAMIENTO EN MOTELES</t>
  </si>
  <si>
    <t>799-SERVICIOS DE ALOJAMIENTO EN MOTELES</t>
  </si>
  <si>
    <t>SERVICIOS DE ANALISIS DE SISTEMAS Y PROCESAMIENTO ELECTRONICO DE DATOS</t>
  </si>
  <si>
    <t>892-SERVICIOS DE ANALISIS DE SISTEMAS Y PROCESAMIENTO ELECTRONICO DE DATOS</t>
  </si>
  <si>
    <t>SERVICIOS DE ASESORIA Y ESTUDIOS TECNICOS DE ARQUITECTURA E INGENIERIA; INCLUSO DISEÑO INDUSTRIAL</t>
  </si>
  <si>
    <t>889-SERVICIOS DE ASESORIA Y ESTUDIOS TECNICOS DE ARQUITECTURA E INGENIERIA; INCLUSO DISEÑO INDUSTRIAL</t>
  </si>
  <si>
    <t>SERVICIOS DE BASCULA Y DE GRUA PARA VEHICULOS</t>
  </si>
  <si>
    <t>837-SERVICIOS DE BASCULA Y DE GRUA PARA VEHICULOS</t>
  </si>
  <si>
    <t>SERVICIOS DE BASCULA Y DE GRUA PARA VEHICULOS (GOBIERNO)</t>
  </si>
  <si>
    <t>1042-SERVICIOS DE BASCULA Y DE GRUA PARA VEHICULOS (GOBIERNO)</t>
  </si>
  <si>
    <t>SERVICIOS DE BIBLIOTECAS MUSEOS JARDINES BOTANICOS Y OTROS SERVICIOS DE DIFUSION CULTURAL</t>
  </si>
  <si>
    <t>912-SERVICIOS DE BIBLIOTECAS MUSEOS JARDINES BOTANICOS Y OTROS SERVICIOS DE DIFUSION CULTURAL</t>
  </si>
  <si>
    <t>SERVICIOS DE BOLERIAS, MASAJISTAS, SANITARIOS PUBLICOS Y OTROS SERVICIOS DE ASEO Y LIMPIEZA</t>
  </si>
  <si>
    <t>977-SERVICIOS DE BOLERIAS, MASAJISTAS, SANITARIOS PUBLICOS Y OTROS SERVICIOS DE ASEO Y LIMPIEZA</t>
  </si>
  <si>
    <t>SERVICIOS DE BUFETES JURIDICOS</t>
  </si>
  <si>
    <t>887-SERVICIOS DE BUFETES JURIDICOS</t>
  </si>
  <si>
    <t>SERVICIOS DE CAPACITACION TECNICA DE OFICIOS Y ARTESANIAS</t>
  </si>
  <si>
    <t>909-SERVICIOS DE CAPACITACION TECNICA DE OFICIOS Y ARTESANIAS</t>
  </si>
  <si>
    <t>SERVICIOS DE CONSULTORIOS Y CLINICAS DENTALES</t>
  </si>
  <si>
    <t>915-SERVICIOS DE CONSULTORIOS Y CLINICAS DENTALES</t>
  </si>
  <si>
    <t>SERVICIOS DE CONSULTORIOS Y CLINICAS DENTALES (GOBIERNO)</t>
  </si>
  <si>
    <t>1051-SERVICIOS DE CONSULTORIOS Y CLINICAS DENTALES (GOBIERNO)</t>
  </si>
  <si>
    <t>SERVICIOS DE CONTADURIA Y AUDITORIA; INCLUSO TENEDURIA DE LIBROS</t>
  </si>
  <si>
    <t>888-SERVICIOS DE CONTADURIA Y AUDITORIA; INCLUSO TENEDURIA DE LIBROS</t>
  </si>
  <si>
    <t>SERVICIOS DE COPIAS FOTOSTATICAS XEROGRAFICAS Y SIMILARES</t>
  </si>
  <si>
    <t>946-SERVICIOS DE COPIAS FOTOSTATICAS XEROGRAFICAS Y SIMILARES</t>
  </si>
  <si>
    <t>SERVICIOS DE CORTADO ESTIMACION DEL VOLUMEN DE MADERA PROTECCION DE BOSQUES Y OTROS SERVICIOS RELACIONADOS</t>
  </si>
  <si>
    <t>93-SERVICIOS DE CORTADO ESTIMACION DEL VOLUMEN DE MADERA PROTECCION DE BOSQUES Y OTROS SERVICIOS RELACIONADOS</t>
  </si>
  <si>
    <t>SERVICIOS DE ENSEÑANZA COMERCIAL Y DE IDIOMA</t>
  </si>
  <si>
    <t>908-SERVICIOS DE ENSEÑANZA COMERCIAL Y DE IDIOMA</t>
  </si>
  <si>
    <t>SERVICIOS DE ENSEÑANZA DE MUSICA DANZA Y OTRAS ARTES CULTURA FISICA MANEJO DE VEHICULOS Y OTROS ESPECIALES</t>
  </si>
  <si>
    <t>910-SERVICIOS DE ENSEÑANZA DE MUSICA DANZA Y OTRAS ARTES CULTURA FISICA MANEJO DE VEHICULOS Y OTROS ESPECIALES</t>
  </si>
  <si>
    <t>SERVICIOS DE ENSEÑANZA PREPRIMARIA Y PRIMARIA</t>
  </si>
  <si>
    <t>904-SERVICIOS DE ENSEÑANZA PREPRIMARIA Y PRIMARIA</t>
  </si>
  <si>
    <t>SERVICIOS DE ENSEÑANZA SECUNDARIA</t>
  </si>
  <si>
    <t>905-SERVICIOS DE ENSEÑANZA SECUNDARIA</t>
  </si>
  <si>
    <t>SERVICIOS DE FISIOTERAPIA, BANCOS DE SANGRE Y OTROS SERVICIOS MEDICOS</t>
  </si>
  <si>
    <t>918-SERVICIOS DE FISIOTERAPIA, BANCOS DE SANGRE Y OTROS SERVICIOS MEDICOS</t>
  </si>
  <si>
    <t>SERVICIOS DE FISIOTERAPIA, BANCOS DE SANGRE Y OTROS SERVICIOS MEDICOS (GOBIERNO)</t>
  </si>
  <si>
    <t>1054-SERVICIOS DE FISIOTERAPIA, BANCOS DE SANGRE Y OTROS SERVICIOS MEDICOS (GOBIERNO)</t>
  </si>
  <si>
    <t>SERVICIOS DE FONDOS Y FIDEICOMISOS DE FOMENTO ECONOMICO</t>
  </si>
  <si>
    <t>866-SERVICIOS DE FONDOS Y FIDEICOMISOS DE FOMENTO ECONOMICO</t>
  </si>
  <si>
    <t>SERVICIOS DE FUMIGACION, DESINFECCION Y CONTROL DE PLAGAS</t>
  </si>
  <si>
    <t>976-SERVICIOS DE FUMIGACION, DESINFECCION Y CONTROL DE PLAGAS</t>
  </si>
  <si>
    <t>SERVICIOS DE INSTALACION Y MANTENIMIENTO DE MAQUINARIA Y EQUIPO POR EMPRESAS ESPECIALIZADAS</t>
  </si>
  <si>
    <t>900-SERVICIOS DE INSTALACION Y MANTENIMIENTO DE MAQUINARIA Y EQUIPO POR EMPRESAS ESPECIALIZADAS</t>
  </si>
  <si>
    <t>SERVICIOS DE INVESTIGACION CIENTIFICA</t>
  </si>
  <si>
    <t>911-SERVICIOS DE INVESTIGACION CIENTIFICA</t>
  </si>
  <si>
    <t>SERVICIOS DE LA BANCA NACIONAL</t>
  </si>
  <si>
    <t>864-SERVICIOS DE LA BANCA NACIONAL</t>
  </si>
  <si>
    <t>SERVICIOS DE LA BANCA NACIONAL POR OPERACIONES DE CALL MONEY</t>
  </si>
  <si>
    <t>865-SERVICIOS DE LA BANCA NACIONAL POR OPERACIONES DE CALL MONEY</t>
  </si>
  <si>
    <t>SERVICIOS DE LA BANCA PRIVADA ESPECIALIZADA</t>
  </si>
  <si>
    <t>845-SERVICIOS DE LA BANCA PRIVADA ESPECIALIZADA</t>
  </si>
  <si>
    <t>SERVICIOS DE LA BANCA PRIVADA ESPECIALIZADA POR OPERACIONES DE CALL MONEY</t>
  </si>
  <si>
    <t>847-SERVICIOS DE LA BANCA PRIVADA ESPECIALIZADA POR OPERACIONES DE CALL MONEY</t>
  </si>
  <si>
    <t>SERVICIOS DE LA BANCA PRIVADA Y MIXTA MULTIPLE</t>
  </si>
  <si>
    <t>844-SERVICIOS DE LA BANCA PRIVADA Y MIXTA MULTIPLE</t>
  </si>
  <si>
    <t>SERVICIOS DE LA BANCA PRIVADA Y MIXTA MULTIPLE POR OPERACIONES DE CALL MONEY</t>
  </si>
  <si>
    <t>846-SERVICIOS DE LA BANCA PRIVADA Y MIXTA MULTIPLE POR OPERACIONES DE CALL MONEY</t>
  </si>
  <si>
    <t>SERVICIOS DE LABORATORIOS DE RADIOLOGIA Y RADIOSCOPIA</t>
  </si>
  <si>
    <t>917-SERVICIOS DE LABORATORIOS DE RADIOLOGIA Y RADIOSCOPIA</t>
  </si>
  <si>
    <t>SERVICIOS DE LABORATORIOS DE RADIOLOGIA Y RADIOSCOPIA (GOBIERNO)</t>
  </si>
  <si>
    <t>1053-SERVICIOS DE LABORATORIOS DE RADIOLOGIA Y RADIOSCOPIA (GOBIERNO)</t>
  </si>
  <si>
    <t>SERVICIOS DE LAVADO Y LUBRICACION DE AUTOMOVILES</t>
  </si>
  <si>
    <t>958-SERVICIOS DE LAVADO Y LUBRICACION DE AUTOMOVILES</t>
  </si>
  <si>
    <t>SERVICIOS DE NOTARIAS PUBLICAS</t>
  </si>
  <si>
    <t>886-SERVICIOS DE NOTARIAS PUBLICAS</t>
  </si>
  <si>
    <t>SERVICIOS DE OFICINAS Y REPRESENTACIONES DE OTROS PAISES QUE GOZAN  DE EXTRATERRITORIALIDAD</t>
  </si>
  <si>
    <t>1060-SERVICIOS DE OFICINAS Y REPRESENTACIONES DE OTROS PAISES QUE GOZAN  DE EXTRATERRITORIALIDAD</t>
  </si>
  <si>
    <t>SERVICIOS DE PESQUERIAS MARITIMAS Y DE AGUA DULCE POR CONTRATO</t>
  </si>
  <si>
    <t>109-SERVICIOS DE PESQUERIAS MARITIMAS Y DE AGUA DULCE POR CONTRATO</t>
  </si>
  <si>
    <t>SERVICIOS DE PINTADO Y TAPIZADO DE INMUEBLES</t>
  </si>
  <si>
    <t>627-SERVICIOS DE PINTADO Y TAPIZADO DE INMUEBLES</t>
  </si>
  <si>
    <t>SERVICIOS DE REPARACION DE CARROCERIAS PINTURA TAPICERIA HOJALATERIAY CRISTALES DE AUTOMOVILES</t>
  </si>
  <si>
    <t>957-SERVICIOS DE REPARACION DE CARROCERIAS PINTURA TAPICERIA HOJALATERIAY CRISTALES DE AUTOMOVILES</t>
  </si>
  <si>
    <t>SERVICIOS DE REPARACION DE MOTOCICLETAS Y BICICLETAS</t>
  </si>
  <si>
    <t>955-SERVICIOS DE REPARACION DE MOTOCICLETAS Y BICICLETAS</t>
  </si>
  <si>
    <t>SERVICIOS DE REPARACION DE RELOJES Y JOYAS</t>
  </si>
  <si>
    <t>965-SERVICIOS DE REPARACION DE RELOJES Y JOYAS</t>
  </si>
  <si>
    <t>SERVICIOS DE REPARACION ESPECIALIZADO EN PARTES DE AUTOMOVILES EXCEPTO RECONSTRUCCION DE MOTORES Y CARROS</t>
  </si>
  <si>
    <t>956-SERVICIOS DE REPARACION ESPECIALIZADO EN PARTES DE AUTOMOVILES EXCEPTO RECONSTRUCCION DE MOTORES Y CARROS</t>
  </si>
  <si>
    <t>SERVICIOS EN BALNEARIOS Y ALBERCAS</t>
  </si>
  <si>
    <t>920-SERVICIOS EN BALNEARIOS Y ALBERCAS</t>
  </si>
  <si>
    <t>SERVICIOS EN MERENDEROS CENADURIAS Y PREPARACION DE ANTOJITOS Y PLATILLOS REGIONALES</t>
  </si>
  <si>
    <t>807-SERVICIOS EN MERENDEROS CENADURIAS Y PREPARACION DE ANTOJITOS Y PLATILLOS REGIONALES</t>
  </si>
  <si>
    <t>SERVICIOS EN OSTIONERIAS Y PREPARACION DE OTROS MARISCOS Y PESCADOS</t>
  </si>
  <si>
    <t>805-SERVICIOS EN OSTIONERIAS Y PREPARACION DE OTROS MARISCOS Y PESCADOS</t>
  </si>
  <si>
    <t>SERVICIOS MEDICO GENERAL Y ESPECIALIZADO EN CONSULTORIOS</t>
  </si>
  <si>
    <t>914-SERVICIOS MEDICO GENERAL Y ESPECIALIZADO EN CONSULTORIOS</t>
  </si>
  <si>
    <t>SERVICIOS MEDICO GENERAL Y ESPECIALIZADO EN CONSULTORIOS (GOBIERNO)</t>
  </si>
  <si>
    <t>1050-SERVICIOS MEDICO GENERAL Y ESPECIALIZADO EN CONSULTORIOS (GOBIERNO)</t>
  </si>
  <si>
    <t>SERVICIOS POSTALES</t>
  </si>
  <si>
    <t>843-SERVICIOS POSTALES</t>
  </si>
  <si>
    <t>SERVICIOS POSTALES (GOBIERNO)</t>
  </si>
  <si>
    <t>1048-SERVICIOS POSTALES (GOBIERNO)</t>
  </si>
  <si>
    <t>SERVICIOS RELACIONADOS CON EL TRANSPORTE EN AERONAVES CON MATRICULA EXTRANJERA</t>
  </si>
  <si>
    <t>829-SERVICIOS RELACIONADOS CON EL TRANSPORTE EN AERONAVES CON MATRICULA EXTRANJERA</t>
  </si>
  <si>
    <t>SERVICIOS RELACIONADOS CON EL TRANSPORTE EN AERONAVES CON MATRICULA EXTRANJERA (GOBIERNO)</t>
  </si>
  <si>
    <t>1034-SERVICIOS RELACIONADOS CON EL TRANSPORTE EN AERONAVES CON MATRICULA EXTRANJERA (GOBIERNO)</t>
  </si>
  <si>
    <t>SERVICIOS VETERINARIOS EN CLINICAS Y CONSULTORIOS, INCLUSO ZOOTECNISTAS, PENSIONES DE ANIMALES</t>
  </si>
  <si>
    <t>984-SERVICIOS VETERINARIOS EN CLINICAS Y CONSULTORIOS, INCLUSO ZOOTECNISTAS, PENSIONES DE ANIMALES</t>
  </si>
  <si>
    <t>SERVICIOS Y EXPLOTACION DE PLAYAS Y PARQUES DE DESCANSO CLUBES DE EXCURSIONISMO DE CAZA Y PESCA</t>
  </si>
  <si>
    <t>925-SERVICIOS Y EXPLOTACION DE PLAYAS Y PARQUES DE DESCANSO CLUBES DE EXCURSIONISMO DE CAZA Y PESCA</t>
  </si>
  <si>
    <t>SOCIEDADES COOPERATIVAS</t>
  </si>
  <si>
    <t>988-SOCIEDADES COOPERATIVAS</t>
  </si>
  <si>
    <t>SOCIEDADES DE INVERSION</t>
  </si>
  <si>
    <t>853-SOCIEDADES DE INVERSION</t>
  </si>
  <si>
    <t>SOCIEDADES DE INVERSION (GOBIERNO)</t>
  </si>
  <si>
    <t>871-SOCIEDADES DE INVERSION (GOBIERNO)</t>
  </si>
  <si>
    <t>TALABARTERIA</t>
  </si>
  <si>
    <t>301-TALABARTERIA</t>
  </si>
  <si>
    <t>TALLADO DE PIEDRAS PRECIOSAS</t>
  </si>
  <si>
    <t>568-TALLADO DE PIEDRAS PRECIOSAS</t>
  </si>
  <si>
    <t>TALLER DE COBRIZADO</t>
  </si>
  <si>
    <t>482-TALLER DE COBRIZADO</t>
  </si>
  <si>
    <t>TALLER DE CONFECCION DE VESTIDOS</t>
  </si>
  <si>
    <t>264-TALLER DE CONFECCION DE VESTIDOS</t>
  </si>
  <si>
    <t>TALLER DE CROMADO Y NIQUELADO</t>
  </si>
  <si>
    <t>483-TALLER DE CROMADO Y NIQUELADO</t>
  </si>
  <si>
    <t>TALLER DE ESMALTADO</t>
  </si>
  <si>
    <t>484-TALLER DE ESMALTADO</t>
  </si>
  <si>
    <t>TALLER DE HERRERIA</t>
  </si>
  <si>
    <t>472-TALLER DE HERRERIA</t>
  </si>
  <si>
    <t>TALLER DE HOJALATERIA</t>
  </si>
  <si>
    <t>474-TALLER DE HOJALATERIA</t>
  </si>
  <si>
    <t>TALLER DE MARMOLERIA</t>
  </si>
  <si>
    <t>439-TALLER DE MARMOLERIA</t>
  </si>
  <si>
    <t>TALLER DE PLOMERIA</t>
  </si>
  <si>
    <t>624-TALLER DE PLOMERIA</t>
  </si>
  <si>
    <t>TALLER DE REPARACION DE APARATOS ELECTRICOS Y ELECTRONICOS INDUSTRIALES Y COMERCIALES</t>
  </si>
  <si>
    <t>963-TALLER DE REPARACION DE APARATOS ELECTRICOS Y ELECTRONICOS INDUSTRIALES Y COMERCIALES</t>
  </si>
  <si>
    <t>TALLER DE REPARACION DE ARTICULOS ELECTRICOS Y ELECTRONICOS PARA EL HOGAR</t>
  </si>
  <si>
    <t>964-TALLER DE REPARACION DE ARTICULOS ELECTRICOS Y ELECTRONICOS PARA EL HOGAR</t>
  </si>
  <si>
    <t>TALLER DE REPARACION DE CALZADO</t>
  </si>
  <si>
    <t>962-TALLER DE REPARACION DE CALZADO</t>
  </si>
  <si>
    <t>TALLER DE REPARACION DE PARAGUAS Y SOMBRILLAS</t>
  </si>
  <si>
    <t>967-TALLER DE REPARACION DE PARAGUAS Y SOMBRILLAS</t>
  </si>
  <si>
    <t>TALLER DE REPARACION DE ROPA Y MEDIAS</t>
  </si>
  <si>
    <t>968-TALLER DE REPARACION DE ROPA Y MEDIAS</t>
  </si>
  <si>
    <t>TALLER DE REPARACION DE SOMBREROS</t>
  </si>
  <si>
    <t>969-TALLER DE REPARACION DE SOMBREROS</t>
  </si>
  <si>
    <t>TALLER DE REPARACION GENERAL DE AUTOMOVILES Y CAMIONES</t>
  </si>
  <si>
    <t>954-TALLER DE REPARACION GENERAL DE AUTOMOVILES Y CAMIONES</t>
  </si>
  <si>
    <t>TALLER DE SASTRERIA</t>
  </si>
  <si>
    <t>267-TALLER DE SASTRERIA</t>
  </si>
  <si>
    <t>TALLER DE TAPICERIA</t>
  </si>
  <si>
    <t>966-TALLER DE TAPICERIA</t>
  </si>
  <si>
    <t>TALLER MECANICO DE FABRICACION Y REPARACION DE PARTES INDUSTRIALES</t>
  </si>
  <si>
    <t>521-TALLER MECANICO DE FABRICACION Y REPARACION DE PARTES INDUSTRIALES</t>
  </si>
  <si>
    <t>TAXIDERMISTA</t>
  </si>
  <si>
    <t>982-TAXIDERMISTA</t>
  </si>
  <si>
    <t>TEATRO</t>
  </si>
  <si>
    <t>934-TEATRO</t>
  </si>
  <si>
    <t>TELEDIFUSORA</t>
  </si>
  <si>
    <t>933-TELEDIFUSORA</t>
  </si>
  <si>
    <t>TIENDA DE ABARROTES Y MISCELANEA</t>
  </si>
  <si>
    <t>652-TIENDA DE ABARROTES Y MISCELANEA</t>
  </si>
  <si>
    <t>TIENDA DE AUTOSERVICIO</t>
  </si>
  <si>
    <t xml:space="preserve"> TIENDAS DE AUTOSERVICIO</t>
  </si>
  <si>
    <t>715-TIENDA DE AUTOSERVICIO</t>
  </si>
  <si>
    <t>TIENDAS DE DEPARTAMENTOS ESPECIALIZADOS EXCEPTO DE COMESTIBLES</t>
  </si>
  <si>
    <t>716-TIENDAS DE DEPARTAMENTOS ESPECIALIZADOS EXCEPTO DE COMESTIBLES</t>
  </si>
  <si>
    <t>TINTORERIA Y PLANCHADURIA</t>
  </si>
  <si>
    <t>974-TINTORERIA Y PLANCHADURIA</t>
  </si>
  <si>
    <t>TORTILLERIA</t>
  </si>
  <si>
    <t>153-TORTILLERIA</t>
  </si>
  <si>
    <t>TRANSPORTACION AEREA DE PASAJEROS</t>
  </si>
  <si>
    <t>828-TRANSPORTACION AEREA DE PASAJEROS</t>
  </si>
  <si>
    <t>TRANSPORTACION AEREA DE PASAJEROS (GOBIERNO)</t>
  </si>
  <si>
    <t>1033-TRANSPORTACION AEREA DE PASAJEROS (GOBIERNO)</t>
  </si>
  <si>
    <t>TRANSPORTE DE CARGA FORANEA</t>
  </si>
  <si>
    <t>819-TRANSPORTE DE CARGA FORANEA</t>
  </si>
  <si>
    <t>TRANSPORTE DE CARGA FORANEA (GOBIERNO)</t>
  </si>
  <si>
    <t>1024-TRANSPORTE DE CARGA FORANEA (GOBIERNO)</t>
  </si>
  <si>
    <t>TRANSPORTE EN AUTOBUS FORANEO DE PASAJEROS</t>
  </si>
  <si>
    <t>811-TRANSPORTE EN AUTOBUS FORANEO DE PASAJEROS</t>
  </si>
  <si>
    <t>TRANSPORTE EN AUTOBUS FORANEO DE PASAJEROS (GOBIERNO)</t>
  </si>
  <si>
    <t>1016-TRANSPORTE EN AUTOBUS FORANEO DE PASAJEROS (GOBIERNO)</t>
  </si>
  <si>
    <t>TRANSPORTE EN AUTOBUS URBANO Y SUBURBANO DE PASAJEROS</t>
  </si>
  <si>
    <t>810-TRANSPORTE EN AUTOBUS URBANO Y SUBURBANO DE PASAJEROS</t>
  </si>
  <si>
    <t>TRANSPORTE EN AUTOBUS URBANO Y SUBURBANO DE PASAJEROS (GOBIERNO)</t>
  </si>
  <si>
    <t>1015-TRANSPORTE EN AUTOBUS URBANO Y SUBURBANO DE PASAJEROS (GOBIERNO)</t>
  </si>
  <si>
    <t>TRANSPORTE EN AUTOMOVIL DE RULETEO</t>
  </si>
  <si>
    <t>812-TRANSPORTE EN AUTOMOVIL DE RULETEO</t>
  </si>
  <si>
    <t>TRANSPORTE EN AUTOMOVIL DE RULETEO (GOBIERNO)</t>
  </si>
  <si>
    <t>1017-TRANSPORTE EN AUTOMOVIL DE RULETEO (GOBIERNO)</t>
  </si>
  <si>
    <t>TRANSPORTE EN AUTOMOVIL DE RUTA FIJA</t>
  </si>
  <si>
    <t>814-TRANSPORTE EN AUTOMOVIL DE RUTA FIJA</t>
  </si>
  <si>
    <t>TRANSPORTE EN AUTOMOVIL DE RUTA FIJA (GOBIERNO)</t>
  </si>
  <si>
    <t>1019-TRANSPORTE EN AUTOMOVIL DE RUTA FIJA (GOBIERNO)</t>
  </si>
  <si>
    <t>TRANSPORTE EN AUTOMOVILES DE SITIO Y TURISMO</t>
  </si>
  <si>
    <t>813-TRANSPORTE EN AUTOMOVILES DE SITIO Y TURISMO</t>
  </si>
  <si>
    <t>TRANSPORTE EN AUTOMOVILES DE SITIO Y TURISMO (GOBIERNO)</t>
  </si>
  <si>
    <t>1018-TRANSPORTE EN AUTOMOVILES DE SITIO Y TURISMO (GOBIERNO)</t>
  </si>
  <si>
    <t>TRANSPORTE EN FERROCARRIL URBANO (METRO)</t>
  </si>
  <si>
    <t>822-TRANSPORTE EN FERROCARRIL URBANO (METRO)</t>
  </si>
  <si>
    <t>TRANSPORTE EN FERROCARRIL URBANO (METRO) (GOBIERNO)</t>
  </si>
  <si>
    <t>1027-TRANSPORTE EN FERROCARRIL URBANO (METRO) (GOBIERNO)</t>
  </si>
  <si>
    <t>TRANSPORTE FLUVIAL Y LACUSTRE</t>
  </si>
  <si>
    <t>826-TRANSPORTE FLUVIAL Y LACUSTRE</t>
  </si>
  <si>
    <t>TRANSPORTE FLUVIAL Y LACUSTRE (GOBIERNO)</t>
  </si>
  <si>
    <t>1031-TRANSPORTE FLUVIAL Y LACUSTRE (GOBIERNO)</t>
  </si>
  <si>
    <t>TRANSPORTE POR DUCTOS</t>
  </si>
  <si>
    <t>823-TRANSPORTE POR DUCTOS</t>
  </si>
  <si>
    <t>TRANSPORTE POR DUCTOS (GOBIERNO)</t>
  </si>
  <si>
    <t>1028-TRANSPORTE POR DUCTOS (GOBIERNO)</t>
  </si>
  <si>
    <t>TRANSPORTES MARITIMOS DE CABOTAJE</t>
  </si>
  <si>
    <t>825-TRANSPORTES MARITIMOS DE CABOTAJE</t>
  </si>
  <si>
    <t>TRANSPORTES MARITIMOS DE CABOTAJE (GOBIERNO)</t>
  </si>
  <si>
    <t>1030-TRANSPORTES MARITIMOS DE CABOTAJE (GOBIERNO)</t>
  </si>
  <si>
    <t>TRANVIAS Y TROLEBUSES</t>
  </si>
  <si>
    <t>821-TRANVIAS Y TROLEBUSES</t>
  </si>
  <si>
    <t>TRANVIAS Y TROLEBUSES (GOBIERNO)</t>
  </si>
  <si>
    <t>1026-TRANVIAS Y TROLEBUSES (GOBIERNO)</t>
  </si>
  <si>
    <t>TRATAMIENTO Y ENVASE DE MIEL DE ABEJA</t>
  </si>
  <si>
    <t>182-TRATAMIENTO Y ENVASE DE MIEL DE ABEJA</t>
  </si>
  <si>
    <t>UNIONES DE CREDITO NACIONALES</t>
  </si>
  <si>
    <t>867-UNIONES DE CREDITO NACIONALES</t>
  </si>
  <si>
    <t>UNIONES DE CREDITO PRIVADAS</t>
  </si>
  <si>
    <t>848-UNIONES DE CREDITO PRIVADAS</t>
  </si>
  <si>
    <t>URBANIZACION</t>
  </si>
  <si>
    <t>612-URBANIZACION</t>
  </si>
  <si>
    <t>VENTA Y DISTRIBUCION DE DESPENSAS FAMILIARES</t>
  </si>
  <si>
    <t>659-VENTA Y DISTRIBUCION DE DESPENSAS FAMILIARES</t>
  </si>
  <si>
    <t>VULCANIZACION DE LLANTAS Y CAMARAS</t>
  </si>
  <si>
    <t>391-VULCANIZACION DE LLANTAS Y CAMARAS</t>
  </si>
  <si>
    <t xml:space="preserve">IVA por Acreditar             </t>
  </si>
  <si>
    <t xml:space="preserve">Reclamaciones por Garantia    </t>
  </si>
  <si>
    <t xml:space="preserve">Cuentas por Cobrar Filiales   </t>
  </si>
  <si>
    <t xml:space="preserve">Otros Activos Circulantes     </t>
  </si>
  <si>
    <t xml:space="preserve">Revaluacion de Activos        </t>
  </si>
  <si>
    <t xml:space="preserve">Mejoras al Local Arrendado    </t>
  </si>
  <si>
    <t xml:space="preserve">Credito al Salario            </t>
  </si>
  <si>
    <t xml:space="preserve">Arrendadora a Corto Plazo     </t>
  </si>
  <si>
    <t xml:space="preserve">Documentos por Pagar          </t>
  </si>
  <si>
    <t xml:space="preserve">Cuentas por Pagar Filiales    </t>
  </si>
  <si>
    <t xml:space="preserve">Anticipos de Clientes         </t>
  </si>
  <si>
    <t xml:space="preserve">Porcion Circ. Deuda L.P.      </t>
  </si>
  <si>
    <t xml:space="preserve">Arrendadora a Largo Plazo     </t>
  </si>
  <si>
    <t>Documentos x Pagar a Largo Pla</t>
  </si>
  <si>
    <t xml:space="preserve">Creditos Diferidos            </t>
  </si>
  <si>
    <t>Estimacion Prima de Antiguedad</t>
  </si>
  <si>
    <t xml:space="preserve">Aportaciones Futuros Aument   </t>
  </si>
  <si>
    <t xml:space="preserve">Actualizacion de Capital      </t>
  </si>
  <si>
    <t xml:space="preserve">Otras Partidas                </t>
  </si>
  <si>
    <t xml:space="preserve">Patrimonio                    </t>
  </si>
  <si>
    <t xml:space="preserve">Sueldos                       </t>
  </si>
  <si>
    <t xml:space="preserve">Ingresos Varios               </t>
  </si>
  <si>
    <t xml:space="preserve">Gastos de Administracion      </t>
  </si>
  <si>
    <t xml:space="preserve">Gastos Familiares             </t>
  </si>
  <si>
    <t xml:space="preserve">Productos Financieros (-)     </t>
  </si>
  <si>
    <t xml:space="preserve">Fluctuacion Cambiaria         </t>
  </si>
  <si>
    <t xml:space="preserve">REPOMO                        </t>
  </si>
  <si>
    <t>Particip. en Result. de Subsid</t>
  </si>
  <si>
    <t xml:space="preserve">Partidas Extraordinarias      </t>
  </si>
  <si>
    <t xml:space="preserve">Pago Creditos                 </t>
  </si>
  <si>
    <t xml:space="preserve">Gastos Varios                 </t>
  </si>
  <si>
    <t>SUBTOTAL OPERACIÓN</t>
  </si>
  <si>
    <t>SUBTOTAL FINANCIEROS</t>
  </si>
  <si>
    <t>SUBTOTAL IMPUESTOS</t>
  </si>
  <si>
    <t>SUBTOTAL INVERSIONES</t>
  </si>
  <si>
    <t>SUBTOTAL FUENTES</t>
  </si>
  <si>
    <t>SUBTOTAL</t>
  </si>
  <si>
    <t>Proyección  Cliente</t>
  </si>
  <si>
    <t>Real</t>
  </si>
  <si>
    <t>Estimado</t>
  </si>
  <si>
    <t>Proyección</t>
  </si>
  <si>
    <t>Ingresos</t>
  </si>
  <si>
    <t>Costo de Venta</t>
  </si>
  <si>
    <t>Utilidad Bruta</t>
  </si>
  <si>
    <t>Gastos de Admon y Vta</t>
  </si>
  <si>
    <t>Utilidad operativa</t>
  </si>
  <si>
    <t>Gastos Financieros</t>
  </si>
  <si>
    <t>Otros</t>
  </si>
  <si>
    <t>Impuestos</t>
  </si>
  <si>
    <t>Utilidad Neta</t>
  </si>
  <si>
    <t>Premisas de elaboración</t>
  </si>
  <si>
    <t>1.- Ingresos para 2009 se consideran los mismos ingresos obtenidos para el primer semestre del año</t>
  </si>
  <si>
    <t>2.- En 2010 se considera un aumento de un 13.8% derivado de nuestro ingreso a nivel nacional en cadena de autoservicios Costco y para los años subsecuentes se contemplo un incremento del 5%</t>
  </si>
  <si>
    <t>3.- El costo se mantuvo en el mismo nivel (73% sobre ventas)</t>
  </si>
  <si>
    <t>4.- Gastos de Distribución se mantuvieron en el mismo nivel (23% sobre ventas)</t>
  </si>
  <si>
    <t>5.- Los Gastos Financieros fueron calculados de acuerdo a tablas de amortización individualmente por tipo de crédito.</t>
  </si>
  <si>
    <t>Proyección del Cliente</t>
  </si>
  <si>
    <t>Cuentas por Cobrar</t>
  </si>
  <si>
    <t>Inventario</t>
  </si>
  <si>
    <t>Proveedores</t>
  </si>
  <si>
    <t>HSBC</t>
  </si>
  <si>
    <t>Frost Bank (ACCC)</t>
  </si>
  <si>
    <t>SAT</t>
  </si>
  <si>
    <t>Banregio ACCC</t>
  </si>
  <si>
    <t>Banregio ACS</t>
  </si>
  <si>
    <t>Banregio AF</t>
  </si>
  <si>
    <t>Total</t>
  </si>
  <si>
    <t>Pago a Capital</t>
  </si>
  <si>
    <t>otros ACCC</t>
  </si>
  <si>
    <t>1.- Se consideran los ingresos proyectados por el cliente</t>
  </si>
  <si>
    <t>2.- Se consideran los costos y gastos estimados por el cliente</t>
  </si>
  <si>
    <t>Flujo de Efectivo Proyectado del Cliente</t>
  </si>
  <si>
    <t>UAFIR</t>
  </si>
  <si>
    <t>DEPRECIACIÓN DEL EJERCICIO</t>
  </si>
  <si>
    <t>UAFIRDA</t>
  </si>
  <si>
    <t>CUENTAS POR COBRAR</t>
  </si>
  <si>
    <t>INVENTARIOS</t>
  </si>
  <si>
    <t>FLUJO DE OPERACIÓN</t>
  </si>
  <si>
    <t>GASTOS FINANCIEROS</t>
  </si>
  <si>
    <t>FLUJO ANTES DE IMPUESTOS</t>
  </si>
  <si>
    <t>IMPUESTOS PAGADOS</t>
  </si>
  <si>
    <t>FLUJO NETO</t>
  </si>
  <si>
    <t>OTRAS ACTIVIDADES</t>
  </si>
  <si>
    <t>DEUDORES DIVERSOS</t>
  </si>
  <si>
    <t>OTROS ACTIVOS</t>
  </si>
  <si>
    <t>SUBTOTAL OTROS</t>
  </si>
  <si>
    <t>ACTIVIDADES DE INVERSIÓN</t>
  </si>
  <si>
    <t>ADQUISICIÓN O VENTA DE ACTIVO FIJO</t>
  </si>
  <si>
    <t>FLUJO DESPUÉS DE INVERSIONES</t>
  </si>
  <si>
    <t>FUENTES DE FINANCIAMIENTO</t>
  </si>
  <si>
    <t>PASIVOS FINANCIEROS</t>
  </si>
  <si>
    <t>ACREEDORES DIVERSOS</t>
  </si>
  <si>
    <t>DIF EN UTILIDADES RET / DECRETO DE DIVIDENDOS</t>
  </si>
  <si>
    <t>CAPITAL SOCIAL</t>
  </si>
  <si>
    <t>RESERVAS</t>
  </si>
  <si>
    <t>APORTACIONES P FUTUROS AUMEN.</t>
  </si>
  <si>
    <t>FLUJO DESPUÉS DE FINANCIAMIENTO</t>
  </si>
  <si>
    <t>VARIACIÓN EN CAJA</t>
  </si>
  <si>
    <t>Cobertura de deuda</t>
  </si>
  <si>
    <t>Cobertura de Intereses</t>
  </si>
  <si>
    <t>Proyección (Sensibilizado)</t>
  </si>
  <si>
    <t>2.- Se consideran los costos y gastos con un margen de operación similar al cierre del 2008</t>
  </si>
  <si>
    <t>3.- La tasa de interés se estima en 10%</t>
  </si>
  <si>
    <t>4.- Se calcula un impuesto del 10% sobre ventas</t>
  </si>
  <si>
    <t>5.- No se consideran otros ingresos.</t>
  </si>
  <si>
    <t>6.- Se considera pagos al SAT</t>
  </si>
  <si>
    <t>7.- Se consideran las amortizadciones de créditos actuales y por contratar</t>
  </si>
  <si>
    <t>Flujo de Efectivo Proyectado (Sensibilizado)</t>
  </si>
  <si>
    <t>Tipo</t>
  </si>
  <si>
    <t>ACS</t>
  </si>
  <si>
    <t>Monto</t>
  </si>
  <si>
    <t>Tasa</t>
  </si>
  <si>
    <t>Plazo</t>
  </si>
  <si>
    <t>meses</t>
  </si>
  <si>
    <t>interes</t>
  </si>
  <si>
    <t>capital</t>
  </si>
  <si>
    <t>pago</t>
  </si>
  <si>
    <t>saldo</t>
  </si>
  <si>
    <t>TEASER COMERCIAL</t>
  </si>
  <si>
    <r>
      <rPr>
        <b/>
        <sz val="16"/>
        <color rgb="FF4472C4"/>
        <rFont val="Open Sans"/>
        <family val="2"/>
      </rPr>
      <t>G</t>
    </r>
    <r>
      <rPr>
        <b/>
        <sz val="16"/>
        <color rgb="FFFF0000"/>
        <rFont val="Open Sans"/>
        <family val="2"/>
      </rPr>
      <t>O</t>
    </r>
    <r>
      <rPr>
        <b/>
        <sz val="16"/>
        <color rgb="FFFFC000"/>
        <rFont val="Open Sans"/>
        <family val="2"/>
      </rPr>
      <t>O</t>
    </r>
    <r>
      <rPr>
        <b/>
        <sz val="16"/>
        <color rgb="FF4472C4"/>
        <rFont val="Open Sans"/>
        <family val="2"/>
      </rPr>
      <t>G</t>
    </r>
    <r>
      <rPr>
        <b/>
        <sz val="16"/>
        <color rgb="FF008040"/>
        <rFont val="Open Sans"/>
        <family val="2"/>
      </rPr>
      <t>L</t>
    </r>
    <r>
      <rPr>
        <b/>
        <sz val="16"/>
        <color rgb="FFFF0000"/>
        <rFont val="Open Sans"/>
        <family val="2"/>
      </rPr>
      <t>E</t>
    </r>
  </si>
  <si>
    <t>FLUJOS (en pesos)</t>
  </si>
  <si>
    <t>#</t>
  </si>
  <si>
    <t>AFILIADO</t>
  </si>
  <si>
    <t>EJECUTIVO</t>
  </si>
  <si>
    <t>CLIENTE:</t>
  </si>
  <si>
    <t>Tipo de Crédito</t>
  </si>
  <si>
    <t>Credito Simple</t>
  </si>
  <si>
    <t>Arrendamiento</t>
  </si>
  <si>
    <t>¿Aparecen noticias negativas en la primera página?</t>
  </si>
  <si>
    <t>N/D</t>
  </si>
  <si>
    <t>BANCO 1</t>
  </si>
  <si>
    <t>Cuenta Corriente</t>
  </si>
  <si>
    <t>Depósitos (pesos)</t>
  </si>
  <si>
    <t>Saldo Prom. (pesos)</t>
  </si>
  <si>
    <t>INFORMACIÓN DE LA EMPRESA</t>
  </si>
  <si>
    <t>Monto (miles de pesos)</t>
  </si>
  <si>
    <t>Simple</t>
  </si>
  <si>
    <t>Tasa "0"</t>
  </si>
  <si>
    <t>Actividad</t>
  </si>
  <si>
    <t>ULTIMO AÑO FISCAL</t>
  </si>
  <si>
    <t>ULTIMO PARCIAL</t>
  </si>
  <si>
    <t>CARTERA DE CLIENTES</t>
  </si>
  <si>
    <t>Miles de pesos</t>
  </si>
  <si>
    <t>Ventas anuales</t>
  </si>
  <si>
    <t>SI</t>
  </si>
  <si>
    <t>INFORMACIÓN GENERAL DE LA GARANTÍA</t>
  </si>
  <si>
    <t>Activos Totales (AT)</t>
  </si>
  <si>
    <t>NO</t>
  </si>
  <si>
    <t>Estado donde se encuentra</t>
  </si>
  <si>
    <t>Pasivos Totales (PT) | 4 años</t>
  </si>
  <si>
    <t>Pasivos Totales (PT) / 4 años</t>
  </si>
  <si>
    <t>Está en la capital o centro turístico?</t>
  </si>
  <si>
    <t>Capital Contable (CC)</t>
  </si>
  <si>
    <t>Total Bank  1</t>
  </si>
  <si>
    <t>Tipo de propiedad</t>
  </si>
  <si>
    <t>EBITDA</t>
  </si>
  <si>
    <t>Valor estimado (miles de pesos)</t>
  </si>
  <si>
    <t>Pago Anual</t>
  </si>
  <si>
    <t>BANCO 2</t>
  </si>
  <si>
    <t>Aforo</t>
  </si>
  <si>
    <t>Aforo requerido</t>
  </si>
  <si>
    <t>Otra información relevante</t>
  </si>
  <si>
    <t>(Tamaño, ubicación detallada, facilidad de acceso, uso)</t>
  </si>
  <si>
    <t>Concepto</t>
  </si>
  <si>
    <t>Condición</t>
  </si>
  <si>
    <t>Turns of EBITDA</t>
  </si>
  <si>
    <t>&lt; 4</t>
  </si>
  <si>
    <t>Apalancamiento (PT / AT)</t>
  </si>
  <si>
    <t>&lt; 70%</t>
  </si>
  <si>
    <t>Capital de trabajo neto</t>
  </si>
  <si>
    <t>Positivo</t>
  </si>
  <si>
    <t>DATOS DEL PROPIETARIO</t>
  </si>
  <si>
    <t>Cobertura de Renta Anual CS</t>
  </si>
  <si>
    <t>&gt; 1.2</t>
  </si>
  <si>
    <t>Cobertura de Renta Anual*</t>
  </si>
  <si>
    <t>¿Es un tercero que no tiene relación con el negocio?</t>
  </si>
  <si>
    <t>¿Está casado por sociedad conyugal?</t>
  </si>
  <si>
    <t>Total Bank  2</t>
  </si>
  <si>
    <t>Si está casado por conyugal, puede firmar el cónyuge?</t>
  </si>
  <si>
    <t>Total ambos bancos</t>
  </si>
  <si>
    <t>Δ reciente de ventas</t>
  </si>
  <si>
    <t>Bank Flow Coverage</t>
  </si>
  <si>
    <t>Ratio Ventas / Banco</t>
  </si>
  <si>
    <t>NECESIDAD DE CRÉDITO Y DESTINO</t>
  </si>
  <si>
    <t>Δ histórica de ventas</t>
  </si>
  <si>
    <t>INGRESOS HISTÓRICOS (en $ miles)</t>
  </si>
  <si>
    <t>¿LE PRESTARÍAS TU PROPIO DINERO?</t>
  </si>
  <si>
    <t># # # # # # # # # # # # # # # # # # # # # # # # # # # # # # # # # # # # # # # # # # # # # # # # # # # # # #</t>
  </si>
  <si>
    <t>Último año completo</t>
  </si>
  <si>
    <t>Último parcial disponible</t>
  </si>
  <si>
    <t>Periódo</t>
  </si>
  <si>
    <t>Último parcial anualizado</t>
  </si>
  <si>
    <t>CIFRAS EN MILES</t>
  </si>
  <si>
    <t>ACTIVO</t>
  </si>
  <si>
    <t>VENTAS</t>
  </si>
  <si>
    <t>TOTAL ACTIVOS CIRCULANTES</t>
  </si>
  <si>
    <t>UTILIDAD DE OPERACIÓN (Antes de impuestos y gastos financieros</t>
  </si>
  <si>
    <t>TOTAL ACTIVOS FIJOS</t>
  </si>
  <si>
    <t>TOTAL ACTIVOS DIFERIDOS</t>
  </si>
  <si>
    <t>DEPRECIACIÓN (edo. de resúltados)</t>
  </si>
  <si>
    <t>ACTIVO TOTAL</t>
  </si>
  <si>
    <t>Pasivo Arrendamiento ( MENSUAL - OJO: NO DEL BALANCE)</t>
  </si>
  <si>
    <t>PASIVO</t>
  </si>
  <si>
    <t>TOTAL PASIVO NO FINANCIERO</t>
  </si>
  <si>
    <t>TOTAL PASIVO FINANCIERO</t>
  </si>
  <si>
    <t>TOTAL PASIVO DIFERIDO</t>
  </si>
  <si>
    <t>Rating</t>
  </si>
  <si>
    <t>CXP Proveedores</t>
  </si>
  <si>
    <t>Máximo de días de atraso</t>
  </si>
  <si>
    <t>CAPITAL</t>
  </si>
  <si>
    <t>Claves de prevención (quita, quebranto, etc.)</t>
  </si>
  <si>
    <t>CAPITAL CONTABLE TOTAL</t>
  </si>
  <si>
    <t>PASIVO + CAPITAL CONTABLE</t>
  </si>
  <si>
    <t>Diferencia</t>
  </si>
  <si>
    <t>HOJA DE AYUDA</t>
  </si>
  <si>
    <t>Dato requerido</t>
  </si>
  <si>
    <t>Información</t>
  </si>
  <si>
    <t>Es el valor que ha perdido un activo en el transcurso de un tiempo determinado. Hay dos grandes fomas de obtenerlo
1) Directamente de los Resultados de Pérdida y Ganancia
2) Comparando la Amortización Acumulada de dos periodos del Balance.
Por ejemplo, si a Diciembre 2017 tiene $29M y a Diciembre 2018 tiene $30, significa que la Depreciación fue de $1M. 
En caso de tener un periodo menor a un año, se divide entre el número de meses y se multiplica por 12. Por ejemplo, si tuviera $30M a Septiembre de 2018, sería una Depreciación de $1M en 9 meses, por tanto 111,111 mensuales * 12 meses = 1,333,333 anual</t>
  </si>
  <si>
    <t>Pasivo Arrendamiento (PAGO MENSUAL)</t>
  </si>
  <si>
    <t>Es el pago que hace la empresa por arrendamientos de equipos, que entran en el Estado de Resultados. No siempre lo reportan, la vía más rápida para este punto del proceso es preguntar al cliente cuánta pagan mensualmente de arrendamientos</t>
  </si>
  <si>
    <t>Copiado de K1</t>
  </si>
  <si>
    <t>Valoración final</t>
  </si>
  <si>
    <t>Limitado</t>
  </si>
  <si>
    <t>Viable</t>
  </si>
  <si>
    <t>Google</t>
  </si>
  <si>
    <t>Buro</t>
  </si>
  <si>
    <t>Si</t>
  </si>
  <si>
    <t>No</t>
  </si>
  <si>
    <t>Ubicación</t>
  </si>
  <si>
    <t>Tamaulipas</t>
  </si>
  <si>
    <t>Veracruz</t>
  </si>
  <si>
    <t>Michoacán</t>
  </si>
  <si>
    <t>Guerrero</t>
  </si>
  <si>
    <t xml:space="preserve"> </t>
  </si>
  <si>
    <t>Meses</t>
  </si>
  <si>
    <t>Enero</t>
  </si>
  <si>
    <t>Febrero</t>
  </si>
  <si>
    <t>Marzo</t>
  </si>
  <si>
    <t>Abril</t>
  </si>
  <si>
    <t>Mayo</t>
  </si>
  <si>
    <t>Junio</t>
  </si>
  <si>
    <t>Julio</t>
  </si>
  <si>
    <t>Agosto</t>
  </si>
  <si>
    <t>Septiembre</t>
  </si>
  <si>
    <t>Octubre</t>
  </si>
  <si>
    <t>Noviembre</t>
  </si>
  <si>
    <t>Diciembre</t>
  </si>
  <si>
    <t>Año fecha</t>
  </si>
  <si>
    <t>Crecimiento requerido para historico de ventas</t>
  </si>
  <si>
    <t>Atrasos</t>
  </si>
  <si>
    <t>0 a 59</t>
  </si>
  <si>
    <t>60 o mas</t>
  </si>
  <si>
    <t>Antros</t>
  </si>
  <si>
    <t>Armas y Explosivos</t>
  </si>
  <si>
    <t>Casas de Cambio</t>
  </si>
  <si>
    <t>Casas de Empeno</t>
  </si>
  <si>
    <t>Construccion de viviendas</t>
  </si>
  <si>
    <t>Estados y Municipios</t>
  </si>
  <si>
    <t>Persona Expuesta Políticamente</t>
  </si>
  <si>
    <t>Servicios de Seguridad Armada</t>
  </si>
  <si>
    <t>Servicios Financieros</t>
  </si>
  <si>
    <t>Tala</t>
  </si>
  <si>
    <t>Habitacional</t>
  </si>
  <si>
    <t>Oficinas</t>
  </si>
  <si>
    <t>Comercial</t>
  </si>
  <si>
    <t>Terreno</t>
  </si>
  <si>
    <t>Regimen conyugal</t>
  </si>
  <si>
    <t>No está casado por conyugal</t>
  </si>
  <si>
    <t>No puede firmar</t>
  </si>
  <si>
    <t>Si puede firmar</t>
  </si>
  <si>
    <t>GESTION FINANCIERA</t>
  </si>
  <si>
    <t>Resumen 3 bancos</t>
  </si>
  <si>
    <t>T.C</t>
  </si>
  <si>
    <t>Depósitos (dolares)</t>
  </si>
  <si>
    <t>Saldo Prom. (dolares)</t>
  </si>
  <si>
    <t>TOTAL BANCOS</t>
  </si>
  <si>
    <t>Total Bancos</t>
  </si>
  <si>
    <t>DATOS DEL CAF</t>
  </si>
  <si>
    <t>BANCO 3</t>
  </si>
  <si>
    <t>BANCO USD</t>
  </si>
  <si>
    <t>Febrero 2026</t>
  </si>
  <si>
    <t>Total Bank  3</t>
  </si>
  <si>
    <t>Total Bank 4</t>
  </si>
  <si>
    <t>BANCO 4</t>
  </si>
  <si>
    <t>BANCO 5</t>
  </si>
  <si>
    <t>BANCO 6</t>
  </si>
  <si>
    <t>BANCO 7</t>
  </si>
  <si>
    <t>BANCO 8</t>
  </si>
  <si>
    <t>BANCO 9</t>
  </si>
  <si>
    <t>BANCO 10</t>
  </si>
  <si>
    <t>BANCO 11</t>
  </si>
  <si>
    <t>BANCO 12</t>
  </si>
  <si>
    <t>BANCO 13</t>
  </si>
  <si>
    <t>BANCO 14</t>
  </si>
  <si>
    <t>Total Bank  4</t>
  </si>
  <si>
    <t>Total Bank  5</t>
  </si>
  <si>
    <t>Total Bank  6</t>
  </si>
  <si>
    <t>Total Bank  7</t>
  </si>
  <si>
    <t>Total Bank  8</t>
  </si>
  <si>
    <t>Total Bank  9</t>
  </si>
  <si>
    <t>Total Bank  10</t>
  </si>
  <si>
    <t>Total Bank  11</t>
  </si>
  <si>
    <t>Total Bank  12</t>
  </si>
  <si>
    <t>Total Bank  13</t>
  </si>
  <si>
    <t>Total Bank  14</t>
  </si>
  <si>
    <t>AUTOMOTRIZ TOY DEL SURESTE SA DE 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</si>
</sst>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_-&quot;$&quot;* #,##0.00_-;\-&quot;$&quot;* #,##0.00_-;_-&quot;$&quot;* &quot;-&quot;??_-;_-@_-"/>
    <numFmt numFmtId="165" formatCode="_-* #,##0.00_-;\-* #,##0.00_-;_-* \-??_-;_-@_-"/>
    <numFmt numFmtId="166" formatCode="dd/mmm/yyyy"/>
    <numFmt numFmtId="167" formatCode="[$-80A]hh:mm:ss\ AM/PM"/>
    <numFmt numFmtId="168" formatCode="[$-80A]dd\-mmm\-yy"/>
    <numFmt numFmtId="169" formatCode="&quot; $&quot;#,##0\ ;&quot; $(&quot;#,##0\);&quot; $-&quot;#\ ;@\ "/>
    <numFmt numFmtId="170" formatCode="#,##0\ ;\-#,##0\ ;&quot; -&quot;#\ ;@\ "/>
    <numFmt numFmtId="171" formatCode="#,##0.00\ ;\-#,##0.00\ ;&quot; -&quot;#\ ;@\ "/>
    <numFmt numFmtId="172" formatCode="#,##0\ ;\-#,##0\ "/>
    <numFmt numFmtId="173" formatCode="#,##0.000\ ;\-#,##0.000\ ;&quot; -&quot;#\ ;@\ "/>
    <numFmt numFmtId="174" formatCode="d\-mmm\-yyyy"/>
    <numFmt numFmtId="175" formatCode="#,##0.0\ ;\-#,##0.0\ "/>
    <numFmt numFmtId="176" formatCode="#,##0.00\ ;\-#,##0.00\ "/>
    <numFmt numFmtId="177" formatCode="&quot; $&quot;#,##0.00\ ;&quot; $(&quot;#,##0.00\);&quot; $-&quot;#\ ;@\ "/>
    <numFmt numFmtId="178" formatCode="[$-80A]dd/mm/yyyy"/>
    <numFmt numFmtId="179" formatCode="dd\ mmm&quot; de &quot;yyyy"/>
    <numFmt numFmtId="180" formatCode="#,##0;\(#,##0\)"/>
    <numFmt numFmtId="181" formatCode="#,##0.0\ ;\-#,##0.0\ ;&quot; -&quot;#\ ;@\ "/>
    <numFmt numFmtId="182" formatCode="[$-80A]mmm\-yy"/>
    <numFmt numFmtId="183" formatCode="\$#,##0;[Red]&quot;-$&quot;#,##0"/>
    <numFmt numFmtId="184" formatCode="[$-80A]#,##0;[Red]\-#,##0"/>
    <numFmt numFmtId="185" formatCode="#,##0.00_ ;\-#,##0.00\ "/>
    <numFmt numFmtId="186" formatCode="#,##0_ ;\-#,##0\ "/>
    <numFmt numFmtId="187" formatCode="\$#,##0"/>
    <numFmt numFmtId="188" formatCode="mm/yy"/>
    <numFmt numFmtId="189" formatCode="0.0"/>
    <numFmt numFmtId="190" formatCode="#,##0.000000"/>
    <numFmt numFmtId="191" formatCode="#,##0.0000000"/>
    <numFmt numFmtId="192" formatCode="#,##0.0000"/>
  </numFmts>
  <fonts count="92" x14ac:knownFonts="1">
    <font>
      <sz val="10"/>
      <color rgb="FF000000"/>
      <name val="Arial"/>
      <charset val="1"/>
    </font>
    <font>
      <sz val="10"/>
      <name val="Arial"/>
      <family val="2"/>
      <charset val="1"/>
    </font>
    <font>
      <b/>
      <sz val="9"/>
      <color rgb="FF000000"/>
      <name val="Arial"/>
      <family val="2"/>
      <charset val="1"/>
    </font>
    <font>
      <b/>
      <sz val="11"/>
      <color rgb="FF000000"/>
      <name val="Arial"/>
      <family val="2"/>
      <charset val="1"/>
    </font>
    <font>
      <sz val="8"/>
      <color rgb="FF000000"/>
      <name val="Arial"/>
      <family val="2"/>
      <charset val="1"/>
    </font>
    <font>
      <b/>
      <sz val="7"/>
      <color rgb="FF000000"/>
      <name val="Arial"/>
      <family val="2"/>
      <charset val="1"/>
    </font>
    <font>
      <sz val="6"/>
      <color rgb="FF000000"/>
      <name val="Arial"/>
      <family val="2"/>
      <charset val="1"/>
    </font>
    <font>
      <sz val="11"/>
      <name val="Arial"/>
      <family val="2"/>
      <charset val="1"/>
    </font>
    <font>
      <b/>
      <sz val="16"/>
      <color rgb="FF800000"/>
      <name val="Arial"/>
      <family val="2"/>
      <charset val="1"/>
    </font>
    <font>
      <b/>
      <sz val="14"/>
      <name val="Arial Black"/>
      <family val="2"/>
      <charset val="1"/>
    </font>
    <font>
      <b/>
      <sz val="11"/>
      <name val="Arial"/>
      <family val="2"/>
      <charset val="1"/>
    </font>
    <font>
      <sz val="14"/>
      <name val="Arial"/>
      <family val="2"/>
      <charset val="1"/>
    </font>
    <font>
      <b/>
      <sz val="10"/>
      <name val="Arial"/>
      <family val="2"/>
      <charset val="1"/>
    </font>
    <font>
      <b/>
      <sz val="20"/>
      <name val="Arial"/>
      <family val="2"/>
      <charset val="1"/>
    </font>
    <font>
      <b/>
      <sz val="14"/>
      <name val="Arial"/>
      <family val="2"/>
      <charset val="1"/>
    </font>
    <font>
      <b/>
      <sz val="13"/>
      <name val="Arial"/>
      <family val="2"/>
      <charset val="1"/>
    </font>
    <font>
      <b/>
      <sz val="12"/>
      <name val="Arial"/>
      <family val="2"/>
      <charset val="1"/>
    </font>
    <font>
      <b/>
      <sz val="18"/>
      <name val="Arial"/>
      <family val="2"/>
      <charset val="1"/>
    </font>
    <font>
      <sz val="8"/>
      <name val="Arial"/>
      <family val="2"/>
      <charset val="1"/>
    </font>
    <font>
      <b/>
      <sz val="16"/>
      <name val="Arial"/>
      <family val="2"/>
      <charset val="1"/>
    </font>
    <font>
      <sz val="12"/>
      <name val="Arial"/>
      <family val="2"/>
      <charset val="1"/>
    </font>
    <font>
      <b/>
      <sz val="8"/>
      <name val="Arial"/>
      <family val="2"/>
      <charset val="1"/>
    </font>
    <font>
      <b/>
      <sz val="10"/>
      <name val="Open Sans"/>
      <family val="2"/>
    </font>
    <font>
      <sz val="12"/>
      <color rgb="FF000000"/>
      <name val="Calibri"/>
      <family val="2"/>
      <charset val="1"/>
    </font>
    <font>
      <sz val="7"/>
      <name val="Arial"/>
      <family val="2"/>
      <charset val="1"/>
    </font>
    <font>
      <sz val="10"/>
      <name val="Open Sans"/>
      <family val="2"/>
    </font>
    <font>
      <b/>
      <sz val="8"/>
      <name val="Open Sans"/>
      <family val="2"/>
    </font>
    <font>
      <sz val="10"/>
      <color rgb="FF0000FF"/>
      <name val="Arial"/>
      <family val="2"/>
      <charset val="1"/>
    </font>
    <font>
      <b/>
      <sz val="8"/>
      <color rgb="FFFFFFFF"/>
      <name val="Arial"/>
      <family val="2"/>
      <charset val="1"/>
    </font>
    <font>
      <b/>
      <sz val="8"/>
      <color rgb="FF0000FF"/>
      <name val="Arial"/>
      <family val="2"/>
      <charset val="1"/>
    </font>
    <font>
      <b/>
      <sz val="8"/>
      <color rgb="FFFF0000"/>
      <name val="Arial"/>
      <family val="2"/>
      <charset val="1"/>
    </font>
    <font>
      <sz val="8"/>
      <color rgb="FF666699"/>
      <name val="Arial"/>
      <family val="2"/>
      <charset val="1"/>
    </font>
    <font>
      <b/>
      <sz val="8"/>
      <color rgb="FF000000"/>
      <name val="Arial"/>
      <family val="2"/>
      <charset val="1"/>
    </font>
    <font>
      <sz val="6"/>
      <name val="Times New Roman"/>
      <family val="1"/>
      <charset val="1"/>
    </font>
    <font>
      <b/>
      <sz val="9"/>
      <name val="Arial"/>
      <family val="2"/>
      <charset val="1"/>
    </font>
    <font>
      <sz val="10"/>
      <color rgb="FF008000"/>
      <name val="Arial"/>
      <family val="2"/>
      <charset val="1"/>
    </font>
    <font>
      <sz val="10"/>
      <color rgb="FFFF0000"/>
      <name val="Arial"/>
      <family val="2"/>
      <charset val="1"/>
    </font>
    <font>
      <b/>
      <sz val="15"/>
      <name val="Arial"/>
      <family val="2"/>
      <charset val="1"/>
    </font>
    <font>
      <sz val="15"/>
      <name val="Arial"/>
      <family val="2"/>
      <charset val="1"/>
    </font>
    <font>
      <b/>
      <sz val="11"/>
      <color rgb="FF0000FF"/>
      <name val="Arial"/>
      <family val="2"/>
      <charset val="1"/>
    </font>
    <font>
      <b/>
      <u/>
      <sz val="8"/>
      <name val="Arial"/>
      <family val="2"/>
      <charset val="1"/>
    </font>
    <font>
      <sz val="9"/>
      <name val="Arial"/>
      <family val="2"/>
      <charset val="1"/>
    </font>
    <font>
      <b/>
      <sz val="7"/>
      <name val="Arial"/>
      <family val="2"/>
      <charset val="1"/>
    </font>
    <font>
      <u/>
      <sz val="11"/>
      <name val="Arial"/>
      <family val="2"/>
      <charset val="1"/>
    </font>
    <font>
      <sz val="10"/>
      <color rgb="FFFFFFFF"/>
      <name val="Arial"/>
      <family val="2"/>
      <charset val="1"/>
    </font>
    <font>
      <b/>
      <sz val="18"/>
      <color rgb="FFFFFFFF"/>
      <name val="Arial"/>
      <family val="2"/>
      <charset val="1"/>
    </font>
    <font>
      <b/>
      <sz val="10"/>
      <color rgb="FF0070C0"/>
      <name val="Arial"/>
      <family val="2"/>
      <charset val="1"/>
    </font>
    <font>
      <b/>
      <sz val="16"/>
      <color rgb="FF4472C4"/>
      <name val="Open Sans"/>
      <family val="2"/>
    </font>
    <font>
      <b/>
      <sz val="16"/>
      <color rgb="FFFF0000"/>
      <name val="Open Sans"/>
      <family val="2"/>
    </font>
    <font>
      <b/>
      <sz val="16"/>
      <color rgb="FFFFC000"/>
      <name val="Open Sans"/>
      <family val="2"/>
    </font>
    <font>
      <b/>
      <sz val="16"/>
      <color rgb="FF008040"/>
      <name val="Open Sans"/>
      <family val="2"/>
    </font>
    <font>
      <sz val="16"/>
      <color rgb="FFFFFFFF"/>
      <name val="Arial"/>
      <family val="2"/>
      <charset val="1"/>
    </font>
    <font>
      <b/>
      <i/>
      <u/>
      <sz val="10"/>
      <name val="Open Sans"/>
      <family val="2"/>
    </font>
    <font>
      <b/>
      <sz val="18"/>
      <color rgb="FF008040"/>
      <name val="Open Sans"/>
      <family val="2"/>
    </font>
    <font>
      <b/>
      <sz val="12"/>
      <color rgb="FF0000FF"/>
      <name val="Open Sans"/>
      <family val="2"/>
    </font>
    <font>
      <b/>
      <sz val="9"/>
      <color rgb="FF008040"/>
      <name val="Open Sans"/>
      <family val="2"/>
    </font>
    <font>
      <b/>
      <sz val="9"/>
      <color rgb="FF0070C0"/>
      <name val="Open Sans"/>
      <family val="2"/>
    </font>
    <font>
      <b/>
      <sz val="9"/>
      <color rgb="FF000000"/>
      <name val="Open Sans"/>
      <family val="2"/>
    </font>
    <font>
      <b/>
      <sz val="9"/>
      <color rgb="FFFFFFFF"/>
      <name val="Open Sans"/>
      <family val="2"/>
    </font>
    <font>
      <sz val="10"/>
      <color rgb="FF0070C0"/>
      <name val="Arial"/>
      <family val="2"/>
      <charset val="1"/>
    </font>
    <font>
      <b/>
      <sz val="12"/>
      <color rgb="FF008040"/>
      <name val="Open Sans"/>
      <family val="2"/>
    </font>
    <font>
      <sz val="10"/>
      <color rgb="FF0432FF"/>
      <name val="Arial"/>
      <family val="2"/>
      <charset val="1"/>
    </font>
    <font>
      <b/>
      <sz val="10"/>
      <color rgb="FF000000"/>
      <name val="Arial"/>
      <family val="2"/>
      <charset val="1"/>
    </font>
    <font>
      <b/>
      <sz val="9"/>
      <name val="Open Sans"/>
      <family val="2"/>
    </font>
    <font>
      <sz val="9"/>
      <name val="Open Sans"/>
      <family val="2"/>
    </font>
    <font>
      <sz val="10"/>
      <color rgb="FF000000"/>
      <name val="Arial"/>
      <family val="2"/>
      <charset val="1"/>
    </font>
    <font>
      <i/>
      <sz val="10"/>
      <color rgb="FF767171"/>
      <name val="Arial"/>
      <family val="2"/>
      <charset val="1"/>
    </font>
    <font>
      <sz val="10"/>
      <color rgb="FFFF9900"/>
      <name val="Arial"/>
      <family val="2"/>
      <charset val="1"/>
    </font>
    <font>
      <b/>
      <sz val="16"/>
      <color rgb="FFFF0000"/>
      <name val="Arial"/>
      <family val="2"/>
      <charset val="1"/>
    </font>
    <font>
      <b/>
      <sz val="11"/>
      <color rgb="FF000000"/>
      <name val="Calibri"/>
      <family val="2"/>
      <charset val="1"/>
    </font>
    <font>
      <i/>
      <sz val="11"/>
      <color rgb="FF767171"/>
      <name val="Arial"/>
      <family val="2"/>
      <charset val="1"/>
    </font>
    <font>
      <b/>
      <sz val="10"/>
      <color rgb="FF0070C0"/>
      <name val="Open Sans"/>
      <family val="2"/>
    </font>
    <font>
      <b/>
      <sz val="14"/>
      <color rgb="FFFFFFFF"/>
      <name val="Open Sans"/>
      <family val="2"/>
    </font>
    <font>
      <sz val="20"/>
      <name val="Open Sans"/>
      <family val="2"/>
    </font>
    <font>
      <sz val="14"/>
      <name val="Open Sans"/>
      <family val="2"/>
    </font>
    <font>
      <u/>
      <sz val="14"/>
      <name val="Open Sans"/>
      <family val="2"/>
    </font>
    <font>
      <sz val="11"/>
      <name val="Open Sans"/>
      <family val="2"/>
    </font>
    <font>
      <sz val="10"/>
      <color rgb="FFFFFFFF"/>
      <name val="Open Sans"/>
      <family val="2"/>
    </font>
    <font>
      <u/>
      <sz val="10"/>
      <name val="Open Sans"/>
      <family val="2"/>
    </font>
    <font>
      <sz val="6"/>
      <name val="Open Sans"/>
      <family val="2"/>
    </font>
    <font>
      <u/>
      <sz val="12"/>
      <name val="Open Sans"/>
      <family val="2"/>
    </font>
    <font>
      <b/>
      <sz val="11"/>
      <color rgb="FFFF0000"/>
      <name val="Open Sans"/>
      <family val="2"/>
    </font>
    <font>
      <b/>
      <sz val="12"/>
      <name val="Open Sans"/>
      <family val="2"/>
    </font>
    <font>
      <sz val="11"/>
      <color rgb="FFFFFF00"/>
      <name val="Open Sans"/>
      <family val="2"/>
    </font>
    <font>
      <sz val="12"/>
      <name val="Open Sans"/>
      <family val="2"/>
    </font>
    <font>
      <sz val="10"/>
      <color rgb="FF000000"/>
      <name val="Open Sans"/>
      <family val="2"/>
    </font>
    <font>
      <sz val="11"/>
      <color rgb="FFFFFFFF"/>
      <name val="Open Sans"/>
      <family val="2"/>
    </font>
    <font>
      <sz val="8"/>
      <name val="Open Sans"/>
      <family val="2"/>
    </font>
    <font>
      <i/>
      <sz val="8"/>
      <name val="Open Sans"/>
      <family val="2"/>
    </font>
    <font>
      <b/>
      <sz val="16"/>
      <color rgb="FFFFFFFF"/>
      <name val="Arial"/>
      <family val="2"/>
      <charset val="1"/>
    </font>
    <font>
      <sz val="10"/>
      <color rgb="FF000000"/>
      <name val="Arial"/>
      <family val="2"/>
    </font>
    <font>
      <b/>
      <sz val="10"/>
      <color rgb="FF000000"/>
      <name val="Arial"/>
      <family val="2"/>
    </font>
  </fonts>
  <fills count="19">
    <fill>
      <patternFill patternType="none"/>
    </fill>
    <fill>
      <patternFill patternType="gray125"/>
    </fill>
    <fill>
      <patternFill patternType="solid">
        <fgColor rgb="FF969696"/>
        <bgColor rgb="FF7F7F7F"/>
      </patternFill>
    </fill>
    <fill>
      <patternFill patternType="solid">
        <fgColor rgb="FFC0C0C0"/>
        <bgColor rgb="FF9DC3E6"/>
      </patternFill>
    </fill>
    <fill>
      <patternFill patternType="solid">
        <fgColor rgb="FFFFFFFF"/>
        <bgColor rgb="FFEFEFEF"/>
      </patternFill>
    </fill>
    <fill>
      <patternFill patternType="solid">
        <fgColor rgb="FFFFFF99"/>
        <bgColor rgb="FFFFFFCC"/>
      </patternFill>
    </fill>
    <fill>
      <patternFill patternType="solid">
        <fgColor rgb="FFFFFFCC"/>
        <bgColor rgb="FFFFFFFF"/>
      </patternFill>
    </fill>
    <fill>
      <patternFill patternType="solid">
        <fgColor rgb="FFFFFF00"/>
        <bgColor rgb="FFFFFF00"/>
      </patternFill>
    </fill>
    <fill>
      <patternFill patternType="solid">
        <fgColor rgb="FFEFEFEF"/>
        <bgColor rgb="FFFFFFFF"/>
      </patternFill>
    </fill>
    <fill>
      <patternFill patternType="solid">
        <fgColor rgb="FF24CD7B"/>
        <bgColor rgb="FF00B050"/>
      </patternFill>
    </fill>
    <fill>
      <patternFill patternType="solid">
        <fgColor rgb="FFFFE699"/>
        <bgColor rgb="FFFFFF99"/>
      </patternFill>
    </fill>
    <fill>
      <patternFill patternType="solid">
        <fgColor rgb="FF9DC3E6"/>
        <bgColor rgb="FFC0C0C0"/>
      </patternFill>
    </fill>
    <fill>
      <patternFill patternType="solid">
        <fgColor rgb="FFFFD966"/>
        <bgColor rgb="FFFFE699"/>
      </patternFill>
    </fill>
    <fill>
      <patternFill patternType="solid">
        <fgColor rgb="FF767171"/>
        <bgColor rgb="FF7F7F7F"/>
      </patternFill>
    </fill>
    <fill>
      <patternFill patternType="solid">
        <fgColor rgb="FFD9D9D9"/>
        <bgColor rgb="FFEFEFEF"/>
      </patternFill>
    </fill>
    <fill>
      <patternFill patternType="solid">
        <fgColor rgb="FF7F7F7F"/>
        <bgColor rgb="FF767171"/>
      </patternFill>
    </fill>
    <fill>
      <patternFill patternType="solid">
        <fgColor rgb="FF00B050"/>
        <bgColor rgb="FF24CD7B"/>
      </patternFill>
    </fill>
    <fill>
      <patternFill patternType="solid">
        <fgColor rgb="FFFFFF00"/>
        <bgColor rgb="FFFFFF99"/>
      </patternFill>
    </fill>
    <fill>
      <patternFill patternType="solid">
        <fgColor theme="0"/>
        <bgColor rgb="FFFFFF99"/>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bottom/>
      <diagonal/>
    </border>
    <border>
      <left/>
      <right style="thin">
        <color auto="1"/>
      </right>
      <top/>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medium">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top/>
      <bottom/>
      <diagonal/>
    </border>
    <border>
      <left/>
      <right style="hair">
        <color auto="1"/>
      </right>
      <top/>
      <bottom/>
      <diagonal/>
    </border>
    <border>
      <left/>
      <right/>
      <top style="thin">
        <color auto="1"/>
      </top>
      <bottom/>
      <diagonal/>
    </border>
    <border>
      <left/>
      <right style="thin">
        <color auto="1"/>
      </right>
      <top style="thin">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thin">
        <color auto="1"/>
      </bottom>
      <diagonal/>
    </border>
    <border>
      <left style="hair">
        <color auto="1"/>
      </left>
      <right style="hair">
        <color auto="1"/>
      </right>
      <top style="thin">
        <color auto="1"/>
      </top>
      <bottom style="hair">
        <color auto="1"/>
      </bottom>
      <diagonal/>
    </border>
    <border>
      <left style="thin">
        <color rgb="FF00B050"/>
      </left>
      <right style="thin">
        <color rgb="FF00B050"/>
      </right>
      <top style="thin">
        <color rgb="FF00B050"/>
      </top>
      <bottom style="thin">
        <color rgb="FF00B050"/>
      </bottom>
      <diagonal/>
    </border>
    <border>
      <left/>
      <right style="thin">
        <color rgb="FF24CD7B"/>
      </right>
      <top style="thin">
        <color rgb="FF24CD7B"/>
      </top>
      <bottom style="thin">
        <color rgb="FF24CD7B"/>
      </bottom>
      <diagonal/>
    </border>
    <border>
      <left style="thin">
        <color rgb="FF00B050"/>
      </left>
      <right style="thin">
        <color rgb="FF24CD7B"/>
      </right>
      <top style="thin">
        <color rgb="FF92D050"/>
      </top>
      <bottom style="thin">
        <color rgb="FF00B050"/>
      </bottom>
      <diagonal/>
    </border>
    <border>
      <left style="thin">
        <color rgb="FF24CD7B"/>
      </left>
      <right/>
      <top style="thin">
        <color rgb="FF24CD7B"/>
      </top>
      <bottom style="thin">
        <color rgb="FF00B050"/>
      </bottom>
      <diagonal/>
    </border>
    <border>
      <left/>
      <right/>
      <top style="thin">
        <color rgb="FF24CD7B"/>
      </top>
      <bottom/>
      <diagonal/>
    </border>
    <border>
      <left style="thin">
        <color rgb="FF00B050"/>
      </left>
      <right style="thin">
        <color rgb="FF00B050"/>
      </right>
      <top style="thin">
        <color rgb="FF00B050"/>
      </top>
      <bottom style="thin">
        <color rgb="FF24CD7B"/>
      </bottom>
      <diagonal/>
    </border>
    <border>
      <left style="thin">
        <color rgb="FF24CD7B"/>
      </left>
      <right/>
      <top style="thin">
        <color rgb="FF24CD7B"/>
      </top>
      <bottom style="thin">
        <color rgb="FF24CD7B"/>
      </bottom>
      <diagonal/>
    </border>
    <border>
      <left style="thin">
        <color rgb="FF24CD7B"/>
      </left>
      <right style="thin">
        <color rgb="FF24CD7B"/>
      </right>
      <top style="thin">
        <color rgb="FF24CD7B"/>
      </top>
      <bottom style="thin">
        <color rgb="FF24CD7B"/>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style="thin">
        <color rgb="FF00B050"/>
      </right>
      <top/>
      <bottom style="thin">
        <color rgb="FF00B050"/>
      </bottom>
      <diagonal/>
    </border>
    <border>
      <left style="thin">
        <color rgb="FF00B050"/>
      </left>
      <right style="thin">
        <color rgb="FF00B050"/>
      </right>
      <top style="thin">
        <color rgb="FF00B050"/>
      </top>
      <bottom/>
      <diagonal/>
    </border>
    <border>
      <left/>
      <right style="thin">
        <color rgb="FF00B050"/>
      </right>
      <top style="thin">
        <color rgb="FF00B050"/>
      </top>
      <bottom style="thin">
        <color rgb="FF24CD7B"/>
      </bottom>
      <diagonal/>
    </border>
    <border>
      <left style="thin">
        <color rgb="FF00B050"/>
      </left>
      <right style="thin">
        <color rgb="FF00B050"/>
      </right>
      <top/>
      <bottom/>
      <diagonal/>
    </border>
    <border>
      <left/>
      <right style="thin">
        <color rgb="FF00B050"/>
      </right>
      <top style="thin">
        <color rgb="FF24CD7B"/>
      </top>
      <bottom style="thin">
        <color rgb="FF24CD7B"/>
      </bottom>
      <diagonal/>
    </border>
    <border>
      <left/>
      <right style="thin">
        <color rgb="FF24CD7B"/>
      </right>
      <top/>
      <bottom style="thin">
        <color rgb="FF24CD7B"/>
      </bottom>
      <diagonal/>
    </border>
    <border>
      <left style="thin">
        <color rgb="FF00B050"/>
      </left>
      <right/>
      <top/>
      <bottom/>
      <diagonal/>
    </border>
    <border>
      <left/>
      <right style="thin">
        <color rgb="FF00B050"/>
      </right>
      <top/>
      <bottom/>
      <diagonal/>
    </border>
    <border>
      <left style="thin">
        <color rgb="FF24CD7B"/>
      </left>
      <right style="thin">
        <color rgb="FF00B050"/>
      </right>
      <top style="thin">
        <color rgb="FF24CD7B"/>
      </top>
      <bottom style="thin">
        <color rgb="FF24CD7B"/>
      </bottom>
      <diagonal/>
    </border>
    <border>
      <left style="thin">
        <color rgb="FF24CD7B"/>
      </left>
      <right style="thin">
        <color rgb="FF00B050"/>
      </right>
      <top style="thin">
        <color rgb="FF24CD7B"/>
      </top>
      <bottom/>
      <diagonal/>
    </border>
    <border>
      <left style="thin">
        <color rgb="FF24CD7B"/>
      </left>
      <right style="thin">
        <color rgb="FF24CD7B"/>
      </right>
      <top style="thin">
        <color rgb="FF24CD7B"/>
      </top>
      <bottom/>
      <diagonal/>
    </border>
    <border>
      <left style="thin">
        <color rgb="FF00B050"/>
      </left>
      <right style="thin">
        <color rgb="FF24CD7B"/>
      </right>
      <top style="thin">
        <color rgb="FF00B050"/>
      </top>
      <bottom style="thin">
        <color rgb="FF00B050"/>
      </bottom>
      <diagonal/>
    </border>
    <border>
      <left style="thin">
        <color rgb="FF24CD7B"/>
      </left>
      <right style="thin">
        <color rgb="FF00B050"/>
      </right>
      <top style="thin">
        <color rgb="FF00B050"/>
      </top>
      <bottom style="thin">
        <color rgb="FF00B050"/>
      </bottom>
      <diagonal/>
    </border>
    <border>
      <left/>
      <right/>
      <top style="thin">
        <color rgb="FF00B050"/>
      </top>
      <bottom/>
      <diagonal/>
    </border>
    <border>
      <left/>
      <right style="thin">
        <color rgb="FF24CD7B"/>
      </right>
      <top/>
      <bottom/>
      <diagonal/>
    </border>
    <border>
      <left/>
      <right/>
      <top/>
      <bottom style="thin">
        <color rgb="FF00B050"/>
      </bottom>
      <diagonal/>
    </border>
    <border>
      <left style="medium">
        <color rgb="FFFF0000"/>
      </left>
      <right style="medium">
        <color rgb="FFFF0000"/>
      </right>
      <top style="medium">
        <color rgb="FFFF0000"/>
      </top>
      <bottom style="medium">
        <color rgb="FFFF0000"/>
      </bottom>
      <diagonal/>
    </border>
  </borders>
  <cellStyleXfs count="6">
    <xf numFmtId="0" fontId="0" fillId="0" borderId="0"/>
    <xf numFmtId="9" fontId="90" fillId="0" borderId="0" applyBorder="0" applyProtection="0"/>
    <xf numFmtId="165" fontId="90" fillId="0" borderId="0" applyBorder="0" applyProtection="0"/>
    <xf numFmtId="165" fontId="90" fillId="0" borderId="0" applyBorder="0" applyProtection="0"/>
    <xf numFmtId="0" fontId="1" fillId="0" borderId="0"/>
    <xf numFmtId="0" fontId="1" fillId="0" borderId="0"/>
  </cellStyleXfs>
  <cellXfs count="651">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3" fontId="4" fillId="0" borderId="0" xfId="0" applyNumberFormat="1" applyFont="1" applyAlignment="1">
      <alignment vertical="center"/>
    </xf>
    <xf numFmtId="9" fontId="4" fillId="0" borderId="0" xfId="0" applyNumberFormat="1" applyFont="1" applyAlignment="1">
      <alignment vertical="center"/>
    </xf>
    <xf numFmtId="3" fontId="5" fillId="0" borderId="0" xfId="0" applyNumberFormat="1" applyFont="1" applyAlignment="1">
      <alignment vertical="center"/>
    </xf>
    <xf numFmtId="9" fontId="5" fillId="0" borderId="0" xfId="0" applyNumberFormat="1" applyFont="1" applyAlignment="1">
      <alignment vertical="center"/>
    </xf>
    <xf numFmtId="0" fontId="5" fillId="0" borderId="0" xfId="0" applyFont="1" applyAlignment="1">
      <alignment horizontal="left" vertical="center"/>
    </xf>
    <xf numFmtId="0" fontId="6" fillId="0" borderId="0" xfId="0" applyFont="1" applyAlignment="1">
      <alignment horizontal="left" vertical="center"/>
    </xf>
    <xf numFmtId="166" fontId="4" fillId="0" borderId="0" xfId="0" applyNumberFormat="1" applyFont="1" applyAlignment="1">
      <alignment vertical="center"/>
    </xf>
    <xf numFmtId="167" fontId="4" fillId="0" borderId="0" xfId="0" applyNumberFormat="1" applyFont="1" applyAlignment="1">
      <alignment vertical="center"/>
    </xf>
    <xf numFmtId="0" fontId="4" fillId="0" borderId="0" xfId="0" applyFont="1" applyAlignment="1">
      <alignment horizontal="right" vertical="center"/>
    </xf>
    <xf numFmtId="0" fontId="7" fillId="0" borderId="0" xfId="0" applyFont="1"/>
    <xf numFmtId="0" fontId="7" fillId="0" borderId="0" xfId="0" applyFont="1" applyAlignment="1">
      <alignment horizontal="center"/>
    </xf>
    <xf numFmtId="0" fontId="7" fillId="0" borderId="0" xfId="0" applyFont="1" applyAlignment="1">
      <alignment horizontal="left"/>
    </xf>
    <xf numFmtId="0" fontId="7" fillId="0" borderId="8" xfId="0" applyFont="1" applyBorder="1" applyAlignment="1">
      <alignment horizontal="left" vertical="center"/>
    </xf>
    <xf numFmtId="0" fontId="7" fillId="0" borderId="0" xfId="0" applyFont="1" applyAlignment="1">
      <alignment horizontal="left" vertical="center"/>
    </xf>
    <xf numFmtId="0" fontId="7" fillId="0" borderId="9" xfId="0" applyFont="1" applyBorder="1" applyAlignment="1">
      <alignment horizontal="center"/>
    </xf>
    <xf numFmtId="0" fontId="7" fillId="0" borderId="8" xfId="0" applyFont="1" applyBorder="1" applyAlignment="1">
      <alignment horizontal="left"/>
    </xf>
    <xf numFmtId="0" fontId="10" fillId="0" borderId="0" xfId="0" applyFont="1" applyAlignment="1">
      <alignment horizontal="center"/>
    </xf>
    <xf numFmtId="0" fontId="7" fillId="0" borderId="9" xfId="0" applyFont="1" applyBorder="1" applyAlignment="1">
      <alignment horizontal="left"/>
    </xf>
    <xf numFmtId="0" fontId="7" fillId="0" borderId="0" xfId="0" applyFont="1" applyAlignment="1">
      <alignment horizontal="center" vertical="center" wrapText="1"/>
    </xf>
    <xf numFmtId="0" fontId="10" fillId="0" borderId="0" xfId="0" applyFont="1" applyAlignment="1">
      <alignment horizontal="center" vertical="center" wrapText="1"/>
    </xf>
    <xf numFmtId="169" fontId="7" fillId="0" borderId="0" xfId="0" applyNumberFormat="1" applyFont="1" applyAlignment="1">
      <alignment horizontal="center"/>
    </xf>
    <xf numFmtId="169" fontId="7" fillId="0" borderId="9" xfId="0" applyNumberFormat="1" applyFont="1" applyBorder="1" applyAlignment="1">
      <alignment horizontal="center"/>
    </xf>
    <xf numFmtId="0" fontId="10" fillId="0" borderId="0" xfId="0" applyFont="1"/>
    <xf numFmtId="0" fontId="10" fillId="0" borderId="8" xfId="0" applyFont="1" applyBorder="1" applyAlignment="1">
      <alignment horizontal="left"/>
    </xf>
    <xf numFmtId="0" fontId="10" fillId="0" borderId="0" xfId="0" applyFont="1" applyAlignment="1">
      <alignment horizontal="left"/>
    </xf>
    <xf numFmtId="169" fontId="10" fillId="0" borderId="0" xfId="0" applyNumberFormat="1" applyFont="1" applyAlignment="1">
      <alignment horizontal="center"/>
    </xf>
    <xf numFmtId="0" fontId="10" fillId="0" borderId="9" xfId="0" applyFont="1" applyBorder="1" applyAlignment="1">
      <alignment horizontal="center"/>
    </xf>
    <xf numFmtId="0" fontId="10" fillId="0" borderId="10" xfId="0" applyFont="1" applyBorder="1" applyAlignment="1">
      <alignment horizontal="center" vertical="center" wrapText="1"/>
    </xf>
    <xf numFmtId="169" fontId="10" fillId="0" borderId="10" xfId="0" applyNumberFormat="1" applyFont="1" applyBorder="1" applyAlignment="1">
      <alignment horizontal="center" vertical="center" wrapText="1"/>
    </xf>
    <xf numFmtId="169" fontId="10" fillId="0" borderId="11" xfId="0" applyNumberFormat="1" applyFont="1" applyBorder="1" applyAlignment="1">
      <alignment horizontal="center" vertical="center" wrapText="1"/>
    </xf>
    <xf numFmtId="9" fontId="7" fillId="0" borderId="0" xfId="0" applyNumberFormat="1" applyFont="1" applyAlignment="1">
      <alignment horizontal="center" vertical="center" wrapText="1"/>
    </xf>
    <xf numFmtId="170" fontId="7" fillId="0" borderId="0" xfId="0" applyNumberFormat="1" applyFont="1" applyAlignment="1">
      <alignment horizontal="center"/>
    </xf>
    <xf numFmtId="171" fontId="7" fillId="0" borderId="0" xfId="0" applyNumberFormat="1" applyFont="1" applyAlignment="1">
      <alignment horizontal="center"/>
    </xf>
    <xf numFmtId="172" fontId="7" fillId="0" borderId="9" xfId="0" applyNumberFormat="1" applyFont="1" applyBorder="1" applyAlignment="1">
      <alignment horizontal="center"/>
    </xf>
    <xf numFmtId="10" fontId="7" fillId="0" borderId="9" xfId="0" applyNumberFormat="1" applyFont="1" applyBorder="1" applyAlignment="1">
      <alignment horizontal="center"/>
    </xf>
    <xf numFmtId="0" fontId="10" fillId="0" borderId="12" xfId="0" applyFont="1" applyBorder="1" applyAlignment="1">
      <alignment horizontal="left"/>
    </xf>
    <xf numFmtId="0" fontId="7" fillId="0" borderId="13" xfId="0" applyFont="1" applyBorder="1" applyAlignment="1">
      <alignment horizontal="left"/>
    </xf>
    <xf numFmtId="0" fontId="7" fillId="0" borderId="13" xfId="0" applyFont="1" applyBorder="1" applyAlignment="1">
      <alignment horizontal="center"/>
    </xf>
    <xf numFmtId="171" fontId="7" fillId="0" borderId="13" xfId="0" applyNumberFormat="1" applyFont="1" applyBorder="1" applyAlignment="1">
      <alignment horizontal="center"/>
    </xf>
    <xf numFmtId="173" fontId="7" fillId="0" borderId="13" xfId="0" applyNumberFormat="1" applyFont="1" applyBorder="1" applyAlignment="1">
      <alignment horizontal="center"/>
    </xf>
    <xf numFmtId="0" fontId="7" fillId="0" borderId="14" xfId="0" applyFont="1" applyBorder="1" applyAlignment="1">
      <alignment horizontal="left"/>
    </xf>
    <xf numFmtId="10" fontId="7" fillId="0" borderId="0" xfId="0" applyNumberFormat="1" applyFont="1" applyAlignment="1">
      <alignment horizontal="right"/>
    </xf>
    <xf numFmtId="10" fontId="7" fillId="0" borderId="0" xfId="0" applyNumberFormat="1" applyFont="1" applyAlignment="1">
      <alignment horizontal="center"/>
    </xf>
    <xf numFmtId="0" fontId="7" fillId="0" borderId="0" xfId="0" applyFont="1" applyAlignment="1">
      <alignment horizontal="right"/>
    </xf>
    <xf numFmtId="0" fontId="7" fillId="0" borderId="9" xfId="0" applyFont="1" applyBorder="1" applyAlignment="1">
      <alignment horizontal="right"/>
    </xf>
    <xf numFmtId="0" fontId="1" fillId="0" borderId="0" xfId="0" applyFont="1" applyAlignment="1">
      <alignment horizontal="center"/>
    </xf>
    <xf numFmtId="170" fontId="1" fillId="0" borderId="0" xfId="0" applyNumberFormat="1" applyFont="1" applyAlignment="1">
      <alignment horizontal="center"/>
    </xf>
    <xf numFmtId="170" fontId="1" fillId="0" borderId="9" xfId="0" applyNumberFormat="1" applyFont="1" applyBorder="1" applyAlignment="1">
      <alignment horizontal="left"/>
    </xf>
    <xf numFmtId="170" fontId="1" fillId="0" borderId="0" xfId="0" applyNumberFormat="1" applyFont="1" applyAlignment="1">
      <alignment horizontal="right"/>
    </xf>
    <xf numFmtId="170" fontId="1" fillId="0" borderId="9" xfId="0" applyNumberFormat="1" applyFont="1" applyBorder="1" applyAlignment="1">
      <alignment horizontal="center"/>
    </xf>
    <xf numFmtId="0" fontId="12" fillId="0" borderId="8" xfId="0" applyFont="1" applyBorder="1" applyAlignment="1">
      <alignment horizontal="left"/>
    </xf>
    <xf numFmtId="0" fontId="7" fillId="0" borderId="8" xfId="0" applyFont="1" applyBorder="1"/>
    <xf numFmtId="0" fontId="7" fillId="0" borderId="9" xfId="0" applyFont="1" applyBorder="1"/>
    <xf numFmtId="0" fontId="7" fillId="0" borderId="12" xfId="0" applyFont="1" applyBorder="1"/>
    <xf numFmtId="0" fontId="7" fillId="0" borderId="13" xfId="0" applyFont="1" applyBorder="1"/>
    <xf numFmtId="0" fontId="7" fillId="0" borderId="14" xfId="0" applyFont="1" applyBorder="1"/>
    <xf numFmtId="0" fontId="11" fillId="0" borderId="12" xfId="0" applyFont="1" applyBorder="1" applyAlignment="1">
      <alignment vertical="center"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7" fillId="2" borderId="15" xfId="0" applyFont="1" applyFill="1" applyBorder="1" applyAlignment="1">
      <alignment horizontal="left"/>
    </xf>
    <xf numFmtId="0" fontId="7" fillId="2" borderId="21" xfId="0" applyFont="1" applyFill="1" applyBorder="1" applyAlignment="1">
      <alignment horizontal="left"/>
    </xf>
    <xf numFmtId="0" fontId="11" fillId="0" borderId="12" xfId="0" applyFont="1" applyBorder="1" applyAlignment="1">
      <alignment vertical="center"/>
    </xf>
    <xf numFmtId="0" fontId="11" fillId="0" borderId="13" xfId="0" applyFont="1" applyBorder="1" applyAlignment="1">
      <alignment vertical="center"/>
    </xf>
    <xf numFmtId="0" fontId="11" fillId="0" borderId="14" xfId="0" applyFont="1" applyBorder="1" applyAlignment="1">
      <alignment vertical="center"/>
    </xf>
    <xf numFmtId="0" fontId="10" fillId="0" borderId="0" xfId="0" applyFont="1" applyAlignment="1">
      <alignment horizontal="right"/>
    </xf>
    <xf numFmtId="0" fontId="7" fillId="0" borderId="12" xfId="0" applyFont="1" applyBorder="1" applyAlignment="1">
      <alignment horizontal="left"/>
    </xf>
    <xf numFmtId="0" fontId="10" fillId="4" borderId="0" xfId="0" applyFont="1" applyFill="1" applyAlignment="1">
      <alignment horizontal="center" vertical="center" textRotation="90" wrapText="1"/>
    </xf>
    <xf numFmtId="0" fontId="7" fillId="4" borderId="0" xfId="0" applyFont="1" applyFill="1" applyAlignment="1">
      <alignment horizontal="left"/>
    </xf>
    <xf numFmtId="0" fontId="7" fillId="4" borderId="0" xfId="0" applyFont="1" applyFill="1"/>
    <xf numFmtId="0" fontId="1" fillId="0" borderId="24" xfId="0" applyFont="1" applyBorder="1"/>
    <xf numFmtId="0" fontId="1" fillId="0" borderId="25" xfId="0" applyFont="1" applyBorder="1"/>
    <xf numFmtId="0" fontId="1" fillId="0" borderId="25" xfId="0" applyFont="1" applyBorder="1" applyAlignment="1">
      <alignment horizontal="center"/>
    </xf>
    <xf numFmtId="0" fontId="1" fillId="0" borderId="26" xfId="0" applyFont="1" applyBorder="1"/>
    <xf numFmtId="0" fontId="15" fillId="0" borderId="28" xfId="0" applyFont="1" applyBorder="1"/>
    <xf numFmtId="0" fontId="15" fillId="0" borderId="29" xfId="0" applyFont="1" applyBorder="1"/>
    <xf numFmtId="0" fontId="1" fillId="0" borderId="29" xfId="0" applyFont="1" applyBorder="1"/>
    <xf numFmtId="0" fontId="1" fillId="0" borderId="29" xfId="0" applyFont="1" applyBorder="1" applyAlignment="1">
      <alignment horizontal="center"/>
    </xf>
    <xf numFmtId="0" fontId="1" fillId="0" borderId="29" xfId="0" applyFont="1" applyBorder="1" applyAlignment="1">
      <alignment horizontal="center" vertical="center"/>
    </xf>
    <xf numFmtId="0" fontId="1" fillId="0" borderId="30" xfId="0" applyFont="1" applyBorder="1"/>
    <xf numFmtId="0" fontId="1" fillId="0" borderId="24" xfId="0" applyFont="1" applyBorder="1" applyAlignment="1">
      <alignment horizontal="left"/>
    </xf>
    <xf numFmtId="0" fontId="1" fillId="0" borderId="25" xfId="0" applyFont="1" applyBorder="1" applyAlignment="1">
      <alignment horizontal="left"/>
    </xf>
    <xf numFmtId="0" fontId="1" fillId="0" borderId="26" xfId="0" applyFont="1" applyBorder="1" applyAlignment="1">
      <alignment horizontal="left"/>
    </xf>
    <xf numFmtId="0" fontId="1" fillId="0" borderId="31" xfId="0" applyFont="1" applyBorder="1" applyAlignment="1">
      <alignment horizontal="left"/>
    </xf>
    <xf numFmtId="0" fontId="1" fillId="0" borderId="0" xfId="0" applyFont="1" applyAlignment="1">
      <alignment horizontal="left"/>
    </xf>
    <xf numFmtId="0" fontId="16" fillId="0" borderId="0" xfId="0" applyFont="1" applyAlignment="1">
      <alignment horizontal="left"/>
    </xf>
    <xf numFmtId="174" fontId="16" fillId="0" borderId="0" xfId="0" applyNumberFormat="1" applyFont="1" applyAlignment="1">
      <alignment horizontal="left"/>
    </xf>
    <xf numFmtId="0" fontId="1" fillId="0" borderId="32" xfId="0" applyFont="1" applyBorder="1" applyAlignment="1">
      <alignment horizontal="left"/>
    </xf>
    <xf numFmtId="0" fontId="1" fillId="0" borderId="18" xfId="0" applyFont="1" applyBorder="1" applyAlignment="1">
      <alignment horizontal="left"/>
    </xf>
    <xf numFmtId="0" fontId="1" fillId="0" borderId="33" xfId="0" applyFont="1" applyBorder="1" applyAlignment="1">
      <alignment horizontal="left"/>
    </xf>
    <xf numFmtId="0" fontId="12" fillId="0" borderId="33" xfId="0" applyFont="1" applyBorder="1" applyAlignment="1">
      <alignment horizontal="right"/>
    </xf>
    <xf numFmtId="0" fontId="1" fillId="0" borderId="33" xfId="0" applyFont="1" applyBorder="1" applyAlignment="1">
      <alignment horizontal="right"/>
    </xf>
    <xf numFmtId="0" fontId="1" fillId="0" borderId="34" xfId="0" applyFont="1" applyBorder="1" applyAlignment="1">
      <alignment horizontal="left"/>
    </xf>
    <xf numFmtId="0" fontId="1" fillId="0" borderId="8" xfId="0" applyFont="1" applyBorder="1" applyAlignment="1">
      <alignment horizontal="left"/>
    </xf>
    <xf numFmtId="0" fontId="12" fillId="0" borderId="0" xfId="0" applyFont="1" applyAlignment="1">
      <alignment horizontal="center"/>
    </xf>
    <xf numFmtId="0" fontId="1" fillId="0" borderId="9" xfId="0" applyFont="1" applyBorder="1" applyAlignment="1">
      <alignment horizontal="left"/>
    </xf>
    <xf numFmtId="0" fontId="1" fillId="0" borderId="0" xfId="0" applyFont="1" applyAlignment="1">
      <alignment horizontal="center" vertical="center" wrapText="1"/>
    </xf>
    <xf numFmtId="0" fontId="12" fillId="0" borderId="0" xfId="0" applyFont="1" applyAlignment="1">
      <alignment horizontal="center" vertical="center" wrapText="1"/>
    </xf>
    <xf numFmtId="169" fontId="1" fillId="0" borderId="0" xfId="0" applyNumberFormat="1" applyFont="1" applyAlignment="1">
      <alignment horizontal="center"/>
    </xf>
    <xf numFmtId="0" fontId="12" fillId="0" borderId="0" xfId="0" applyFont="1"/>
    <xf numFmtId="0" fontId="12" fillId="0" borderId="0" xfId="0" applyFont="1" applyAlignment="1">
      <alignment horizontal="left"/>
    </xf>
    <xf numFmtId="0" fontId="12" fillId="0" borderId="10" xfId="0" applyFont="1" applyBorder="1" applyAlignment="1">
      <alignment horizontal="center" vertical="center" wrapText="1"/>
    </xf>
    <xf numFmtId="169" fontId="12" fillId="0" borderId="10" xfId="0" applyNumberFormat="1" applyFont="1" applyBorder="1" applyAlignment="1">
      <alignment horizontal="center" vertical="center" wrapText="1"/>
    </xf>
    <xf numFmtId="9" fontId="1" fillId="0" borderId="0" xfId="0" applyNumberFormat="1" applyFont="1" applyAlignment="1">
      <alignment horizontal="center" vertical="center" wrapText="1"/>
    </xf>
    <xf numFmtId="0" fontId="18" fillId="0" borderId="0" xfId="0" applyFont="1" applyAlignment="1">
      <alignment horizontal="center" vertical="center" wrapText="1"/>
    </xf>
    <xf numFmtId="170" fontId="12" fillId="0" borderId="0" xfId="0" applyNumberFormat="1" applyFont="1" applyAlignment="1">
      <alignment horizontal="center"/>
    </xf>
    <xf numFmtId="170" fontId="12" fillId="0" borderId="10" xfId="0" applyNumberFormat="1" applyFont="1" applyBorder="1" applyAlignment="1">
      <alignment horizontal="center"/>
    </xf>
    <xf numFmtId="9" fontId="1" fillId="0" borderId="0" xfId="0" applyNumberFormat="1" applyFont="1" applyAlignment="1">
      <alignment horizontal="right"/>
    </xf>
    <xf numFmtId="0" fontId="1" fillId="0" borderId="0" xfId="0" applyFont="1" applyAlignment="1">
      <alignment horizontal="right"/>
    </xf>
    <xf numFmtId="0" fontId="1" fillId="0" borderId="9" xfId="0" applyFont="1" applyBorder="1"/>
    <xf numFmtId="170" fontId="12" fillId="0" borderId="13" xfId="0" applyNumberFormat="1" applyFont="1" applyBorder="1" applyAlignment="1">
      <alignment vertical="center"/>
    </xf>
    <xf numFmtId="169" fontId="12" fillId="0" borderId="10" xfId="0" applyNumberFormat="1" applyFont="1" applyBorder="1" applyAlignment="1">
      <alignment horizontal="center"/>
    </xf>
    <xf numFmtId="171" fontId="1" fillId="0" borderId="0" xfId="0" applyNumberFormat="1" applyFont="1" applyAlignment="1">
      <alignment horizontal="center"/>
    </xf>
    <xf numFmtId="0" fontId="12" fillId="0" borderId="0" xfId="0" applyFont="1" applyAlignment="1">
      <alignment horizontal="right"/>
    </xf>
    <xf numFmtId="0" fontId="12" fillId="0" borderId="12" xfId="0" applyFont="1" applyBorder="1" applyAlignment="1">
      <alignment horizontal="left"/>
    </xf>
    <xf numFmtId="0" fontId="1" fillId="0" borderId="13" xfId="0" applyFont="1" applyBorder="1" applyAlignment="1">
      <alignment horizontal="left"/>
    </xf>
    <xf numFmtId="0" fontId="1" fillId="0" borderId="13" xfId="0" applyFont="1" applyBorder="1" applyAlignment="1">
      <alignment horizontal="center"/>
    </xf>
    <xf numFmtId="171" fontId="1" fillId="0" borderId="13" xfId="0" applyNumberFormat="1" applyFont="1" applyBorder="1" applyAlignment="1">
      <alignment horizontal="center"/>
    </xf>
    <xf numFmtId="173" fontId="1" fillId="0" borderId="13" xfId="0" applyNumberFormat="1" applyFont="1" applyBorder="1" applyAlignment="1">
      <alignment horizontal="center"/>
    </xf>
    <xf numFmtId="0" fontId="1" fillId="0" borderId="14" xfId="0" applyFont="1" applyBorder="1" applyAlignment="1">
      <alignment horizontal="left"/>
    </xf>
    <xf numFmtId="0" fontId="19" fillId="0" borderId="18" xfId="0" applyFont="1" applyBorder="1" applyAlignment="1">
      <alignment horizontal="left"/>
    </xf>
    <xf numFmtId="0" fontId="1" fillId="0" borderId="33" xfId="0" applyFont="1" applyBorder="1" applyAlignment="1">
      <alignment horizontal="center"/>
    </xf>
    <xf numFmtId="177" fontId="1" fillId="0" borderId="0" xfId="0" applyNumberFormat="1" applyFont="1" applyAlignment="1">
      <alignment horizontal="center"/>
    </xf>
    <xf numFmtId="10" fontId="1" fillId="0" borderId="0" xfId="0" applyNumberFormat="1" applyFont="1" applyAlignment="1">
      <alignment horizontal="right"/>
    </xf>
    <xf numFmtId="0" fontId="19" fillId="0" borderId="8" xfId="0" applyFont="1" applyBorder="1" applyAlignment="1">
      <alignment horizontal="left"/>
    </xf>
    <xf numFmtId="174" fontId="12" fillId="0" borderId="0" xfId="0" applyNumberFormat="1" applyFont="1" applyAlignment="1">
      <alignment horizontal="center"/>
    </xf>
    <xf numFmtId="10" fontId="1" fillId="0" borderId="0" xfId="0" applyNumberFormat="1" applyFont="1" applyAlignment="1">
      <alignment horizontal="center"/>
    </xf>
    <xf numFmtId="0" fontId="1" fillId="0" borderId="9" xfId="0" applyFont="1" applyBorder="1" applyAlignment="1">
      <alignment horizontal="right"/>
    </xf>
    <xf numFmtId="0" fontId="1" fillId="0" borderId="9" xfId="0" applyFont="1" applyBorder="1" applyAlignment="1">
      <alignment horizontal="center"/>
    </xf>
    <xf numFmtId="10" fontId="12" fillId="0" borderId="0" xfId="0" applyNumberFormat="1" applyFont="1" applyAlignment="1">
      <alignment horizontal="center"/>
    </xf>
    <xf numFmtId="0" fontId="1" fillId="0" borderId="0" xfId="0" applyFont="1"/>
    <xf numFmtId="0" fontId="1" fillId="0" borderId="12" xfId="0" applyFont="1" applyBorder="1" applyAlignment="1">
      <alignment horizontal="left"/>
    </xf>
    <xf numFmtId="10" fontId="1" fillId="0" borderId="13" xfId="0" applyNumberFormat="1" applyFont="1" applyBorder="1" applyAlignment="1">
      <alignment horizontal="right"/>
    </xf>
    <xf numFmtId="0" fontId="1" fillId="0" borderId="8" xfId="0" applyFont="1" applyBorder="1" applyAlignment="1">
      <alignment horizontal="right"/>
    </xf>
    <xf numFmtId="2" fontId="1" fillId="0" borderId="0" xfId="0" applyNumberFormat="1" applyFont="1" applyAlignment="1">
      <alignment horizontal="left"/>
    </xf>
    <xf numFmtId="9" fontId="1" fillId="0" borderId="0" xfId="0" applyNumberFormat="1" applyFont="1" applyAlignment="1">
      <alignment horizontal="left"/>
    </xf>
    <xf numFmtId="177" fontId="1" fillId="0" borderId="0" xfId="0" applyNumberFormat="1" applyFont="1"/>
    <xf numFmtId="177" fontId="1" fillId="0" borderId="0" xfId="0" applyNumberFormat="1" applyFont="1" applyAlignment="1">
      <alignment horizontal="left"/>
    </xf>
    <xf numFmtId="3" fontId="1" fillId="0" borderId="0" xfId="0" applyNumberFormat="1" applyFont="1"/>
    <xf numFmtId="3" fontId="1" fillId="0" borderId="25" xfId="0" applyNumberFormat="1" applyFont="1" applyBorder="1"/>
    <xf numFmtId="0" fontId="1" fillId="0" borderId="31" xfId="0" applyFont="1" applyBorder="1"/>
    <xf numFmtId="0" fontId="14" fillId="0" borderId="0" xfId="0" applyFont="1"/>
    <xf numFmtId="0" fontId="1" fillId="0" borderId="32" xfId="0" applyFont="1" applyBorder="1"/>
    <xf numFmtId="0" fontId="12" fillId="0" borderId="29" xfId="0" applyFont="1" applyBorder="1"/>
    <xf numFmtId="3" fontId="1" fillId="0" borderId="29" xfId="0" applyNumberFormat="1" applyFont="1" applyBorder="1"/>
    <xf numFmtId="178" fontId="16" fillId="0" borderId="0" xfId="0" applyNumberFormat="1" applyFont="1"/>
    <xf numFmtId="3" fontId="12" fillId="0" borderId="0" xfId="0" applyNumberFormat="1" applyFont="1"/>
    <xf numFmtId="9" fontId="1" fillId="0" borderId="0" xfId="0" applyNumberFormat="1" applyFont="1"/>
    <xf numFmtId="3" fontId="12" fillId="0" borderId="0" xfId="0" applyNumberFormat="1" applyFont="1" applyAlignment="1">
      <alignment horizontal="center" wrapText="1"/>
    </xf>
    <xf numFmtId="9" fontId="12" fillId="0" borderId="0" xfId="0" applyNumberFormat="1" applyFont="1" applyAlignment="1">
      <alignment wrapText="1"/>
    </xf>
    <xf numFmtId="3" fontId="1" fillId="0" borderId="0" xfId="0" applyNumberFormat="1" applyFont="1" applyAlignment="1">
      <alignment wrapText="1"/>
    </xf>
    <xf numFmtId="170" fontId="1" fillId="0" borderId="0" xfId="0" applyNumberFormat="1" applyFont="1"/>
    <xf numFmtId="170" fontId="12" fillId="0" borderId="0" xfId="0" applyNumberFormat="1" applyFont="1"/>
    <xf numFmtId="0" fontId="1" fillId="0" borderId="28" xfId="0" applyFont="1" applyBorder="1"/>
    <xf numFmtId="0" fontId="20" fillId="0" borderId="0" xfId="0" applyFont="1"/>
    <xf numFmtId="0" fontId="1" fillId="0" borderId="0" xfId="0" applyFont="1" applyAlignment="1">
      <alignment vertical="center" wrapText="1"/>
    </xf>
    <xf numFmtId="0" fontId="11" fillId="0" borderId="0" xfId="0" applyFont="1"/>
    <xf numFmtId="0" fontId="21" fillId="0" borderId="0" xfId="0" applyFont="1" applyAlignment="1">
      <alignment horizontal="center"/>
    </xf>
    <xf numFmtId="0" fontId="18" fillId="0" borderId="0" xfId="0" applyFont="1"/>
    <xf numFmtId="0" fontId="21" fillId="0" borderId="0" xfId="0" applyFont="1"/>
    <xf numFmtId="0" fontId="18" fillId="0" borderId="31" xfId="0" applyFont="1" applyBorder="1"/>
    <xf numFmtId="0" fontId="18" fillId="0" borderId="35" xfId="0" applyFont="1" applyBorder="1" applyAlignment="1">
      <alignment horizontal="center" vertical="center"/>
    </xf>
    <xf numFmtId="0" fontId="18" fillId="0" borderId="36" xfId="0" applyFont="1" applyBorder="1" applyAlignment="1">
      <alignment horizontal="center" vertical="center"/>
    </xf>
    <xf numFmtId="3" fontId="18" fillId="0" borderId="23" xfId="0" applyNumberFormat="1" applyFont="1" applyBorder="1" applyAlignment="1">
      <alignment horizontal="center" vertical="center" wrapText="1"/>
    </xf>
    <xf numFmtId="0" fontId="18" fillId="0" borderId="23" xfId="0" applyFont="1" applyBorder="1" applyAlignment="1">
      <alignment horizontal="center" vertical="center" wrapText="1"/>
    </xf>
    <xf numFmtId="3" fontId="18" fillId="0" borderId="23" xfId="0" applyNumberFormat="1" applyFont="1" applyBorder="1" applyAlignment="1">
      <alignment horizontal="left" vertical="center" wrapText="1"/>
    </xf>
    <xf numFmtId="178" fontId="18" fillId="0" borderId="23" xfId="0" applyNumberFormat="1" applyFont="1" applyBorder="1" applyAlignment="1">
      <alignment horizontal="center" vertical="center" wrapText="1"/>
    </xf>
    <xf numFmtId="0" fontId="18" fillId="0" borderId="37" xfId="0" applyFont="1" applyBorder="1"/>
    <xf numFmtId="0" fontId="1" fillId="0" borderId="38" xfId="0" applyFont="1" applyBorder="1"/>
    <xf numFmtId="3" fontId="1" fillId="0" borderId="38" xfId="0" applyNumberFormat="1" applyFont="1" applyBorder="1"/>
    <xf numFmtId="0" fontId="1" fillId="0" borderId="39" xfId="0" applyFont="1" applyBorder="1"/>
    <xf numFmtId="0" fontId="18" fillId="0" borderId="39" xfId="0" applyFont="1" applyBorder="1" applyAlignment="1">
      <alignment horizontal="left"/>
    </xf>
    <xf numFmtId="0" fontId="18" fillId="0" borderId="23" xfId="0" applyFont="1" applyBorder="1"/>
    <xf numFmtId="0" fontId="18" fillId="0" borderId="0" xfId="0" applyFont="1" applyAlignment="1">
      <alignment horizontal="left"/>
    </xf>
    <xf numFmtId="3" fontId="18" fillId="0" borderId="23" xfId="0" applyNumberFormat="1" applyFont="1" applyBorder="1" applyAlignment="1">
      <alignment horizontal="center"/>
    </xf>
    <xf numFmtId="178" fontId="1" fillId="0" borderId="23" xfId="0" applyNumberFormat="1" applyFont="1" applyBorder="1"/>
    <xf numFmtId="0" fontId="1" fillId="0" borderId="23" xfId="0" applyFont="1" applyBorder="1"/>
    <xf numFmtId="0" fontId="1" fillId="0" borderId="37" xfId="0" applyFont="1" applyBorder="1"/>
    <xf numFmtId="0" fontId="1" fillId="0" borderId="23" xfId="0" applyFont="1" applyBorder="1" applyAlignment="1">
      <alignment horizontal="right"/>
    </xf>
    <xf numFmtId="0" fontId="12" fillId="0" borderId="23" xfId="0" applyFont="1" applyBorder="1" applyAlignment="1">
      <alignment horizontal="center"/>
    </xf>
    <xf numFmtId="4" fontId="22" fillId="3" borderId="15" xfId="0" applyNumberFormat="1" applyFont="1" applyFill="1" applyBorder="1" applyAlignment="1">
      <alignment horizontal="center"/>
    </xf>
    <xf numFmtId="4" fontId="1" fillId="3" borderId="16" xfId="0" applyNumberFormat="1" applyFont="1" applyFill="1" applyBorder="1" applyAlignment="1">
      <alignment horizontal="center"/>
    </xf>
    <xf numFmtId="4" fontId="1" fillId="3" borderId="21" xfId="0" applyNumberFormat="1" applyFont="1" applyFill="1" applyBorder="1" applyAlignment="1">
      <alignment horizontal="center"/>
    </xf>
    <xf numFmtId="4" fontId="1" fillId="0" borderId="0" xfId="0" applyNumberFormat="1" applyFont="1"/>
    <xf numFmtId="4" fontId="23" fillId="0" borderId="37" xfId="0" applyNumberFormat="1" applyFont="1" applyBorder="1"/>
    <xf numFmtId="4" fontId="1" fillId="0" borderId="38" xfId="0" applyNumberFormat="1" applyFont="1" applyBorder="1"/>
    <xf numFmtId="4" fontId="1" fillId="0" borderId="39" xfId="0" applyNumberFormat="1" applyFont="1" applyBorder="1"/>
    <xf numFmtId="4" fontId="1" fillId="0" borderId="8" xfId="0" applyNumberFormat="1" applyFont="1" applyBorder="1"/>
    <xf numFmtId="4" fontId="1" fillId="0" borderId="9" xfId="0" applyNumberFormat="1" applyFont="1" applyBorder="1"/>
    <xf numFmtId="4" fontId="23" fillId="0" borderId="0" xfId="0" applyNumberFormat="1" applyFont="1"/>
    <xf numFmtId="4" fontId="1" fillId="4" borderId="0" xfId="0" applyNumberFormat="1" applyFont="1" applyFill="1"/>
    <xf numFmtId="4" fontId="22" fillId="3" borderId="15" xfId="0" applyNumberFormat="1" applyFont="1" applyFill="1" applyBorder="1"/>
    <xf numFmtId="4" fontId="1" fillId="3" borderId="16" xfId="0" applyNumberFormat="1" applyFont="1" applyFill="1" applyBorder="1"/>
    <xf numFmtId="4" fontId="1" fillId="3" borderId="21" xfId="0" applyNumberFormat="1" applyFont="1" applyFill="1" applyBorder="1"/>
    <xf numFmtId="4" fontId="22" fillId="4" borderId="15" xfId="0" applyNumberFormat="1" applyFont="1" applyFill="1" applyBorder="1" applyAlignment="1">
      <alignment horizontal="center"/>
    </xf>
    <xf numFmtId="4" fontId="1" fillId="4" borderId="21" xfId="0" applyNumberFormat="1" applyFont="1" applyFill="1" applyBorder="1" applyAlignment="1">
      <alignment horizontal="center"/>
    </xf>
    <xf numFmtId="4" fontId="24" fillId="0" borderId="8" xfId="0" applyNumberFormat="1" applyFont="1" applyBorder="1"/>
    <xf numFmtId="4" fontId="18" fillId="0" borderId="8" xfId="0" applyNumberFormat="1" applyFont="1" applyBorder="1"/>
    <xf numFmtId="4" fontId="25" fillId="4" borderId="8" xfId="0" applyNumberFormat="1" applyFont="1" applyFill="1" applyBorder="1" applyAlignment="1">
      <alignment horizontal="center"/>
    </xf>
    <xf numFmtId="4" fontId="1" fillId="4" borderId="9" xfId="0" applyNumberFormat="1" applyFont="1" applyFill="1" applyBorder="1" applyAlignment="1">
      <alignment horizontal="center"/>
    </xf>
    <xf numFmtId="4" fontId="25" fillId="4" borderId="12" xfId="0" applyNumberFormat="1" applyFont="1" applyFill="1" applyBorder="1" applyAlignment="1">
      <alignment horizontal="center"/>
    </xf>
    <xf numFmtId="4" fontId="1" fillId="4" borderId="14" xfId="0" applyNumberFormat="1" applyFont="1" applyFill="1" applyBorder="1" applyAlignment="1">
      <alignment horizontal="center"/>
    </xf>
    <xf numFmtId="4" fontId="1" fillId="0" borderId="8" xfId="0" applyNumberFormat="1" applyFont="1" applyBorder="1" applyAlignment="1">
      <alignment horizontal="center"/>
    </xf>
    <xf numFmtId="4" fontId="1" fillId="0" borderId="9" xfId="0" applyNumberFormat="1" applyFont="1" applyBorder="1" applyAlignment="1">
      <alignment horizontal="center"/>
    </xf>
    <xf numFmtId="4" fontId="22" fillId="3" borderId="15" xfId="0" applyNumberFormat="1" applyFont="1" applyFill="1" applyBorder="1" applyAlignment="1">
      <alignment horizontal="left"/>
    </xf>
    <xf numFmtId="4" fontId="1" fillId="3" borderId="16" xfId="0" applyNumberFormat="1" applyFont="1" applyFill="1" applyBorder="1" applyAlignment="1">
      <alignment horizontal="left"/>
    </xf>
    <xf numFmtId="4" fontId="1" fillId="3" borderId="21" xfId="0" applyNumberFormat="1" applyFont="1" applyFill="1" applyBorder="1" applyAlignment="1">
      <alignment horizontal="left"/>
    </xf>
    <xf numFmtId="4" fontId="1" fillId="0" borderId="12" xfId="0" applyNumberFormat="1" applyFont="1" applyBorder="1" applyAlignment="1">
      <alignment horizontal="center"/>
    </xf>
    <xf numFmtId="4" fontId="1" fillId="0" borderId="14" xfId="0" applyNumberFormat="1" applyFont="1" applyBorder="1" applyAlignment="1">
      <alignment horizontal="center"/>
    </xf>
    <xf numFmtId="4" fontId="26" fillId="3" borderId="15" xfId="0" applyNumberFormat="1" applyFont="1" applyFill="1" applyBorder="1" applyAlignment="1">
      <alignment horizontal="left"/>
    </xf>
    <xf numFmtId="4" fontId="1" fillId="0" borderId="12" xfId="0" applyNumberFormat="1" applyFont="1" applyBorder="1"/>
    <xf numFmtId="4" fontId="1" fillId="0" borderId="13" xfId="0" applyNumberFormat="1" applyFont="1" applyBorder="1"/>
    <xf numFmtId="4" fontId="1" fillId="0" borderId="14" xfId="0" applyNumberFormat="1" applyFont="1" applyBorder="1"/>
    <xf numFmtId="4" fontId="27" fillId="0" borderId="8" xfId="0" applyNumberFormat="1" applyFont="1" applyBorder="1"/>
    <xf numFmtId="4" fontId="28" fillId="0" borderId="0" xfId="0" applyNumberFormat="1" applyFont="1" applyAlignment="1">
      <alignment horizontal="center"/>
    </xf>
    <xf numFmtId="4" fontId="21" fillId="0" borderId="0" xfId="0" applyNumberFormat="1" applyFont="1" applyAlignment="1">
      <alignment horizontal="center"/>
    </xf>
    <xf numFmtId="4" fontId="27" fillId="0" borderId="0" xfId="0" applyNumberFormat="1" applyFont="1"/>
    <xf numFmtId="4" fontId="27" fillId="0" borderId="9" xfId="0" applyNumberFormat="1" applyFont="1" applyBorder="1"/>
    <xf numFmtId="10" fontId="21" fillId="0" borderId="0" xfId="0" applyNumberFormat="1" applyFont="1" applyAlignment="1">
      <alignment horizontal="center"/>
    </xf>
    <xf numFmtId="4" fontId="29" fillId="0" borderId="0" xfId="0" applyNumberFormat="1" applyFont="1" applyAlignment="1">
      <alignment horizontal="center"/>
    </xf>
    <xf numFmtId="4" fontId="29" fillId="0" borderId="35" xfId="0" applyNumberFormat="1" applyFont="1" applyBorder="1" applyAlignment="1">
      <alignment horizontal="center"/>
    </xf>
    <xf numFmtId="4" fontId="18" fillId="0" borderId="0" xfId="0" applyNumberFormat="1" applyFont="1" applyAlignment="1">
      <alignment horizontal="center"/>
    </xf>
    <xf numFmtId="4" fontId="30" fillId="0" borderId="36" xfId="0" applyNumberFormat="1" applyFont="1" applyBorder="1" applyAlignment="1">
      <alignment horizontal="center"/>
    </xf>
    <xf numFmtId="4" fontId="30" fillId="0" borderId="27" xfId="0" applyNumberFormat="1" applyFont="1" applyBorder="1" applyAlignment="1">
      <alignment horizontal="center"/>
    </xf>
    <xf numFmtId="4" fontId="30" fillId="0" borderId="0" xfId="0" applyNumberFormat="1" applyFont="1" applyAlignment="1">
      <alignment horizontal="center"/>
    </xf>
    <xf numFmtId="4" fontId="31" fillId="0" borderId="0" xfId="0" applyNumberFormat="1" applyFont="1" applyAlignment="1">
      <alignment horizontal="center"/>
    </xf>
    <xf numFmtId="10" fontId="30" fillId="0" borderId="36" xfId="0" applyNumberFormat="1" applyFont="1" applyBorder="1" applyAlignment="1">
      <alignment horizontal="center"/>
    </xf>
    <xf numFmtId="4" fontId="18" fillId="0" borderId="0" xfId="0" applyNumberFormat="1" applyFont="1"/>
    <xf numFmtId="4" fontId="0" fillId="0" borderId="8" xfId="0" applyNumberFormat="1" applyBorder="1"/>
    <xf numFmtId="4" fontId="4" fillId="0" borderId="0" xfId="0" applyNumberFormat="1" applyFont="1" applyAlignment="1">
      <alignment horizontal="center"/>
    </xf>
    <xf numFmtId="4" fontId="4" fillId="0" borderId="0" xfId="0" applyNumberFormat="1" applyFont="1"/>
    <xf numFmtId="4" fontId="32" fillId="0" borderId="0" xfId="0" applyNumberFormat="1" applyFont="1" applyAlignment="1">
      <alignment horizontal="center"/>
    </xf>
    <xf numFmtId="10" fontId="32" fillId="0" borderId="0" xfId="0" applyNumberFormat="1" applyFont="1" applyAlignment="1">
      <alignment horizontal="center"/>
    </xf>
    <xf numFmtId="4" fontId="0" fillId="0" borderId="0" xfId="0" applyNumberFormat="1"/>
    <xf numFmtId="4" fontId="0" fillId="0" borderId="9" xfId="0" applyNumberFormat="1" applyBorder="1"/>
    <xf numFmtId="4" fontId="12" fillId="5" borderId="1" xfId="0" applyNumberFormat="1" applyFont="1" applyFill="1" applyBorder="1" applyAlignment="1">
      <alignment horizontal="center"/>
    </xf>
    <xf numFmtId="4" fontId="32" fillId="0" borderId="9" xfId="0" applyNumberFormat="1" applyFont="1" applyBorder="1" applyAlignment="1">
      <alignment horizontal="center"/>
    </xf>
    <xf numFmtId="4" fontId="33" fillId="0" borderId="0" xfId="0" applyNumberFormat="1" applyFont="1"/>
    <xf numFmtId="4" fontId="29" fillId="0" borderId="31" xfId="0" applyNumberFormat="1" applyFont="1" applyBorder="1" applyAlignment="1">
      <alignment horizontal="center"/>
    </xf>
    <xf numFmtId="4" fontId="29" fillId="0" borderId="32" xfId="0" applyNumberFormat="1" applyFont="1" applyBorder="1" applyAlignment="1">
      <alignment horizontal="center"/>
    </xf>
    <xf numFmtId="4" fontId="32" fillId="0" borderId="31" xfId="0" applyNumberFormat="1" applyFont="1" applyBorder="1" applyAlignment="1">
      <alignment horizontal="center"/>
    </xf>
    <xf numFmtId="4" fontId="32" fillId="0" borderId="32" xfId="0" applyNumberFormat="1" applyFont="1" applyBorder="1" applyAlignment="1">
      <alignment horizontal="center"/>
    </xf>
    <xf numFmtId="4" fontId="30" fillId="0" borderId="31" xfId="0" applyNumberFormat="1" applyFont="1" applyBorder="1" applyAlignment="1">
      <alignment horizontal="center"/>
    </xf>
    <xf numFmtId="4" fontId="0" fillId="0" borderId="12" xfId="0" applyNumberFormat="1" applyBorder="1"/>
    <xf numFmtId="4" fontId="30" fillId="0" borderId="28" xfId="0" applyNumberFormat="1" applyFont="1" applyBorder="1" applyAlignment="1">
      <alignment horizontal="center"/>
    </xf>
    <xf numFmtId="4" fontId="32" fillId="0" borderId="29" xfId="0" applyNumberFormat="1" applyFont="1" applyBorder="1" applyAlignment="1">
      <alignment horizontal="center"/>
    </xf>
    <xf numFmtId="4" fontId="32" fillId="0" borderId="30" xfId="0" applyNumberFormat="1" applyFont="1" applyBorder="1" applyAlignment="1">
      <alignment horizontal="center"/>
    </xf>
    <xf numFmtId="4" fontId="12" fillId="0" borderId="0" xfId="0" applyNumberFormat="1" applyFont="1"/>
    <xf numFmtId="4" fontId="27" fillId="0" borderId="13" xfId="0" applyNumberFormat="1" applyFont="1" applyBorder="1"/>
    <xf numFmtId="4" fontId="21" fillId="5" borderId="15" xfId="0" applyNumberFormat="1" applyFont="1" applyFill="1" applyBorder="1"/>
    <xf numFmtId="4" fontId="1" fillId="5" borderId="16" xfId="0" applyNumberFormat="1" applyFont="1" applyFill="1" applyBorder="1"/>
    <xf numFmtId="4" fontId="34" fillId="5" borderId="1" xfId="0" applyNumberFormat="1" applyFont="1" applyFill="1" applyBorder="1" applyAlignment="1">
      <alignment horizontal="center"/>
    </xf>
    <xf numFmtId="4" fontId="12" fillId="0" borderId="0" xfId="0" applyNumberFormat="1" applyFont="1" applyAlignment="1">
      <alignment horizontal="center"/>
    </xf>
    <xf numFmtId="4" fontId="10" fillId="0" borderId="0" xfId="0" applyNumberFormat="1" applyFont="1" applyAlignment="1">
      <alignment horizontal="center"/>
    </xf>
    <xf numFmtId="4" fontId="1" fillId="0" borderId="0" xfId="0" applyNumberFormat="1" applyFont="1" applyAlignment="1">
      <alignment horizontal="center"/>
    </xf>
    <xf numFmtId="4" fontId="12" fillId="3" borderId="1" xfId="0" applyNumberFormat="1" applyFont="1" applyFill="1" applyBorder="1" applyAlignment="1">
      <alignment horizontal="center"/>
    </xf>
    <xf numFmtId="4" fontId="18" fillId="0" borderId="0" xfId="0" applyNumberFormat="1" applyFont="1" applyAlignment="1">
      <alignment horizontal="left"/>
    </xf>
    <xf numFmtId="4" fontId="1" fillId="0" borderId="15" xfId="0" applyNumberFormat="1" applyFont="1" applyBorder="1"/>
    <xf numFmtId="4" fontId="1" fillId="0" borderId="16" xfId="0" applyNumberFormat="1" applyFont="1" applyBorder="1"/>
    <xf numFmtId="4" fontId="1" fillId="0" borderId="21" xfId="0" applyNumberFormat="1" applyFont="1" applyBorder="1"/>
    <xf numFmtId="4" fontId="35" fillId="0" borderId="1" xfId="0" applyNumberFormat="1" applyFont="1" applyBorder="1" applyAlignment="1">
      <alignment horizontal="center"/>
    </xf>
    <xf numFmtId="4" fontId="1" fillId="0" borderId="1" xfId="0" applyNumberFormat="1" applyFont="1" applyBorder="1" applyAlignment="1">
      <alignment horizontal="center"/>
    </xf>
    <xf numFmtId="9" fontId="1" fillId="0" borderId="0" xfId="0" applyNumberFormat="1" applyFont="1" applyAlignment="1">
      <alignment horizontal="center"/>
    </xf>
    <xf numFmtId="4" fontId="18" fillId="0" borderId="1" xfId="0" applyNumberFormat="1" applyFont="1" applyBorder="1" applyAlignment="1">
      <alignment horizontal="center"/>
    </xf>
    <xf numFmtId="4" fontId="18" fillId="0" borderId="21" xfId="0" applyNumberFormat="1" applyFont="1" applyBorder="1" applyAlignment="1">
      <alignment horizontal="center"/>
    </xf>
    <xf numFmtId="4" fontId="36" fillId="0" borderId="1" xfId="0" applyNumberFormat="1" applyFont="1" applyBorder="1" applyAlignment="1">
      <alignment horizontal="center"/>
    </xf>
    <xf numFmtId="4" fontId="18" fillId="0" borderId="20" xfId="0" applyNumberFormat="1" applyFont="1" applyBorder="1" applyAlignment="1">
      <alignment horizontal="center"/>
    </xf>
    <xf numFmtId="4" fontId="18" fillId="0" borderId="14" xfId="0" applyNumberFormat="1" applyFont="1" applyBorder="1" applyAlignment="1">
      <alignment horizontal="center"/>
    </xf>
    <xf numFmtId="4" fontId="12" fillId="0" borderId="0" xfId="0" applyNumberFormat="1" applyFont="1" applyAlignment="1">
      <alignment horizontal="left"/>
    </xf>
    <xf numFmtId="4" fontId="1" fillId="0" borderId="0" xfId="0" applyNumberFormat="1" applyFont="1" applyAlignment="1">
      <alignment horizontal="left"/>
    </xf>
    <xf numFmtId="4" fontId="1" fillId="0" borderId="0" xfId="0" applyNumberFormat="1" applyFont="1" applyAlignment="1">
      <alignment horizontal="right"/>
    </xf>
    <xf numFmtId="9" fontId="1" fillId="0" borderId="1" xfId="0" applyNumberFormat="1" applyFont="1" applyBorder="1" applyAlignment="1">
      <alignment horizontal="center"/>
    </xf>
    <xf numFmtId="4" fontId="21" fillId="0" borderId="20" xfId="0" applyNumberFormat="1" applyFont="1" applyBorder="1" applyAlignment="1">
      <alignment horizontal="center"/>
    </xf>
    <xf numFmtId="4" fontId="21" fillId="0" borderId="14" xfId="0" applyNumberFormat="1" applyFont="1" applyBorder="1" applyAlignment="1">
      <alignment horizontal="center"/>
    </xf>
    <xf numFmtId="4" fontId="12" fillId="5" borderId="12" xfId="0" applyNumberFormat="1" applyFont="1" applyFill="1" applyBorder="1"/>
    <xf numFmtId="4" fontId="1" fillId="5" borderId="13" xfId="0" applyNumberFormat="1" applyFont="1" applyFill="1" applyBorder="1"/>
    <xf numFmtId="4" fontId="1" fillId="5" borderId="14" xfId="0" applyNumberFormat="1" applyFont="1" applyFill="1" applyBorder="1"/>
    <xf numFmtId="4" fontId="12" fillId="5" borderId="20" xfId="0" applyNumberFormat="1" applyFont="1" applyFill="1" applyBorder="1" applyAlignment="1">
      <alignment horizontal="center"/>
    </xf>
    <xf numFmtId="9" fontId="12" fillId="0" borderId="0" xfId="0" applyNumberFormat="1" applyFont="1" applyAlignment="1">
      <alignment horizontal="center"/>
    </xf>
    <xf numFmtId="4" fontId="21" fillId="0" borderId="1" xfId="0" applyNumberFormat="1" applyFont="1" applyBorder="1" applyAlignment="1">
      <alignment horizontal="center"/>
    </xf>
    <xf numFmtId="10" fontId="12" fillId="5" borderId="1" xfId="0" applyNumberFormat="1" applyFont="1" applyFill="1" applyBorder="1" applyAlignment="1">
      <alignment horizontal="center"/>
    </xf>
    <xf numFmtId="0" fontId="37" fillId="0" borderId="29" xfId="0" applyFont="1" applyBorder="1"/>
    <xf numFmtId="0" fontId="38" fillId="0" borderId="29" xfId="0" applyFont="1" applyBorder="1"/>
    <xf numFmtId="4" fontId="37" fillId="0" borderId="29" xfId="0" applyNumberFormat="1" applyFont="1" applyBorder="1" applyAlignment="1">
      <alignment horizontal="center"/>
    </xf>
    <xf numFmtId="4" fontId="3" fillId="0" borderId="0" xfId="0" applyNumberFormat="1" applyFont="1" applyAlignment="1">
      <alignment horizontal="center"/>
    </xf>
    <xf numFmtId="4" fontId="29" fillId="0" borderId="24" xfId="0" applyNumberFormat="1" applyFont="1" applyBorder="1" applyAlignment="1">
      <alignment horizontal="center"/>
    </xf>
    <xf numFmtId="4" fontId="29" fillId="0" borderId="25" xfId="0" applyNumberFormat="1" applyFont="1" applyBorder="1" applyAlignment="1">
      <alignment horizontal="center"/>
    </xf>
    <xf numFmtId="4" fontId="39" fillId="0" borderId="27" xfId="0" applyNumberFormat="1" applyFont="1" applyBorder="1" applyAlignment="1">
      <alignment horizontal="center"/>
    </xf>
    <xf numFmtId="4" fontId="1" fillId="0" borderId="23" xfId="0" applyNumberFormat="1" applyFont="1" applyBorder="1" applyAlignment="1">
      <alignment horizontal="center"/>
    </xf>
    <xf numFmtId="0" fontId="1" fillId="0" borderId="23" xfId="0" applyFont="1" applyBorder="1" applyAlignment="1">
      <alignment horizontal="center"/>
    </xf>
    <xf numFmtId="174" fontId="1" fillId="0" borderId="0" xfId="0" applyNumberFormat="1" applyFont="1"/>
    <xf numFmtId="10" fontId="1" fillId="0" borderId="0" xfId="0" applyNumberFormat="1" applyFont="1"/>
    <xf numFmtId="4" fontId="12" fillId="0" borderId="39" xfId="0" applyNumberFormat="1" applyFont="1" applyBorder="1"/>
    <xf numFmtId="0" fontId="18" fillId="3"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41" fillId="7" borderId="23" xfId="0" applyFont="1" applyFill="1" applyBorder="1" applyAlignment="1">
      <alignment horizontal="center"/>
    </xf>
    <xf numFmtId="0" fontId="18" fillId="0" borderId="1" xfId="0" applyFont="1" applyBorder="1"/>
    <xf numFmtId="0" fontId="1" fillId="0" borderId="40" xfId="0" applyFont="1" applyBorder="1"/>
    <xf numFmtId="0" fontId="1" fillId="0" borderId="27" xfId="0" applyFont="1" applyBorder="1"/>
    <xf numFmtId="0" fontId="1" fillId="0" borderId="41" xfId="0" applyFont="1" applyBorder="1"/>
    <xf numFmtId="0" fontId="1" fillId="0" borderId="42" xfId="0" applyFont="1" applyBorder="1"/>
    <xf numFmtId="0" fontId="18" fillId="7" borderId="1" xfId="0" applyFont="1" applyFill="1" applyBorder="1"/>
    <xf numFmtId="0" fontId="18" fillId="0" borderId="1" xfId="0" applyFont="1" applyBorder="1" applyAlignment="1">
      <alignment wrapText="1"/>
    </xf>
    <xf numFmtId="0" fontId="18" fillId="0" borderId="1" xfId="0" applyFont="1" applyBorder="1" applyAlignment="1">
      <alignment horizontal="left"/>
    </xf>
    <xf numFmtId="10" fontId="1" fillId="0" borderId="23" xfId="0" applyNumberFormat="1" applyFont="1" applyBorder="1"/>
    <xf numFmtId="49" fontId="1" fillId="0" borderId="0" xfId="0" applyNumberFormat="1" applyFont="1" applyAlignment="1">
      <alignment vertical="center"/>
    </xf>
    <xf numFmtId="170" fontId="1" fillId="0" borderId="0" xfId="0" applyNumberFormat="1" applyFont="1" applyAlignment="1">
      <alignment vertical="center"/>
    </xf>
    <xf numFmtId="0" fontId="1" fillId="4" borderId="0" xfId="0" applyFont="1" applyFill="1"/>
    <xf numFmtId="0" fontId="1" fillId="0" borderId="0" xfId="0" applyFont="1" applyAlignment="1">
      <alignment vertical="center"/>
    </xf>
    <xf numFmtId="9" fontId="24" fillId="0" borderId="0" xfId="0" applyNumberFormat="1" applyFont="1"/>
    <xf numFmtId="9" fontId="42" fillId="0" borderId="0" xfId="0" applyNumberFormat="1" applyFont="1"/>
    <xf numFmtId="3" fontId="1" fillId="0" borderId="26" xfId="0" applyNumberFormat="1" applyFont="1" applyBorder="1"/>
    <xf numFmtId="3" fontId="1" fillId="0" borderId="32" xfId="0" applyNumberFormat="1" applyFont="1" applyBorder="1"/>
    <xf numFmtId="3" fontId="1" fillId="0" borderId="30" xfId="0" applyNumberFormat="1" applyFont="1" applyBorder="1"/>
    <xf numFmtId="0" fontId="12" fillId="0" borderId="37" xfId="0" applyFont="1" applyBorder="1"/>
    <xf numFmtId="3" fontId="12" fillId="0" borderId="38" xfId="0" applyNumberFormat="1" applyFont="1" applyBorder="1"/>
    <xf numFmtId="0" fontId="12" fillId="0" borderId="38" xfId="0" applyFont="1" applyBorder="1"/>
    <xf numFmtId="180" fontId="10" fillId="0" borderId="0" xfId="0" applyNumberFormat="1" applyFont="1"/>
    <xf numFmtId="180" fontId="7" fillId="0" borderId="0" xfId="0" applyNumberFormat="1" applyFont="1"/>
    <xf numFmtId="180" fontId="7" fillId="0" borderId="29" xfId="0" applyNumberFormat="1" applyFont="1" applyBorder="1"/>
    <xf numFmtId="180" fontId="10" fillId="8" borderId="38" xfId="0" applyNumberFormat="1" applyFont="1" applyFill="1" applyBorder="1"/>
    <xf numFmtId="0" fontId="43" fillId="0" borderId="0" xfId="0" applyFont="1"/>
    <xf numFmtId="180" fontId="7" fillId="0" borderId="25" xfId="0" applyNumberFormat="1" applyFont="1" applyBorder="1"/>
    <xf numFmtId="181" fontId="1" fillId="0" borderId="38" xfId="0" applyNumberFormat="1" applyFont="1" applyBorder="1"/>
    <xf numFmtId="181" fontId="1" fillId="0" borderId="39" xfId="0" applyNumberFormat="1" applyFont="1" applyBorder="1"/>
    <xf numFmtId="181" fontId="1" fillId="0" borderId="23" xfId="0" applyNumberFormat="1" applyFont="1" applyBorder="1"/>
    <xf numFmtId="181" fontId="1" fillId="0" borderId="0" xfId="0" applyNumberFormat="1" applyFont="1"/>
    <xf numFmtId="9" fontId="18" fillId="0" borderId="0" xfId="0" applyNumberFormat="1" applyFont="1"/>
    <xf numFmtId="3" fontId="12" fillId="0" borderId="39" xfId="0" applyNumberFormat="1" applyFont="1" applyBorder="1"/>
    <xf numFmtId="0" fontId="44" fillId="0" borderId="0" xfId="0" applyFont="1"/>
    <xf numFmtId="168" fontId="1" fillId="0" borderId="0" xfId="0" applyNumberFormat="1" applyFont="1"/>
    <xf numFmtId="0" fontId="46" fillId="10" borderId="43" xfId="0" applyFont="1" applyFill="1" applyBorder="1" applyAlignment="1" applyProtection="1">
      <alignment horizontal="center" vertical="center"/>
      <protection locked="0"/>
    </xf>
    <xf numFmtId="0" fontId="51" fillId="0" borderId="0" xfId="0" applyFont="1"/>
    <xf numFmtId="0" fontId="44" fillId="0" borderId="0" xfId="0" applyFont="1" applyAlignment="1">
      <alignment wrapText="1"/>
    </xf>
    <xf numFmtId="0" fontId="36" fillId="0" borderId="0" xfId="0" applyFont="1"/>
    <xf numFmtId="0" fontId="18" fillId="0" borderId="0" xfId="0" applyFont="1" applyAlignment="1">
      <alignment horizontal="center"/>
    </xf>
    <xf numFmtId="0" fontId="50" fillId="0" borderId="0" xfId="0" applyFont="1" applyAlignment="1">
      <alignment vertical="center" wrapText="1"/>
    </xf>
    <xf numFmtId="0" fontId="54" fillId="0" borderId="0" xfId="0" applyFont="1" applyAlignment="1" applyProtection="1">
      <alignment vertical="center" wrapText="1"/>
      <protection locked="0"/>
    </xf>
    <xf numFmtId="0" fontId="55" fillId="0" borderId="48" xfId="0" applyFont="1" applyBorder="1" applyAlignment="1">
      <alignment horizontal="left" vertical="center" wrapText="1"/>
    </xf>
    <xf numFmtId="0" fontId="58" fillId="0" borderId="0" xfId="0" applyFont="1" applyAlignment="1">
      <alignment vertical="center" wrapText="1"/>
    </xf>
    <xf numFmtId="0" fontId="12" fillId="0" borderId="43" xfId="0" applyFont="1" applyBorder="1" applyAlignment="1">
      <alignment horizontal="center"/>
    </xf>
    <xf numFmtId="177" fontId="61" fillId="10" borderId="50" xfId="0" applyNumberFormat="1" applyFont="1" applyFill="1" applyBorder="1" applyProtection="1">
      <protection locked="0"/>
    </xf>
    <xf numFmtId="0" fontId="44" fillId="0" borderId="0" xfId="0" applyFont="1" applyAlignment="1">
      <alignment horizontal="center"/>
    </xf>
    <xf numFmtId="182" fontId="1" fillId="0" borderId="49" xfId="0" applyNumberFormat="1" applyFont="1" applyBorder="1" applyAlignment="1">
      <alignment horizontal="center"/>
    </xf>
    <xf numFmtId="0" fontId="64" fillId="0" borderId="0" xfId="0" applyFont="1" applyAlignment="1">
      <alignment horizontal="center" vertical="top" wrapText="1"/>
    </xf>
    <xf numFmtId="0" fontId="44" fillId="0" borderId="51" xfId="0" applyFont="1" applyBorder="1"/>
    <xf numFmtId="0" fontId="44" fillId="0" borderId="52" xfId="0" applyFont="1" applyBorder="1"/>
    <xf numFmtId="0" fontId="64" fillId="0" borderId="54" xfId="0" applyFont="1" applyBorder="1" applyAlignment="1">
      <alignment vertical="center" wrapText="1"/>
    </xf>
    <xf numFmtId="0" fontId="64" fillId="0" borderId="56" xfId="0" applyFont="1" applyBorder="1" applyAlignment="1">
      <alignment vertical="center" wrapText="1"/>
    </xf>
    <xf numFmtId="183" fontId="63" fillId="0" borderId="57" xfId="0" applyNumberFormat="1" applyFont="1" applyBorder="1" applyAlignment="1">
      <alignment horizontal="center" vertical="center" wrapText="1"/>
    </xf>
    <xf numFmtId="184" fontId="63" fillId="0" borderId="44" xfId="0" applyNumberFormat="1" applyFont="1" applyBorder="1" applyAlignment="1">
      <alignment horizontal="center" vertical="center" wrapText="1"/>
    </xf>
    <xf numFmtId="183" fontId="58" fillId="0" borderId="0" xfId="0" applyNumberFormat="1" applyFont="1" applyAlignment="1">
      <alignment horizontal="center" vertical="center" wrapText="1"/>
    </xf>
    <xf numFmtId="0" fontId="62" fillId="0" borderId="43" xfId="0" applyFont="1" applyBorder="1" applyAlignment="1">
      <alignment horizontal="right"/>
    </xf>
    <xf numFmtId="177" fontId="65" fillId="0" borderId="58" xfId="0" applyNumberFormat="1" applyFont="1" applyBorder="1"/>
    <xf numFmtId="183" fontId="58" fillId="0" borderId="0" xfId="0" applyNumberFormat="1" applyFont="1" applyAlignment="1">
      <alignment vertical="center" wrapText="1"/>
    </xf>
    <xf numFmtId="0" fontId="64" fillId="0" borderId="53" xfId="0" applyFont="1" applyBorder="1" applyAlignment="1">
      <alignment vertical="center" wrapText="1"/>
    </xf>
    <xf numFmtId="0" fontId="12" fillId="0" borderId="50" xfId="0" applyFont="1" applyBorder="1" applyAlignment="1">
      <alignment horizontal="center"/>
    </xf>
    <xf numFmtId="0" fontId="62" fillId="0" borderId="43" xfId="0" applyFont="1" applyBorder="1"/>
    <xf numFmtId="0" fontId="0" fillId="0" borderId="43" xfId="0" applyBorder="1" applyAlignment="1">
      <alignment horizontal="center"/>
    </xf>
    <xf numFmtId="1" fontId="62" fillId="0" borderId="43" xfId="0" applyNumberFormat="1" applyFont="1" applyBorder="1" applyAlignment="1">
      <alignment horizontal="center"/>
    </xf>
    <xf numFmtId="0" fontId="0" fillId="0" borderId="59" xfId="0" applyBorder="1"/>
    <xf numFmtId="0" fontId="0" fillId="0" borderId="60" xfId="0" applyBorder="1"/>
    <xf numFmtId="0" fontId="55" fillId="0" borderId="59" xfId="0" applyFont="1" applyBorder="1" applyAlignment="1">
      <alignment horizontal="center" vertical="center" wrapText="1"/>
    </xf>
    <xf numFmtId="0" fontId="55" fillId="0" borderId="0" xfId="0" applyFont="1" applyAlignment="1">
      <alignment horizontal="center" vertical="center" wrapText="1"/>
    </xf>
    <xf numFmtId="0" fontId="55" fillId="0" borderId="60" xfId="0" applyFont="1" applyBorder="1" applyAlignment="1">
      <alignment horizontal="center" vertical="center" wrapText="1"/>
    </xf>
    <xf numFmtId="0" fontId="1" fillId="0" borderId="0" xfId="0" applyFont="1" applyAlignment="1">
      <alignment horizontal="center" vertical="center"/>
    </xf>
    <xf numFmtId="0" fontId="64" fillId="0" borderId="0" xfId="0" applyFont="1" applyAlignment="1">
      <alignment horizontal="center" vertical="center" wrapText="1"/>
    </xf>
    <xf numFmtId="2" fontId="63" fillId="0" borderId="61" xfId="0" applyNumberFormat="1" applyFont="1" applyBorder="1" applyAlignment="1">
      <alignment horizontal="center" vertical="center" wrapText="1"/>
    </xf>
    <xf numFmtId="2" fontId="44" fillId="0" borderId="0" xfId="0" applyNumberFormat="1" applyFont="1" applyAlignment="1">
      <alignment horizontal="center"/>
    </xf>
    <xf numFmtId="0" fontId="64" fillId="0" borderId="59" xfId="0" applyFont="1" applyBorder="1" applyAlignment="1">
      <alignment vertical="center" wrapText="1"/>
    </xf>
    <xf numFmtId="9" fontId="67" fillId="0" borderId="60" xfId="0" applyNumberFormat="1" applyFont="1" applyBorder="1" applyAlignment="1">
      <alignment horizontal="center"/>
    </xf>
    <xf numFmtId="183" fontId="63" fillId="0" borderId="62" xfId="0" applyNumberFormat="1" applyFont="1" applyBorder="1" applyAlignment="1">
      <alignment horizontal="center" vertical="center" wrapText="1"/>
    </xf>
    <xf numFmtId="183" fontId="63" fillId="0" borderId="61" xfId="0" applyNumberFormat="1" applyFont="1" applyBorder="1" applyAlignment="1">
      <alignment horizontal="center" vertical="center" wrapText="1"/>
    </xf>
    <xf numFmtId="2" fontId="63" fillId="0" borderId="43" xfId="0" applyNumberFormat="1" applyFont="1" applyBorder="1" applyAlignment="1">
      <alignment horizontal="center" vertical="center" wrapText="1"/>
    </xf>
    <xf numFmtId="0" fontId="19" fillId="0" borderId="0" xfId="0" applyFont="1" applyAlignment="1">
      <alignment horizontal="center" vertical="center" wrapText="1"/>
    </xf>
    <xf numFmtId="2" fontId="44" fillId="0" borderId="60" xfId="0" applyNumberFormat="1" applyFont="1" applyBorder="1" applyAlignment="1">
      <alignment horizontal="center"/>
    </xf>
    <xf numFmtId="0" fontId="62" fillId="0" borderId="43" xfId="0" applyFont="1" applyBorder="1" applyAlignment="1">
      <alignment horizontal="left" vertical="center"/>
    </xf>
    <xf numFmtId="0" fontId="19" fillId="0" borderId="43" xfId="0" applyFont="1" applyBorder="1" applyAlignment="1">
      <alignment vertical="center"/>
    </xf>
    <xf numFmtId="177" fontId="1" fillId="0" borderId="63" xfId="0" applyNumberFormat="1" applyFont="1" applyBorder="1"/>
    <xf numFmtId="0" fontId="68" fillId="0" borderId="0" xfId="0" applyFont="1" applyAlignment="1">
      <alignment vertical="center" wrapText="1"/>
    </xf>
    <xf numFmtId="0" fontId="19" fillId="0" borderId="0" xfId="0" applyFont="1" applyAlignment="1">
      <alignment vertical="center" wrapText="1"/>
    </xf>
    <xf numFmtId="0" fontId="62" fillId="0" borderId="43" xfId="0" applyFont="1" applyBorder="1" applyAlignment="1">
      <alignment horizontal="left" wrapText="1"/>
    </xf>
    <xf numFmtId="177" fontId="12" fillId="0" borderId="64" xfId="0" applyNumberFormat="1" applyFont="1" applyBorder="1"/>
    <xf numFmtId="177" fontId="12" fillId="0" borderId="65" xfId="0" applyNumberFormat="1" applyFont="1" applyBorder="1"/>
    <xf numFmtId="0" fontId="69" fillId="0" borderId="0" xfId="0" applyFont="1" applyAlignment="1">
      <alignment horizontal="center"/>
    </xf>
    <xf numFmtId="0" fontId="69" fillId="0" borderId="67" xfId="0" applyFont="1" applyBorder="1" applyAlignment="1">
      <alignment horizontal="center"/>
    </xf>
    <xf numFmtId="171" fontId="44" fillId="0" borderId="0" xfId="0" applyNumberFormat="1" applyFont="1"/>
    <xf numFmtId="185" fontId="44" fillId="0" borderId="0" xfId="0" applyNumberFormat="1" applyFont="1"/>
    <xf numFmtId="9" fontId="62" fillId="0" borderId="43" xfId="1" applyFont="1" applyBorder="1" applyAlignment="1" applyProtection="1">
      <alignment horizontal="center" vertical="center"/>
    </xf>
    <xf numFmtId="2" fontId="1" fillId="0" borderId="43" xfId="0" applyNumberFormat="1" applyFont="1" applyBorder="1" applyAlignment="1">
      <alignment horizontal="center"/>
    </xf>
    <xf numFmtId="170" fontId="44" fillId="0" borderId="0" xfId="0" applyNumberFormat="1" applyFont="1"/>
    <xf numFmtId="2" fontId="12" fillId="0" borderId="43" xfId="0" applyNumberFormat="1" applyFont="1" applyBorder="1" applyAlignment="1">
      <alignment horizontal="center"/>
    </xf>
    <xf numFmtId="186" fontId="44" fillId="0" borderId="0" xfId="0" applyNumberFormat="1" applyFont="1"/>
    <xf numFmtId="0" fontId="19" fillId="0" borderId="68" xfId="0" applyFont="1" applyBorder="1" applyAlignment="1">
      <alignment vertical="center"/>
    </xf>
    <xf numFmtId="0" fontId="19" fillId="0" borderId="0" xfId="0" applyFont="1" applyAlignment="1">
      <alignment vertical="center"/>
    </xf>
    <xf numFmtId="0" fontId="62" fillId="0" borderId="43" xfId="0" applyFont="1" applyBorder="1" applyAlignment="1">
      <alignment horizontal="center" wrapText="1"/>
    </xf>
    <xf numFmtId="187" fontId="64" fillId="10" borderId="43" xfId="0" applyNumberFormat="1" applyFont="1" applyFill="1" applyBorder="1" applyAlignment="1" applyProtection="1">
      <alignment vertical="center" wrapText="1"/>
      <protection locked="0"/>
    </xf>
    <xf numFmtId="187" fontId="25" fillId="0" borderId="43" xfId="0" applyNumberFormat="1" applyFont="1" applyBorder="1" applyAlignment="1">
      <alignment horizontal="center" vertical="center" wrapText="1"/>
    </xf>
    <xf numFmtId="0" fontId="71" fillId="10" borderId="43" xfId="0" applyFont="1" applyFill="1" applyBorder="1" applyAlignment="1" applyProtection="1">
      <alignment horizontal="center" vertical="center" wrapText="1"/>
      <protection locked="0"/>
    </xf>
    <xf numFmtId="0" fontId="65" fillId="0" borderId="0" xfId="0" applyFont="1"/>
    <xf numFmtId="0" fontId="0" fillId="4" borderId="0" xfId="0" applyFill="1"/>
    <xf numFmtId="0" fontId="73" fillId="0" borderId="0" xfId="0" applyFont="1" applyAlignment="1">
      <alignment horizontal="center" vertical="center"/>
    </xf>
    <xf numFmtId="0" fontId="12" fillId="11" borderId="29" xfId="0" applyFont="1" applyFill="1" applyBorder="1" applyAlignment="1">
      <alignment wrapText="1"/>
    </xf>
    <xf numFmtId="0" fontId="12" fillId="11" borderId="0" xfId="0" applyFont="1" applyFill="1" applyAlignment="1">
      <alignment wrapText="1"/>
    </xf>
    <xf numFmtId="0" fontId="74" fillId="0" borderId="28" xfId="0" applyFont="1" applyBorder="1"/>
    <xf numFmtId="0" fontId="75" fillId="0" borderId="38" xfId="0" applyFont="1" applyBorder="1"/>
    <xf numFmtId="0" fontId="25" fillId="0" borderId="38" xfId="0" applyFont="1" applyBorder="1" applyAlignment="1">
      <alignment horizontal="right" vertical="center"/>
    </xf>
    <xf numFmtId="0" fontId="22" fillId="12" borderId="69" xfId="0" applyFont="1" applyFill="1" applyBorder="1" applyAlignment="1" applyProtection="1">
      <alignment horizontal="center" vertical="center" wrapText="1"/>
      <protection locked="0"/>
    </xf>
    <xf numFmtId="188" fontId="74" fillId="0" borderId="38" xfId="0" applyNumberFormat="1" applyFont="1" applyBorder="1" applyAlignment="1">
      <alignment horizontal="center"/>
    </xf>
    <xf numFmtId="0" fontId="74" fillId="0" borderId="38" xfId="0" applyFont="1" applyBorder="1" applyAlignment="1">
      <alignment horizontal="center" vertical="center"/>
    </xf>
    <xf numFmtId="0" fontId="74" fillId="0" borderId="38" xfId="0" applyFont="1" applyBorder="1"/>
    <xf numFmtId="49" fontId="22" fillId="12" borderId="69" xfId="0" applyNumberFormat="1" applyFont="1" applyFill="1" applyBorder="1" applyAlignment="1" applyProtection="1">
      <alignment horizontal="center" vertical="center" wrapText="1"/>
      <protection locked="0"/>
    </xf>
    <xf numFmtId="0" fontId="76" fillId="4" borderId="0" xfId="0" applyFont="1" applyFill="1" applyAlignment="1">
      <alignment horizontal="center" vertical="center" wrapText="1"/>
    </xf>
    <xf numFmtId="0" fontId="74" fillId="0" borderId="0" xfId="0" applyFont="1"/>
    <xf numFmtId="0" fontId="74" fillId="0" borderId="37" xfId="0" applyFont="1" applyBorder="1"/>
    <xf numFmtId="1" fontId="76" fillId="0" borderId="38" xfId="0" applyNumberFormat="1" applyFont="1" applyBorder="1" applyAlignment="1">
      <alignment horizontal="center" vertical="center"/>
    </xf>
    <xf numFmtId="188" fontId="74" fillId="0" borderId="38" xfId="0" applyNumberFormat="1" applyFont="1" applyBorder="1" applyAlignment="1">
      <alignment horizontal="center" vertical="center"/>
    </xf>
    <xf numFmtId="0" fontId="74" fillId="0" borderId="39" xfId="0" applyFont="1" applyBorder="1" applyAlignment="1">
      <alignment vertical="center"/>
    </xf>
    <xf numFmtId="0" fontId="77" fillId="13" borderId="0" xfId="0" applyFont="1" applyFill="1" applyAlignment="1">
      <alignment vertical="center" wrapText="1"/>
    </xf>
    <xf numFmtId="0" fontId="25" fillId="0" borderId="24" xfId="0" applyFont="1" applyBorder="1"/>
    <xf numFmtId="0" fontId="78" fillId="0" borderId="25" xfId="0" applyFont="1" applyBorder="1"/>
    <xf numFmtId="0" fontId="25" fillId="0" borderId="25" xfId="0" applyFont="1" applyBorder="1"/>
    <xf numFmtId="0" fontId="25" fillId="0" borderId="26" xfId="0" applyFont="1" applyBorder="1"/>
    <xf numFmtId="0" fontId="25" fillId="0" borderId="0" xfId="0" applyFont="1"/>
    <xf numFmtId="0" fontId="25" fillId="4" borderId="0" xfId="0" applyFont="1" applyFill="1"/>
    <xf numFmtId="0" fontId="76" fillId="0" borderId="24" xfId="0" applyFont="1" applyBorder="1"/>
    <xf numFmtId="0" fontId="76" fillId="0" borderId="25" xfId="0" applyFont="1" applyBorder="1"/>
    <xf numFmtId="0" fontId="76" fillId="0" borderId="26" xfId="0" applyFont="1" applyBorder="1"/>
    <xf numFmtId="0" fontId="25" fillId="0" borderId="31" xfId="0" applyFont="1" applyBorder="1"/>
    <xf numFmtId="0" fontId="80" fillId="4" borderId="0" xfId="0" applyFont="1" applyFill="1"/>
    <xf numFmtId="0" fontId="25" fillId="0" borderId="32" xfId="0" applyFont="1" applyBorder="1"/>
    <xf numFmtId="0" fontId="76" fillId="0" borderId="31" xfId="0" applyFont="1" applyBorder="1"/>
    <xf numFmtId="0" fontId="76" fillId="0" borderId="0" xfId="0" applyFont="1"/>
    <xf numFmtId="180" fontId="76" fillId="12" borderId="0" xfId="0" applyNumberFormat="1" applyFont="1" applyFill="1" applyAlignment="1" applyProtection="1">
      <alignment horizontal="center" vertical="center"/>
      <protection locked="0"/>
    </xf>
    <xf numFmtId="9" fontId="76" fillId="8" borderId="38" xfId="0" applyNumberFormat="1" applyFont="1" applyFill="1" applyBorder="1" applyAlignment="1">
      <alignment horizontal="center" vertical="center"/>
    </xf>
    <xf numFmtId="0" fontId="76" fillId="0" borderId="32" xfId="0" applyFont="1" applyBorder="1"/>
    <xf numFmtId="180" fontId="76" fillId="12" borderId="38" xfId="0" applyNumberFormat="1" applyFont="1" applyFill="1" applyBorder="1" applyAlignment="1" applyProtection="1">
      <alignment horizontal="center" vertical="center"/>
      <protection locked="0"/>
    </xf>
    <xf numFmtId="180" fontId="76" fillId="4" borderId="0" xfId="0" applyNumberFormat="1" applyFont="1" applyFill="1" applyAlignment="1">
      <alignment horizontal="center" vertical="center"/>
    </xf>
    <xf numFmtId="180" fontId="76" fillId="14" borderId="0" xfId="0" applyNumberFormat="1" applyFont="1" applyFill="1" applyAlignment="1">
      <alignment horizontal="center" vertical="center"/>
    </xf>
    <xf numFmtId="180" fontId="76" fillId="0" borderId="0" xfId="0" applyNumberFormat="1" applyFont="1" applyAlignment="1">
      <alignment horizontal="center" vertical="center"/>
    </xf>
    <xf numFmtId="9" fontId="76" fillId="0" borderId="38" xfId="0" applyNumberFormat="1" applyFont="1" applyBorder="1" applyAlignment="1">
      <alignment horizontal="center" vertical="center"/>
    </xf>
    <xf numFmtId="180" fontId="76" fillId="0" borderId="0" xfId="0" applyNumberFormat="1" applyFont="1"/>
    <xf numFmtId="180" fontId="76" fillId="4" borderId="0" xfId="0" applyNumberFormat="1" applyFont="1" applyFill="1"/>
    <xf numFmtId="0" fontId="76" fillId="4" borderId="0" xfId="0" applyFont="1" applyFill="1"/>
    <xf numFmtId="9" fontId="76" fillId="0" borderId="0" xfId="0" applyNumberFormat="1" applyFont="1" applyAlignment="1">
      <alignment horizontal="center" vertical="center"/>
    </xf>
    <xf numFmtId="9" fontId="76" fillId="8" borderId="29" xfId="0" applyNumberFormat="1" applyFont="1" applyFill="1" applyBorder="1" applyAlignment="1">
      <alignment horizontal="center" vertical="center"/>
    </xf>
    <xf numFmtId="9" fontId="76" fillId="0" borderId="0" xfId="0" applyNumberFormat="1" applyFont="1"/>
    <xf numFmtId="0" fontId="0" fillId="0" borderId="31" xfId="0" applyBorder="1"/>
    <xf numFmtId="0" fontId="78" fillId="0" borderId="0" xfId="0" applyFont="1"/>
    <xf numFmtId="0" fontId="82" fillId="4" borderId="0" xfId="0" applyFont="1" applyFill="1" applyAlignment="1">
      <alignment horizontal="left" vertical="center"/>
    </xf>
    <xf numFmtId="180" fontId="83" fillId="15" borderId="38" xfId="0" applyNumberFormat="1" applyFont="1" applyFill="1" applyBorder="1" applyAlignment="1">
      <alignment horizontal="center" vertical="center"/>
    </xf>
    <xf numFmtId="180" fontId="83" fillId="4" borderId="0" xfId="0" applyNumberFormat="1" applyFont="1" applyFill="1" applyAlignment="1">
      <alignment horizontal="center" vertical="center"/>
    </xf>
    <xf numFmtId="0" fontId="0" fillId="0" borderId="32" xfId="0" applyBorder="1"/>
    <xf numFmtId="0" fontId="84" fillId="4" borderId="0" xfId="0" applyFont="1" applyFill="1"/>
    <xf numFmtId="180" fontId="83" fillId="0" borderId="0" xfId="0" applyNumberFormat="1" applyFont="1" applyAlignment="1">
      <alignment horizontal="center" vertical="center"/>
    </xf>
    <xf numFmtId="0" fontId="85" fillId="0" borderId="31" xfId="0" applyFont="1" applyBorder="1" applyAlignment="1">
      <alignment vertical="center" wrapText="1"/>
    </xf>
    <xf numFmtId="0" fontId="85" fillId="0" borderId="0" xfId="0" applyFont="1" applyAlignment="1">
      <alignment vertical="center" wrapText="1"/>
    </xf>
    <xf numFmtId="0" fontId="72" fillId="0" borderId="31" xfId="0" applyFont="1" applyBorder="1" applyAlignment="1">
      <alignment vertical="center"/>
    </xf>
    <xf numFmtId="0" fontId="72" fillId="0" borderId="0" xfId="0" applyFont="1" applyAlignment="1">
      <alignment vertical="center"/>
    </xf>
    <xf numFmtId="0" fontId="12" fillId="0" borderId="0" xfId="0" applyFont="1" applyAlignment="1">
      <alignment wrapText="1"/>
    </xf>
    <xf numFmtId="0" fontId="72" fillId="0" borderId="29" xfId="0" applyFont="1" applyBorder="1" applyAlignment="1">
      <alignment vertical="center"/>
    </xf>
    <xf numFmtId="0" fontId="72" fillId="0" borderId="23" xfId="0" applyFont="1" applyBorder="1" applyAlignment="1">
      <alignment vertical="center"/>
    </xf>
    <xf numFmtId="0" fontId="82" fillId="4" borderId="0" xfId="0" applyFont="1" applyFill="1" applyAlignment="1">
      <alignment vertical="center"/>
    </xf>
    <xf numFmtId="0" fontId="0" fillId="0" borderId="25" xfId="0" applyBorder="1"/>
    <xf numFmtId="0" fontId="0" fillId="0" borderId="26" xfId="0" applyBorder="1"/>
    <xf numFmtId="0" fontId="65" fillId="0" borderId="29" xfId="0" applyFont="1" applyBorder="1" applyAlignment="1">
      <alignment horizontal="center" vertical="center"/>
    </xf>
    <xf numFmtId="189" fontId="76" fillId="8" borderId="0" xfId="0" applyNumberFormat="1" applyFont="1" applyFill="1" applyAlignment="1">
      <alignment horizontal="center" vertical="center"/>
    </xf>
    <xf numFmtId="180" fontId="76" fillId="0" borderId="32" xfId="0" applyNumberFormat="1" applyFont="1" applyBorder="1" applyAlignment="1">
      <alignment horizontal="center" vertical="center"/>
    </xf>
    <xf numFmtId="180" fontId="86" fillId="0" borderId="0" xfId="0" applyNumberFormat="1" applyFont="1"/>
    <xf numFmtId="0" fontId="76" fillId="0" borderId="28" xfId="0" applyFont="1" applyBorder="1"/>
    <xf numFmtId="0" fontId="76" fillId="0" borderId="29" xfId="0" applyFont="1" applyBorder="1"/>
    <xf numFmtId="180" fontId="76" fillId="0" borderId="29" xfId="0" applyNumberFormat="1" applyFont="1" applyBorder="1" applyAlignment="1">
      <alignment horizontal="center" vertical="center"/>
    </xf>
    <xf numFmtId="189" fontId="72" fillId="0" borderId="23" xfId="0" applyNumberFormat="1" applyFont="1" applyBorder="1" applyAlignment="1">
      <alignment vertical="center"/>
    </xf>
    <xf numFmtId="0" fontId="0" fillId="0" borderId="29" xfId="0" applyBorder="1"/>
    <xf numFmtId="0" fontId="0" fillId="0" borderId="30" xfId="0" applyBorder="1"/>
    <xf numFmtId="0" fontId="85" fillId="4" borderId="0" xfId="0" applyFont="1" applyFill="1"/>
    <xf numFmtId="0" fontId="85" fillId="4" borderId="0" xfId="0" applyFont="1" applyFill="1" applyAlignment="1">
      <alignment horizontal="center" vertical="center"/>
    </xf>
    <xf numFmtId="0" fontId="85" fillId="0" borderId="32" xfId="0" applyFont="1" applyBorder="1"/>
    <xf numFmtId="0" fontId="85" fillId="0" borderId="0" xfId="0" applyFont="1"/>
    <xf numFmtId="1" fontId="0" fillId="0" borderId="0" xfId="0" applyNumberFormat="1"/>
    <xf numFmtId="0" fontId="87" fillId="0" borderId="0" xfId="0" applyFont="1"/>
    <xf numFmtId="0" fontId="25" fillId="0" borderId="0" xfId="0" applyFont="1" applyAlignment="1">
      <alignment horizontal="center" vertical="center"/>
    </xf>
    <xf numFmtId="0" fontId="88" fillId="0" borderId="29" xfId="0" applyFont="1" applyBorder="1" applyAlignment="1">
      <alignment horizontal="right"/>
    </xf>
    <xf numFmtId="170" fontId="88" fillId="4" borderId="29" xfId="0" applyNumberFormat="1" applyFont="1" applyFill="1" applyBorder="1" applyAlignment="1">
      <alignment horizontal="center"/>
    </xf>
    <xf numFmtId="0" fontId="25" fillId="0" borderId="29" xfId="0" applyFont="1" applyBorder="1"/>
    <xf numFmtId="0" fontId="25" fillId="0" borderId="29" xfId="0" applyFont="1" applyBorder="1" applyAlignment="1">
      <alignment horizontal="center" vertical="center"/>
    </xf>
    <xf numFmtId="0" fontId="25" fillId="0" borderId="30" xfId="0" applyFont="1" applyBorder="1"/>
    <xf numFmtId="180" fontId="44" fillId="0" borderId="0" xfId="0" applyNumberFormat="1" applyFont="1"/>
    <xf numFmtId="0" fontId="62" fillId="0" borderId="13" xfId="0" applyFont="1" applyBorder="1"/>
    <xf numFmtId="0" fontId="81" fillId="0" borderId="13" xfId="0" applyFont="1" applyBorder="1" applyAlignment="1">
      <alignment horizontal="center" vertical="center" wrapText="1"/>
    </xf>
    <xf numFmtId="0" fontId="65" fillId="0" borderId="13" xfId="0" applyFont="1" applyBorder="1" applyAlignment="1">
      <alignment wrapText="1"/>
    </xf>
    <xf numFmtId="0" fontId="81" fillId="0" borderId="33" xfId="0" applyFont="1" applyBorder="1" applyAlignment="1">
      <alignment horizontal="center" vertical="center" wrapText="1"/>
    </xf>
    <xf numFmtId="0" fontId="65" fillId="0" borderId="33" xfId="0" applyFont="1" applyBorder="1" applyAlignment="1">
      <alignment wrapText="1"/>
    </xf>
    <xf numFmtId="0" fontId="62" fillId="0" borderId="0" xfId="0" applyFont="1"/>
    <xf numFmtId="49" fontId="62" fillId="0" borderId="0" xfId="0" applyNumberFormat="1" applyFont="1"/>
    <xf numFmtId="49" fontId="65" fillId="0" borderId="0" xfId="0" applyNumberFormat="1" applyFont="1"/>
    <xf numFmtId="9" fontId="0" fillId="0" borderId="0" xfId="0" applyNumberFormat="1"/>
    <xf numFmtId="17" fontId="25" fillId="0" borderId="0" xfId="0" applyNumberFormat="1" applyFont="1" applyAlignment="1">
      <alignment horizontal="center"/>
    </xf>
    <xf numFmtId="164" fontId="61" fillId="10" borderId="50" xfId="0" applyNumberFormat="1" applyFont="1" applyFill="1" applyBorder="1" applyAlignment="1" applyProtection="1">
      <alignment horizontal="right" wrapText="1"/>
      <protection locked="0"/>
    </xf>
    <xf numFmtId="190" fontId="76" fillId="0" borderId="0" xfId="0" applyNumberFormat="1" applyFont="1" applyAlignment="1">
      <alignment horizontal="center" vertical="center"/>
    </xf>
    <xf numFmtId="191" fontId="25" fillId="0" borderId="0" xfId="0" applyNumberFormat="1" applyFont="1"/>
    <xf numFmtId="0" fontId="90" fillId="0" borderId="0" xfId="0" applyFont="1" applyAlignment="1">
      <alignment horizontal="center"/>
    </xf>
    <xf numFmtId="192" fontId="61" fillId="18" borderId="50" xfId="0" applyNumberFormat="1" applyFont="1" applyFill="1" applyBorder="1" applyProtection="1">
      <protection locked="0"/>
    </xf>
    <xf numFmtId="0" fontId="91" fillId="0" borderId="0" xfId="0" applyFont="1" applyAlignment="1">
      <alignment horizontal="center"/>
    </xf>
    <xf numFmtId="49" fontId="91" fillId="0" borderId="0" xfId="0" applyNumberFormat="1" applyFont="1" applyAlignment="1">
      <alignment horizontal="center"/>
    </xf>
    <xf numFmtId="0" fontId="90" fillId="0" borderId="0" xfId="0" applyFont="1"/>
    <xf numFmtId="187" fontId="44" fillId="0" borderId="0" xfId="0" applyNumberFormat="1" applyFont="1"/>
    <xf numFmtId="0" fontId="19" fillId="0" borderId="46" xfId="0" applyFont="1" applyBorder="1" applyAlignment="1">
      <alignment horizontal="center" vertical="center" wrapText="1"/>
    </xf>
    <xf numFmtId="0" fontId="50" fillId="0" borderId="43" xfId="0" applyFont="1" applyBorder="1" applyAlignment="1">
      <alignment horizontal="center" vertical="center" wrapText="1"/>
    </xf>
    <xf numFmtId="0" fontId="18" fillId="0" borderId="47" xfId="0" applyFont="1" applyBorder="1" applyAlignment="1">
      <alignment horizontal="center"/>
    </xf>
    <xf numFmtId="0" fontId="52" fillId="0" borderId="0" xfId="0" applyFont="1" applyAlignment="1">
      <alignment horizontal="left" vertical="center" wrapText="1"/>
    </xf>
    <xf numFmtId="0" fontId="53" fillId="0" borderId="43" xfId="0" applyFont="1" applyBorder="1" applyAlignment="1">
      <alignment horizontal="center" vertical="center" wrapText="1"/>
    </xf>
    <xf numFmtId="0" fontId="54" fillId="10" borderId="43" xfId="0" applyFont="1" applyFill="1" applyBorder="1" applyAlignment="1" applyProtection="1">
      <alignment horizontal="center" vertical="center" wrapText="1"/>
      <protection locked="0"/>
    </xf>
    <xf numFmtId="0" fontId="56" fillId="10" borderId="43" xfId="0" applyFont="1" applyFill="1" applyBorder="1" applyAlignment="1" applyProtection="1">
      <alignment horizontal="center" vertical="center" wrapText="1"/>
      <protection locked="0"/>
    </xf>
    <xf numFmtId="0" fontId="57" fillId="0" borderId="43" xfId="0" applyFont="1" applyBorder="1" applyAlignment="1">
      <alignment horizontal="center" vertical="center" wrapText="1"/>
    </xf>
    <xf numFmtId="170" fontId="59" fillId="10" borderId="43" xfId="0" applyNumberFormat="1" applyFont="1" applyFill="1" applyBorder="1" applyAlignment="1" applyProtection="1">
      <alignment horizontal="center"/>
      <protection locked="0"/>
    </xf>
    <xf numFmtId="0" fontId="56" fillId="17" borderId="43" xfId="0" applyFont="1" applyFill="1" applyBorder="1" applyAlignment="1" applyProtection="1">
      <alignment horizontal="center" vertical="center" wrapText="1"/>
      <protection locked="0"/>
    </xf>
    <xf numFmtId="0" fontId="60" fillId="0" borderId="43" xfId="0" applyFont="1" applyBorder="1" applyAlignment="1">
      <alignment horizontal="center" vertical="center" wrapText="1"/>
    </xf>
    <xf numFmtId="3" fontId="56" fillId="17" borderId="43" xfId="0" applyNumberFormat="1" applyFont="1" applyFill="1" applyBorder="1" applyAlignment="1" applyProtection="1">
      <alignment horizontal="center" vertical="center" wrapText="1"/>
      <protection locked="0"/>
    </xf>
    <xf numFmtId="0" fontId="45" fillId="9" borderId="0" xfId="0" applyFont="1" applyFill="1" applyAlignment="1">
      <alignment horizontal="center"/>
    </xf>
    <xf numFmtId="168" fontId="46" fillId="10" borderId="43" xfId="0" applyNumberFormat="1" applyFont="1" applyFill="1" applyBorder="1" applyAlignment="1" applyProtection="1">
      <alignment horizontal="center" vertical="center" wrapText="1"/>
      <protection locked="0"/>
    </xf>
    <xf numFmtId="0" fontId="46" fillId="10" borderId="44" xfId="0" applyFont="1" applyFill="1" applyBorder="1" applyAlignment="1" applyProtection="1">
      <alignment horizontal="center" vertical="center"/>
      <protection locked="0"/>
    </xf>
    <xf numFmtId="0" fontId="47" fillId="0" borderId="45" xfId="0" applyFont="1" applyBorder="1" applyAlignment="1">
      <alignment horizontal="center" vertical="center" wrapText="1"/>
    </xf>
    <xf numFmtId="1" fontId="62" fillId="0" borderId="51" xfId="0" applyNumberFormat="1" applyFont="1" applyBorder="1" applyAlignment="1">
      <alignment horizontal="center"/>
    </xf>
    <xf numFmtId="0" fontId="63" fillId="10" borderId="43" xfId="0" applyFont="1" applyFill="1" applyBorder="1" applyAlignment="1" applyProtection="1">
      <alignment horizontal="center" vertical="center" wrapText="1"/>
      <protection locked="0"/>
    </xf>
    <xf numFmtId="9" fontId="56" fillId="17" borderId="43" xfId="0" applyNumberFormat="1" applyFont="1" applyFill="1" applyBorder="1" applyAlignment="1" applyProtection="1">
      <alignment horizontal="center" vertical="center" wrapText="1"/>
      <protection locked="0"/>
    </xf>
    <xf numFmtId="0" fontId="64" fillId="10" borderId="43" xfId="0" applyFont="1" applyFill="1" applyBorder="1" applyAlignment="1" applyProtection="1">
      <alignment horizontal="center" vertical="center" wrapText="1"/>
      <protection locked="0"/>
    </xf>
    <xf numFmtId="0" fontId="52" fillId="0" borderId="53" xfId="0" applyFont="1" applyBorder="1" applyAlignment="1">
      <alignment horizontal="center" vertical="center" wrapText="1"/>
    </xf>
    <xf numFmtId="183" fontId="63" fillId="0" borderId="55" xfId="0" applyNumberFormat="1" applyFont="1" applyBorder="1" applyAlignment="1">
      <alignment horizontal="center" vertical="center" wrapText="1"/>
    </xf>
    <xf numFmtId="183" fontId="63" fillId="0" borderId="57" xfId="0" applyNumberFormat="1" applyFont="1" applyBorder="1" applyAlignment="1">
      <alignment horizontal="center" vertical="center" wrapText="1"/>
    </xf>
    <xf numFmtId="0" fontId="12" fillId="0" borderId="43" xfId="0" applyFont="1" applyBorder="1" applyAlignment="1">
      <alignment horizontal="left" vertical="center"/>
    </xf>
    <xf numFmtId="0" fontId="12" fillId="10" borderId="43" xfId="0" applyFont="1" applyFill="1" applyBorder="1" applyAlignment="1" applyProtection="1">
      <alignment horizontal="center" vertical="center"/>
      <protection locked="0"/>
    </xf>
    <xf numFmtId="0" fontId="12" fillId="0" borderId="43" xfId="0" applyFont="1" applyBorder="1" applyAlignment="1">
      <alignment horizontal="left" vertical="center" wrapText="1"/>
    </xf>
    <xf numFmtId="3" fontId="12" fillId="10" borderId="43" xfId="0" applyNumberFormat="1" applyFont="1" applyFill="1" applyBorder="1" applyAlignment="1" applyProtection="1">
      <alignment horizontal="center" vertical="center"/>
      <protection locked="0"/>
    </xf>
    <xf numFmtId="170" fontId="61" fillId="10" borderId="50" xfId="0" applyNumberFormat="1" applyFont="1" applyFill="1" applyBorder="1" applyAlignment="1" applyProtection="1">
      <alignment horizontal="center"/>
      <protection locked="0"/>
    </xf>
    <xf numFmtId="1" fontId="62" fillId="0" borderId="43" xfId="0" applyNumberFormat="1" applyFont="1" applyBorder="1" applyAlignment="1">
      <alignment horizontal="center"/>
    </xf>
    <xf numFmtId="0" fontId="12" fillId="0" borderId="43" xfId="0" applyFont="1" applyBorder="1" applyAlignment="1">
      <alignment horizontal="center" vertical="center" wrapText="1"/>
    </xf>
    <xf numFmtId="0" fontId="66" fillId="10" borderId="43" xfId="0" applyFont="1" applyFill="1" applyBorder="1" applyAlignment="1" applyProtection="1">
      <alignment horizontal="center" vertical="center" wrapText="1"/>
      <protection locked="0"/>
    </xf>
    <xf numFmtId="0" fontId="19" fillId="0" borderId="43" xfId="0" applyFont="1" applyBorder="1" applyAlignment="1">
      <alignment horizontal="center" vertical="center" wrapText="1"/>
    </xf>
    <xf numFmtId="0" fontId="12" fillId="0" borderId="43" xfId="0" applyFont="1" applyBorder="1" applyAlignment="1">
      <alignment vertical="center" wrapText="1"/>
    </xf>
    <xf numFmtId="0" fontId="62" fillId="0" borderId="43" xfId="0" applyFont="1" applyBorder="1" applyAlignment="1">
      <alignment horizontal="left" vertical="center" wrapText="1" indent="15"/>
    </xf>
    <xf numFmtId="0" fontId="12" fillId="10" borderId="43" xfId="0" applyFont="1" applyFill="1" applyBorder="1" applyAlignment="1" applyProtection="1">
      <alignment horizontal="center" vertical="center" wrapText="1"/>
      <protection locked="0"/>
    </xf>
    <xf numFmtId="0" fontId="19" fillId="0" borderId="66" xfId="0" applyFont="1" applyBorder="1" applyAlignment="1">
      <alignment horizontal="center" vertical="center"/>
    </xf>
    <xf numFmtId="0" fontId="19" fillId="0" borderId="56" xfId="0" applyFont="1" applyBorder="1" applyAlignment="1">
      <alignment horizontal="center" vertical="center" wrapText="1"/>
    </xf>
    <xf numFmtId="9" fontId="62" fillId="0" borderId="43" xfId="1" applyFont="1" applyBorder="1" applyAlignment="1" applyProtection="1">
      <alignment horizontal="center" vertical="center"/>
    </xf>
    <xf numFmtId="0" fontId="60" fillId="0" borderId="54" xfId="0" applyFont="1" applyBorder="1" applyAlignment="1">
      <alignment horizontal="center" vertical="center" wrapText="1"/>
    </xf>
    <xf numFmtId="0" fontId="62" fillId="0" borderId="43" xfId="0" applyFont="1" applyBorder="1" applyAlignment="1">
      <alignment horizontal="center" vertical="center" wrapText="1"/>
    </xf>
    <xf numFmtId="0" fontId="70" fillId="10" borderId="43" xfId="0" applyFont="1" applyFill="1" applyBorder="1" applyAlignment="1" applyProtection="1">
      <alignment horizontal="center" vertical="center" wrapText="1"/>
      <protection locked="0"/>
    </xf>
    <xf numFmtId="0" fontId="12" fillId="0" borderId="43" xfId="0" applyFont="1" applyBorder="1" applyAlignment="1">
      <alignment horizontal="left"/>
    </xf>
    <xf numFmtId="0" fontId="62" fillId="0" borderId="43" xfId="0" applyFont="1" applyBorder="1" applyAlignment="1">
      <alignment horizontal="left"/>
    </xf>
    <xf numFmtId="0" fontId="0" fillId="10" borderId="43" xfId="0" applyFill="1" applyBorder="1" applyAlignment="1">
      <alignment horizontal="center"/>
    </xf>
    <xf numFmtId="0" fontId="19" fillId="0" borderId="51" xfId="0" applyFont="1" applyBorder="1" applyAlignment="1">
      <alignment horizontal="center" vertical="center"/>
    </xf>
    <xf numFmtId="0" fontId="8"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9" fillId="0" borderId="1" xfId="0" applyFont="1" applyBorder="1" applyAlignment="1">
      <alignment horizontal="center" vertical="center"/>
    </xf>
    <xf numFmtId="0" fontId="10" fillId="3" borderId="1" xfId="0" applyFont="1" applyFill="1" applyBorder="1" applyAlignment="1">
      <alignment horizontal="center" vertical="center" textRotation="90"/>
    </xf>
    <xf numFmtId="0" fontId="7" fillId="3" borderId="1" xfId="0" applyFont="1" applyFill="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10" fillId="2" borderId="1" xfId="0" applyFont="1" applyFill="1" applyBorder="1" applyAlignment="1">
      <alignment horizontal="center" vertical="center" textRotation="90"/>
    </xf>
    <xf numFmtId="0" fontId="7" fillId="3" borderId="2" xfId="0" applyFont="1" applyFill="1" applyBorder="1" applyAlignment="1">
      <alignment horizontal="left" vertical="center"/>
    </xf>
    <xf numFmtId="168" fontId="10" fillId="4" borderId="2" xfId="0" applyNumberFormat="1" applyFont="1" applyFill="1" applyBorder="1" applyAlignment="1">
      <alignment horizontal="center" vertical="center"/>
    </xf>
    <xf numFmtId="168" fontId="7" fillId="3" borderId="3" xfId="0" applyNumberFormat="1" applyFont="1" applyFill="1" applyBorder="1" applyAlignment="1">
      <alignment horizontal="center" vertical="center" wrapText="1"/>
    </xf>
    <xf numFmtId="168" fontId="10" fillId="0" borderId="4" xfId="0" applyNumberFormat="1" applyFont="1" applyBorder="1" applyAlignment="1">
      <alignment horizontal="center" vertical="center"/>
    </xf>
    <xf numFmtId="168" fontId="10" fillId="4" borderId="3" xfId="0" applyNumberFormat="1" applyFont="1" applyFill="1" applyBorder="1" applyAlignment="1">
      <alignment horizontal="center" vertical="center"/>
    </xf>
    <xf numFmtId="0" fontId="10" fillId="5" borderId="5" xfId="0" applyFont="1" applyFill="1" applyBorder="1" applyAlignment="1">
      <alignment horizontal="center" vertical="center"/>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7" fillId="0" borderId="0" xfId="0" applyFont="1" applyAlignment="1">
      <alignment horizontal="center" vertical="center" wrapText="1"/>
    </xf>
    <xf numFmtId="0" fontId="7" fillId="3" borderId="15" xfId="0" applyFont="1" applyFill="1" applyBorder="1" applyAlignment="1">
      <alignment horizontal="center" vertical="center"/>
    </xf>
    <xf numFmtId="168" fontId="10" fillId="4" borderId="1" xfId="0" applyNumberFormat="1" applyFont="1" applyFill="1" applyBorder="1" applyAlignment="1">
      <alignment horizontal="center" vertical="center"/>
    </xf>
    <xf numFmtId="0" fontId="7" fillId="3" borderId="16" xfId="0" applyFont="1" applyFill="1" applyBorder="1" applyAlignment="1">
      <alignment horizontal="center" vertical="center"/>
    </xf>
    <xf numFmtId="0" fontId="10" fillId="4" borderId="1" xfId="0" applyFont="1" applyFill="1" applyBorder="1" applyAlignment="1">
      <alignment horizontal="center" vertical="center"/>
    </xf>
    <xf numFmtId="174" fontId="10" fillId="0" borderId="0" xfId="0" applyNumberFormat="1" applyFont="1" applyAlignment="1">
      <alignment horizontal="center"/>
    </xf>
    <xf numFmtId="0" fontId="7" fillId="0" borderId="9" xfId="0" applyFont="1" applyBorder="1" applyAlignment="1">
      <alignment horizontal="center"/>
    </xf>
    <xf numFmtId="10" fontId="7" fillId="0" borderId="16" xfId="0" applyNumberFormat="1" applyFont="1" applyBorder="1" applyAlignment="1">
      <alignment horizontal="center"/>
    </xf>
    <xf numFmtId="0" fontId="11" fillId="0" borderId="17" xfId="0" applyFont="1" applyBorder="1" applyAlignment="1">
      <alignment horizontal="left" vertical="center" wrapText="1"/>
    </xf>
    <xf numFmtId="0" fontId="10" fillId="2" borderId="1" xfId="0" applyFont="1" applyFill="1" applyBorder="1" applyAlignment="1">
      <alignment horizontal="center" vertical="center" textRotation="90" wrapText="1"/>
    </xf>
    <xf numFmtId="0" fontId="7" fillId="2" borderId="1" xfId="0" applyFont="1" applyFill="1" applyBorder="1" applyAlignment="1">
      <alignment horizontal="left"/>
    </xf>
    <xf numFmtId="0" fontId="7" fillId="2" borderId="18" xfId="0" applyFont="1" applyFill="1" applyBorder="1" applyAlignment="1">
      <alignment horizontal="center"/>
    </xf>
    <xf numFmtId="0" fontId="7" fillId="2" borderId="2" xfId="0" applyFont="1" applyFill="1" applyBorder="1" applyAlignment="1">
      <alignment horizontal="center"/>
    </xf>
    <xf numFmtId="175" fontId="7" fillId="0" borderId="1" xfId="0" applyNumberFormat="1" applyFont="1" applyBorder="1" applyAlignment="1">
      <alignment horizontal="center"/>
    </xf>
    <xf numFmtId="172" fontId="7" fillId="0" borderId="1" xfId="0" applyNumberFormat="1" applyFont="1" applyBorder="1" applyAlignment="1">
      <alignment horizontal="center"/>
    </xf>
    <xf numFmtId="9" fontId="7" fillId="0" borderId="1" xfId="0" applyNumberFormat="1" applyFont="1" applyBorder="1" applyAlignment="1">
      <alignment horizontal="center"/>
    </xf>
    <xf numFmtId="0" fontId="11" fillId="0" borderId="19" xfId="0" applyFont="1" applyBorder="1" applyAlignment="1">
      <alignment horizontal="left" vertical="center" wrapText="1"/>
    </xf>
    <xf numFmtId="0" fontId="11" fillId="0" borderId="19" xfId="0" applyFont="1" applyBorder="1" applyAlignment="1">
      <alignment horizontal="left" vertical="top" wrapText="1"/>
    </xf>
    <xf numFmtId="0" fontId="11" fillId="0" borderId="20" xfId="0" applyFont="1" applyBorder="1" applyAlignment="1">
      <alignment horizontal="left" vertical="center" wrapText="1"/>
    </xf>
    <xf numFmtId="176" fontId="7" fillId="0" borderId="1" xfId="0" applyNumberFormat="1" applyFont="1" applyBorder="1" applyAlignment="1">
      <alignment horizontal="center"/>
    </xf>
    <xf numFmtId="2" fontId="7" fillId="0" borderId="1" xfId="0" applyNumberFormat="1" applyFont="1" applyBorder="1" applyAlignment="1">
      <alignment horizontal="center"/>
    </xf>
    <xf numFmtId="3" fontId="7" fillId="0" borderId="1" xfId="0" applyNumberFormat="1" applyFont="1" applyBorder="1" applyAlignment="1">
      <alignment horizontal="center"/>
    </xf>
    <xf numFmtId="0" fontId="7" fillId="2" borderId="1" xfId="0" applyFont="1" applyFill="1" applyBorder="1" applyAlignment="1">
      <alignment horizontal="left" wrapText="1"/>
    </xf>
    <xf numFmtId="0" fontId="11" fillId="0" borderId="6" xfId="0" applyFont="1" applyBorder="1" applyAlignment="1">
      <alignment horizontal="left" vertical="center"/>
    </xf>
    <xf numFmtId="0" fontId="10" fillId="5" borderId="22" xfId="0" applyFont="1" applyFill="1" applyBorder="1" applyAlignment="1">
      <alignment horizontal="center" vertical="center"/>
    </xf>
    <xf numFmtId="0" fontId="11" fillId="0" borderId="2" xfId="0" applyFont="1" applyBorder="1" applyAlignment="1">
      <alignment horizontal="left" vertical="center" wrapText="1"/>
    </xf>
    <xf numFmtId="0" fontId="11" fillId="0" borderId="7" xfId="0" applyFont="1" applyBorder="1" applyAlignment="1">
      <alignment horizontal="center" vertical="center"/>
    </xf>
    <xf numFmtId="0" fontId="7" fillId="0" borderId="0" xfId="0" applyFont="1" applyAlignment="1">
      <alignment horizontal="center"/>
    </xf>
    <xf numFmtId="0" fontId="10" fillId="0" borderId="0" xfId="0" applyFont="1" applyAlignment="1">
      <alignment horizontal="center"/>
    </xf>
    <xf numFmtId="0" fontId="10" fillId="0" borderId="13" xfId="0" applyFont="1" applyBorder="1" applyAlignment="1">
      <alignment horizontal="center"/>
    </xf>
    <xf numFmtId="0" fontId="11" fillId="0" borderId="6" xfId="0" applyFont="1" applyBorder="1" applyAlignment="1">
      <alignment horizontal="center" vertical="center"/>
    </xf>
    <xf numFmtId="0" fontId="13" fillId="6" borderId="23" xfId="0" applyFont="1" applyFill="1" applyBorder="1" applyAlignment="1">
      <alignment horizontal="center" vertical="center"/>
    </xf>
    <xf numFmtId="0" fontId="14" fillId="0" borderId="27" xfId="0" applyFont="1" applyBorder="1" applyAlignment="1">
      <alignment horizontal="center"/>
    </xf>
    <xf numFmtId="0" fontId="17" fillId="0" borderId="1" xfId="0" applyFont="1" applyBorder="1" applyAlignment="1">
      <alignment horizontal="left" vertical="center" textRotation="90"/>
    </xf>
    <xf numFmtId="0" fontId="18" fillId="0" borderId="33" xfId="0" applyFont="1" applyBorder="1" applyAlignment="1">
      <alignment horizontal="center" vertical="center" wrapText="1"/>
    </xf>
    <xf numFmtId="0" fontId="1" fillId="0" borderId="0" xfId="0" applyFont="1" applyAlignment="1">
      <alignment horizontal="center" vertical="center" wrapText="1"/>
    </xf>
    <xf numFmtId="0" fontId="12" fillId="0" borderId="13" xfId="0" applyFont="1" applyBorder="1" applyAlignment="1">
      <alignment horizontal="center"/>
    </xf>
    <xf numFmtId="0" fontId="19" fillId="0" borderId="1" xfId="0" applyFont="1" applyBorder="1" applyAlignment="1">
      <alignment horizontal="left" vertical="center" textRotation="90"/>
    </xf>
    <xf numFmtId="0" fontId="17" fillId="0" borderId="1" xfId="0" applyFont="1" applyBorder="1" applyAlignment="1">
      <alignment horizontal="center" vertical="center" textRotation="90" wrapText="1"/>
    </xf>
    <xf numFmtId="0" fontId="1" fillId="0" borderId="19" xfId="0" applyFont="1" applyBorder="1" applyAlignment="1">
      <alignment horizontal="left" wrapText="1"/>
    </xf>
    <xf numFmtId="0" fontId="1" fillId="0" borderId="19" xfId="0" applyFont="1" applyBorder="1" applyAlignment="1">
      <alignment horizontal="left" vertical="center" wrapText="1"/>
    </xf>
    <xf numFmtId="0" fontId="12" fillId="0" borderId="14" xfId="0" applyFont="1" applyBorder="1" applyAlignment="1">
      <alignment horizontal="center"/>
    </xf>
    <xf numFmtId="0" fontId="1" fillId="0" borderId="8" xfId="0" applyFont="1" applyBorder="1" applyAlignment="1">
      <alignment horizontal="right"/>
    </xf>
    <xf numFmtId="0" fontId="12" fillId="0" borderId="0" xfId="0" applyFont="1" applyAlignment="1">
      <alignment horizontal="center"/>
    </xf>
    <xf numFmtId="0" fontId="21" fillId="0" borderId="0" xfId="0" applyFont="1" applyAlignment="1">
      <alignment horizontal="center"/>
    </xf>
    <xf numFmtId="0" fontId="18" fillId="0" borderId="35" xfId="0" applyFont="1" applyBorder="1" applyAlignment="1">
      <alignment horizontal="center" vertical="center" wrapText="1"/>
    </xf>
    <xf numFmtId="3" fontId="18" fillId="0" borderId="35" xfId="0" applyNumberFormat="1" applyFont="1" applyBorder="1" applyAlignment="1">
      <alignment horizontal="center" vertical="center"/>
    </xf>
    <xf numFmtId="0" fontId="18" fillId="0" borderId="35" xfId="0" applyFont="1" applyBorder="1" applyAlignment="1">
      <alignment horizontal="center" vertical="center"/>
    </xf>
    <xf numFmtId="0" fontId="1" fillId="0" borderId="31" xfId="0" applyFont="1" applyBorder="1" applyAlignment="1">
      <alignment vertical="center" wrapText="1"/>
    </xf>
    <xf numFmtId="0" fontId="18" fillId="0" borderId="37" xfId="0" applyFont="1" applyBorder="1" applyAlignment="1">
      <alignment wrapText="1"/>
    </xf>
    <xf numFmtId="0" fontId="18" fillId="0" borderId="37" xfId="0" applyFont="1" applyBorder="1" applyAlignment="1">
      <alignment horizontal="right"/>
    </xf>
    <xf numFmtId="0" fontId="12" fillId="0" borderId="23" xfId="0" applyFont="1" applyBorder="1" applyAlignment="1">
      <alignment horizontal="center"/>
    </xf>
    <xf numFmtId="4" fontId="22" fillId="0" borderId="8" xfId="0" applyNumberFormat="1" applyFont="1" applyBorder="1" applyAlignment="1">
      <alignment horizontal="center"/>
    </xf>
    <xf numFmtId="4" fontId="22" fillId="3" borderId="1" xfId="0" applyNumberFormat="1" applyFont="1" applyFill="1" applyBorder="1" applyAlignment="1">
      <alignment horizontal="center"/>
    </xf>
    <xf numFmtId="4" fontId="25" fillId="4" borderId="19" xfId="0" applyNumberFormat="1" applyFont="1" applyFill="1" applyBorder="1" applyAlignment="1">
      <alignment horizontal="center"/>
    </xf>
    <xf numFmtId="4" fontId="1" fillId="0" borderId="19" xfId="0" applyNumberFormat="1" applyFont="1" applyBorder="1" applyAlignment="1">
      <alignment horizontal="center"/>
    </xf>
    <xf numFmtId="3" fontId="1" fillId="0" borderId="19" xfId="0" applyNumberFormat="1" applyFont="1" applyBorder="1" applyAlignment="1">
      <alignment horizontal="center"/>
    </xf>
    <xf numFmtId="4" fontId="32" fillId="0" borderId="9" xfId="0" applyNumberFormat="1" applyFont="1" applyBorder="1" applyAlignment="1">
      <alignment horizontal="center"/>
    </xf>
    <xf numFmtId="4" fontId="29" fillId="0" borderId="35" xfId="0" applyNumberFormat="1" applyFont="1" applyBorder="1" applyAlignment="1">
      <alignment horizontal="center"/>
    </xf>
    <xf numFmtId="4" fontId="29" fillId="0" borderId="32" xfId="0" applyNumberFormat="1" applyFont="1" applyBorder="1" applyAlignment="1">
      <alignment horizontal="center"/>
    </xf>
    <xf numFmtId="4" fontId="1" fillId="0" borderId="20" xfId="0" applyNumberFormat="1" applyFont="1" applyBorder="1" applyAlignment="1">
      <alignment horizontal="center"/>
    </xf>
    <xf numFmtId="4" fontId="21" fillId="0" borderId="0" xfId="0" applyNumberFormat="1" applyFont="1" applyAlignment="1">
      <alignment horizontal="center"/>
    </xf>
    <xf numFmtId="0" fontId="15" fillId="0" borderId="0" xfId="0" applyFont="1" applyAlignment="1">
      <alignment horizontal="right"/>
    </xf>
    <xf numFmtId="179" fontId="1" fillId="0" borderId="0" xfId="0" applyNumberFormat="1" applyFont="1" applyAlignment="1">
      <alignment horizontal="left"/>
    </xf>
    <xf numFmtId="4" fontId="10" fillId="0" borderId="0" xfId="0" applyNumberFormat="1" applyFont="1" applyAlignment="1">
      <alignment horizontal="center"/>
    </xf>
    <xf numFmtId="4" fontId="3" fillId="0" borderId="0" xfId="0" applyNumberFormat="1" applyFont="1" applyAlignment="1">
      <alignment horizontal="center"/>
    </xf>
    <xf numFmtId="4" fontId="39" fillId="0" borderId="31" xfId="0" applyNumberFormat="1" applyFont="1" applyBorder="1" applyAlignment="1">
      <alignment horizontal="center"/>
    </xf>
    <xf numFmtId="0" fontId="1" fillId="0" borderId="23" xfId="0" applyFont="1" applyBorder="1" applyAlignment="1">
      <alignment horizontal="center"/>
    </xf>
    <xf numFmtId="0" fontId="1" fillId="0" borderId="0" xfId="0" applyFont="1" applyAlignment="1">
      <alignment wrapText="1"/>
    </xf>
    <xf numFmtId="0" fontId="72" fillId="9" borderId="43" xfId="0" applyFont="1" applyFill="1" applyBorder="1" applyAlignment="1">
      <alignment horizontal="center" vertical="center"/>
    </xf>
    <xf numFmtId="188" fontId="79" fillId="0" borderId="38" xfId="0" applyNumberFormat="1" applyFont="1" applyBorder="1" applyAlignment="1">
      <alignment horizontal="left"/>
    </xf>
    <xf numFmtId="188" fontId="79" fillId="0" borderId="29" xfId="0" applyNumberFormat="1" applyFont="1" applyBorder="1" applyAlignment="1">
      <alignment horizontal="left"/>
    </xf>
    <xf numFmtId="0" fontId="76" fillId="0" borderId="0" xfId="0" applyFont="1" applyAlignment="1">
      <alignment horizontal="left" vertical="center" wrapText="1"/>
    </xf>
    <xf numFmtId="0" fontId="81" fillId="4" borderId="0" xfId="0" applyFont="1" applyFill="1" applyAlignment="1">
      <alignment horizontal="left" vertical="top" wrapText="1"/>
    </xf>
    <xf numFmtId="0" fontId="72" fillId="9" borderId="54" xfId="0" applyFont="1" applyFill="1" applyBorder="1" applyAlignment="1">
      <alignment horizontal="center" vertical="center"/>
    </xf>
    <xf numFmtId="188" fontId="79" fillId="0" borderId="25" xfId="0" applyNumberFormat="1" applyFont="1" applyBorder="1" applyAlignment="1">
      <alignment horizontal="left"/>
    </xf>
    <xf numFmtId="1" fontId="25" fillId="0" borderId="0" xfId="0" applyNumberFormat="1" applyFont="1" applyAlignment="1">
      <alignment horizontal="center"/>
    </xf>
    <xf numFmtId="0" fontId="89" fillId="16" borderId="0" xfId="0" applyFont="1" applyFill="1" applyAlignment="1">
      <alignment horizontal="center" vertical="center"/>
    </xf>
  </cellXfs>
  <cellStyles count="6">
    <cellStyle name="Millares 2" xfId="2" xr:uid="{00000000-0005-0000-0000-000000000000}"/>
    <cellStyle name="Millares 3" xfId="3" xr:uid="{00000000-0005-0000-0000-000001000000}"/>
    <cellStyle name="Normal" xfId="0" builtinId="0"/>
    <cellStyle name="Normal 2" xfId="4" xr:uid="{00000000-0005-0000-0000-000003000000}"/>
    <cellStyle name="Normal 3" xfId="5" xr:uid="{00000000-0005-0000-0000-000004000000}"/>
    <cellStyle name="Porcentaje" xfId="1" builtinId="5"/>
  </cellStyles>
  <dxfs count="68">
    <dxf>
      <fill>
        <patternFill>
          <bgColor rgb="FF64A500"/>
        </patternFill>
      </fill>
    </dxf>
    <dxf>
      <fill>
        <patternFill>
          <bgColor rgb="FFFF0000"/>
        </patternFill>
      </fill>
    </dxf>
    <dxf>
      <font>
        <b/>
        <i val="0"/>
        <color rgb="FFFFFFFF"/>
      </font>
      <fill>
        <patternFill>
          <bgColor rgb="FFFF0000"/>
        </patternFill>
      </fill>
    </dxf>
    <dxf>
      <fill>
        <patternFill>
          <bgColor rgb="FF64A500"/>
        </patternFill>
      </fill>
    </dxf>
    <dxf>
      <fill>
        <patternFill>
          <bgColor rgb="FFFF0000"/>
        </patternFill>
      </fill>
    </dxf>
    <dxf>
      <font>
        <color rgb="FFFFFFFF"/>
      </font>
      <fill>
        <patternFill>
          <bgColor rgb="FFFF0000"/>
        </patternFill>
      </fill>
    </dxf>
    <dxf>
      <font>
        <b/>
        <color rgb="FFFFFFFF"/>
      </font>
      <fill>
        <patternFill>
          <bgColor rgb="FFFF0000"/>
        </patternFill>
      </fill>
    </dxf>
    <dxf>
      <font>
        <color rgb="FFFFFFFF"/>
      </font>
      <fill>
        <patternFill>
          <bgColor rgb="FF64A500"/>
        </patternFill>
      </fill>
    </dxf>
    <dxf>
      <font>
        <b/>
        <i val="0"/>
        <color rgb="FFFFFFFF"/>
      </font>
      <fill>
        <patternFill>
          <bgColor rgb="FF7F7F7F"/>
        </patternFill>
      </fill>
    </dxf>
    <dxf>
      <font>
        <b/>
        <color rgb="FFFFFFFF"/>
      </font>
      <fill>
        <patternFill>
          <bgColor rgb="FFFF0000"/>
        </patternFill>
      </fill>
    </dxf>
    <dxf>
      <font>
        <b/>
        <color rgb="FFFFFFFF"/>
      </font>
      <fill>
        <patternFill>
          <bgColor rgb="FF64A500"/>
        </patternFill>
      </fill>
    </dxf>
    <dxf>
      <font>
        <b/>
        <i val="0"/>
        <color rgb="FFFFFFFF"/>
      </font>
      <fill>
        <patternFill>
          <bgColor rgb="FF7F7F7F"/>
        </patternFill>
      </fill>
    </dxf>
    <dxf>
      <font>
        <b/>
        <i val="0"/>
        <color rgb="FFFFFFFF"/>
      </font>
      <fill>
        <patternFill>
          <bgColor rgb="FF7F7F7F"/>
        </patternFill>
      </fill>
    </dxf>
    <dxf>
      <fill>
        <patternFill>
          <bgColor rgb="FF64A500"/>
        </patternFill>
      </fill>
    </dxf>
    <dxf>
      <fill>
        <patternFill>
          <bgColor rgb="FFFF0000"/>
        </patternFill>
      </fill>
    </dxf>
    <dxf>
      <fill>
        <patternFill>
          <bgColor rgb="FFFF0000"/>
        </patternFill>
      </fill>
    </dxf>
    <dxf>
      <fill>
        <patternFill>
          <bgColor rgb="FF64A500"/>
        </patternFill>
      </fill>
    </dxf>
    <dxf>
      <fill>
        <patternFill>
          <bgColor rgb="FFFF0000"/>
        </patternFill>
      </fill>
    </dxf>
    <dxf>
      <fill>
        <patternFill>
          <bgColor rgb="FF64A500"/>
        </patternFill>
      </fill>
    </dxf>
    <dxf>
      <fill>
        <patternFill>
          <bgColor rgb="FFFF0000"/>
        </patternFill>
      </fill>
    </dxf>
    <dxf>
      <fill>
        <patternFill>
          <bgColor rgb="FF64A500"/>
        </patternFill>
      </fill>
    </dxf>
    <dxf>
      <font>
        <b/>
        <color rgb="FF000000"/>
      </font>
      <fill>
        <patternFill>
          <bgColor rgb="FF64A500"/>
        </patternFill>
      </fill>
    </dxf>
    <dxf>
      <font>
        <b/>
        <color rgb="FF000000"/>
      </font>
      <fill>
        <patternFill>
          <bgColor rgb="FFFF0000"/>
        </patternFill>
      </fill>
    </dxf>
    <dxf>
      <fill>
        <patternFill>
          <bgColor rgb="FF64A5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lor rgb="FFFFFFFF"/>
      </font>
      <fill>
        <patternFill>
          <bgColor rgb="FF7F7F7F"/>
        </patternFill>
      </fill>
    </dxf>
    <dxf>
      <fill>
        <patternFill>
          <bgColor rgb="FFFF0000"/>
        </patternFill>
      </fill>
    </dxf>
    <dxf>
      <fill>
        <patternFill>
          <bgColor rgb="FF64A500"/>
        </patternFill>
      </fill>
    </dxf>
    <dxf>
      <fill>
        <patternFill>
          <bgColor rgb="FF64A500"/>
        </patternFill>
      </fill>
    </dxf>
    <dxf>
      <fill>
        <patternFill>
          <bgColor rgb="FFFF0000"/>
        </patternFill>
      </fill>
    </dxf>
    <dxf>
      <font>
        <b/>
        <i val="0"/>
        <color rgb="FFFFFFFF"/>
      </font>
      <fill>
        <patternFill>
          <bgColor rgb="FF7F7F7F"/>
        </patternFill>
      </fill>
    </dxf>
    <dxf>
      <fill>
        <patternFill>
          <bgColor rgb="FF00B050"/>
        </patternFill>
      </fill>
    </dxf>
    <dxf>
      <fill>
        <patternFill>
          <bgColor rgb="FFFF0000"/>
        </patternFill>
      </fill>
    </dxf>
    <dxf>
      <fill>
        <patternFill>
          <bgColor rgb="FFFF0000"/>
        </patternFill>
      </fill>
    </dxf>
    <dxf>
      <fill>
        <patternFill>
          <bgColor rgb="FF64A500"/>
        </patternFill>
      </fill>
    </dxf>
    <dxf>
      <fill>
        <patternFill>
          <bgColor rgb="FF64A500"/>
        </patternFill>
      </fill>
    </dxf>
    <dxf>
      <fill>
        <patternFill>
          <bgColor rgb="FFFF0000"/>
        </patternFill>
      </fill>
    </dxf>
    <dxf>
      <font>
        <b/>
        <color rgb="FF000000"/>
      </font>
      <fill>
        <patternFill>
          <bgColor rgb="FFFF0000"/>
        </patternFill>
      </fill>
    </dxf>
    <dxf>
      <font>
        <b/>
        <color rgb="FF000000"/>
      </font>
      <fill>
        <patternFill>
          <bgColor rgb="FF64A500"/>
        </patternFill>
      </fill>
    </dxf>
    <dxf>
      <font>
        <b/>
        <i val="0"/>
        <color rgb="FFFFFFFF"/>
      </font>
      <fill>
        <patternFill>
          <bgColor rgb="FFFF0000"/>
        </patternFill>
      </fill>
    </dxf>
    <dxf>
      <fill>
        <patternFill>
          <bgColor rgb="FFFF0000"/>
        </patternFill>
      </fill>
    </dxf>
    <dxf>
      <fill>
        <patternFill>
          <bgColor rgb="FF64A500"/>
        </patternFill>
      </fill>
    </dxf>
    <dxf>
      <font>
        <b/>
        <i val="0"/>
        <color rgb="FFFFFFFF"/>
      </font>
      <fill>
        <patternFill>
          <bgColor rgb="FF7F7F7F"/>
        </patternFill>
      </fill>
    </dxf>
    <dxf>
      <font>
        <b/>
        <i val="0"/>
        <color rgb="FFFF0000"/>
      </font>
      <fill>
        <patternFill>
          <bgColor rgb="FFFFFFFF"/>
        </patternFill>
      </fill>
    </dxf>
    <dxf>
      <fill>
        <patternFill>
          <bgColor rgb="FFFF0000"/>
        </patternFill>
      </fill>
    </dxf>
    <dxf>
      <fill>
        <patternFill>
          <bgColor rgb="FF64A500"/>
        </patternFill>
      </fill>
    </dxf>
    <dxf>
      <fill>
        <patternFill>
          <bgColor rgb="FFFF0000"/>
        </patternFill>
      </fill>
    </dxf>
    <dxf>
      <font>
        <b/>
        <i val="0"/>
        <color rgb="FFFFFFFF"/>
      </font>
      <fill>
        <patternFill>
          <bgColor rgb="FF7F7F7F"/>
        </patternFill>
      </fill>
    </dxf>
    <dxf>
      <fill>
        <patternFill>
          <bgColor rgb="FF64A500"/>
        </patternFill>
      </fill>
    </dxf>
    <dxf>
      <fill>
        <patternFill>
          <bgColor rgb="FFFF0000"/>
        </patternFill>
      </fill>
    </dxf>
    <dxf>
      <font>
        <b/>
        <i val="0"/>
        <color rgb="FFFFFFFF"/>
      </font>
      <fill>
        <patternFill>
          <bgColor rgb="FF64A500"/>
        </patternFill>
      </fill>
    </dxf>
    <dxf>
      <font>
        <b/>
        <i val="0"/>
        <color rgb="FFFFFFFF"/>
      </font>
      <fill>
        <patternFill>
          <bgColor rgb="FF7F7F7F"/>
        </patternFill>
      </fill>
    </dxf>
    <dxf>
      <font>
        <b/>
        <i val="0"/>
        <color rgb="FFFFFFFF"/>
      </font>
      <fill>
        <patternFill>
          <bgColor rgb="FFFF0000"/>
        </patternFill>
      </fill>
    </dxf>
    <dxf>
      <fill>
        <patternFill>
          <bgColor rgb="FF64A500"/>
        </patternFill>
      </fill>
    </dxf>
    <dxf>
      <fill>
        <patternFill>
          <bgColor rgb="FFFF0000"/>
        </patternFill>
      </fill>
    </dxf>
    <dxf>
      <font>
        <b/>
        <i val="0"/>
        <color rgb="FFFFFFFF"/>
      </font>
      <fill>
        <patternFill>
          <bgColor rgb="FF7F7F7F"/>
        </patternFill>
      </fill>
    </dxf>
    <dxf>
      <font>
        <b/>
        <i val="0"/>
      </font>
      <fill>
        <patternFill>
          <bgColor rgb="FF92D050"/>
        </patternFill>
      </fill>
    </dxf>
    <dxf>
      <font>
        <b/>
        <i val="0"/>
        <color rgb="FFFFFFFF"/>
      </font>
      <fill>
        <patternFill>
          <bgColor rgb="FFFF0000"/>
        </patternFill>
      </fill>
    </dxf>
    <dxf>
      <fill>
        <patternFill>
          <bgColor rgb="FFFF0000"/>
        </patternFill>
      </fill>
    </dxf>
    <dxf>
      <font>
        <b/>
        <i val="0"/>
        <color rgb="FFFFFFFF"/>
      </font>
      <fill>
        <patternFill>
          <bgColor rgb="FF7F7F7F"/>
        </patternFill>
      </fill>
    </dxf>
    <dxf>
      <fill>
        <patternFill>
          <bgColor rgb="FF64A500"/>
        </patternFill>
      </fill>
    </dxf>
    <dxf>
      <fill>
        <patternFill>
          <bgColor rgb="FFFF0000"/>
        </patternFill>
      </fill>
    </dxf>
    <dxf>
      <fill>
        <patternFill>
          <bgColor rgb="FF64A500"/>
        </patternFill>
      </fill>
    </dxf>
    <dxf>
      <font>
        <b/>
        <i val="0"/>
        <color rgb="FFFFFFFF"/>
      </font>
      <fill>
        <patternFill>
          <bgColor rgb="FF7F7F7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4A500"/>
      <rgbColor rgb="FF800080"/>
      <rgbColor rgb="FF008040"/>
      <rgbColor rgb="FFC0C0C0"/>
      <rgbColor rgb="FF7F7F7F"/>
      <rgbColor rgb="FF9999FF"/>
      <rgbColor rgb="FF767171"/>
      <rgbColor rgb="FFFFFFCC"/>
      <rgbColor rgb="FFEFEFEF"/>
      <rgbColor rgb="FF660066"/>
      <rgbColor rgb="FFFF8080"/>
      <rgbColor rgb="FF0070C0"/>
      <rgbColor rgb="FFD9D9D9"/>
      <rgbColor rgb="FF000080"/>
      <rgbColor rgb="FFFF00FF"/>
      <rgbColor rgb="FFFFFF00"/>
      <rgbColor rgb="FF00FFFF"/>
      <rgbColor rgb="FF800080"/>
      <rgbColor rgb="FF800000"/>
      <rgbColor rgb="FF008080"/>
      <rgbColor rgb="FF0432FF"/>
      <rgbColor rgb="FF00B0F0"/>
      <rgbColor rgb="FFCCFFFF"/>
      <rgbColor rgb="FFFFE699"/>
      <rgbColor rgb="FFFFFF99"/>
      <rgbColor rgb="FF9DC3E6"/>
      <rgbColor rgb="FFFF99CC"/>
      <rgbColor rgb="FFCC99FF"/>
      <rgbColor rgb="FFFFD966"/>
      <rgbColor rgb="FF4472C4"/>
      <rgbColor rgb="FF24CD7B"/>
      <rgbColor rgb="FF92D050"/>
      <rgbColor rgb="FFFFC000"/>
      <rgbColor rgb="FFFF9900"/>
      <rgbColor rgb="FFED7D31"/>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5</xdr:col>
      <xdr:colOff>1276200</xdr:colOff>
      <xdr:row>11</xdr:row>
      <xdr:rowOff>142920</xdr:rowOff>
    </xdr:from>
    <xdr:to>
      <xdr:col>7</xdr:col>
      <xdr:colOff>394920</xdr:colOff>
      <xdr:row>14</xdr:row>
      <xdr:rowOff>6840</xdr:rowOff>
    </xdr:to>
    <xdr:pic>
      <xdr:nvPicPr>
        <xdr:cNvPr id="2" name="image1.jp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7968960" y="1923840"/>
          <a:ext cx="1940760" cy="349920"/>
        </a:xfrm>
        <a:prstGeom prst="rect">
          <a:avLst/>
        </a:prstGeom>
        <a:ln>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K80"/>
  <sheetViews>
    <sheetView zoomScaleNormal="100" workbookViewId="0"/>
  </sheetViews>
  <sheetFormatPr baseColWidth="10" defaultColWidth="14.44140625" defaultRowHeight="13.2" x14ac:dyDescent="0.25"/>
  <cols>
    <col min="1" max="26" width="11.33203125" customWidth="1"/>
  </cols>
  <sheetData>
    <row r="6" spans="2:11" ht="12.75" customHeight="1" x14ac:dyDescent="0.25">
      <c r="E6" s="1" t="s">
        <v>0</v>
      </c>
      <c r="F6" s="2" t="s">
        <v>1</v>
      </c>
      <c r="G6" s="1" t="s">
        <v>2</v>
      </c>
      <c r="H6" s="2" t="s">
        <v>1</v>
      </c>
      <c r="I6" s="1" t="s">
        <v>3</v>
      </c>
      <c r="J6" s="1" t="s">
        <v>4</v>
      </c>
      <c r="K6" s="2" t="s">
        <v>1</v>
      </c>
    </row>
    <row r="8" spans="2:11" ht="12.75" customHeight="1" x14ac:dyDescent="0.25">
      <c r="B8" s="3" t="s">
        <v>5</v>
      </c>
    </row>
    <row r="9" spans="2:11" ht="12.75" customHeight="1" x14ac:dyDescent="0.25">
      <c r="B9" s="1" t="s">
        <v>6</v>
      </c>
    </row>
    <row r="11" spans="2:11" ht="12.75" customHeight="1" x14ac:dyDescent="0.25">
      <c r="B11" s="4" t="s">
        <v>7</v>
      </c>
      <c r="E11" s="5">
        <v>61506</v>
      </c>
      <c r="G11" s="6">
        <v>0.02</v>
      </c>
      <c r="H11" s="5">
        <v>271489</v>
      </c>
      <c r="I11" s="6">
        <v>0.05</v>
      </c>
      <c r="J11" s="5">
        <v>152319</v>
      </c>
      <c r="K11" s="6">
        <v>0.03</v>
      </c>
    </row>
    <row r="12" spans="2:11" ht="12.75" customHeight="1" x14ac:dyDescent="0.25">
      <c r="B12" s="4" t="s">
        <v>8</v>
      </c>
      <c r="E12" s="5">
        <v>805016</v>
      </c>
      <c r="G12" s="6">
        <v>0.21</v>
      </c>
      <c r="H12" s="5">
        <v>696737</v>
      </c>
      <c r="I12" s="6">
        <v>0.13</v>
      </c>
      <c r="J12" s="5">
        <v>590149</v>
      </c>
      <c r="K12" s="6">
        <v>0.11</v>
      </c>
    </row>
    <row r="13" spans="2:11" ht="12.75" customHeight="1" x14ac:dyDescent="0.25">
      <c r="B13" s="4" t="s">
        <v>9</v>
      </c>
      <c r="E13" s="5">
        <v>696040</v>
      </c>
      <c r="G13" s="6">
        <v>0.18</v>
      </c>
      <c r="H13" s="5">
        <v>2303156</v>
      </c>
      <c r="I13" s="6">
        <v>0.41</v>
      </c>
      <c r="J13" s="5">
        <v>2475063</v>
      </c>
      <c r="K13" s="6">
        <v>0.45</v>
      </c>
    </row>
    <row r="14" spans="2:11" ht="12.75" customHeight="1" x14ac:dyDescent="0.25">
      <c r="B14" s="4" t="s">
        <v>10</v>
      </c>
      <c r="E14" s="5">
        <v>121292</v>
      </c>
      <c r="G14" s="6">
        <v>0.03</v>
      </c>
      <c r="H14" s="5">
        <v>199339</v>
      </c>
      <c r="I14" s="6">
        <v>0.04</v>
      </c>
      <c r="J14" s="5">
        <v>290010</v>
      </c>
      <c r="K14" s="6">
        <v>0.05</v>
      </c>
    </row>
    <row r="15" spans="2:11" ht="12.75" customHeight="1" x14ac:dyDescent="0.25">
      <c r="E15" s="7">
        <v>1683854</v>
      </c>
      <c r="G15" s="8">
        <v>0.44</v>
      </c>
      <c r="H15" s="7">
        <v>3470721</v>
      </c>
      <c r="I15" s="8">
        <v>0.63</v>
      </c>
      <c r="J15" s="7">
        <v>3507541</v>
      </c>
      <c r="K15" s="8">
        <v>0.64</v>
      </c>
    </row>
    <row r="16" spans="2:11" ht="12.75" customHeight="1" x14ac:dyDescent="0.25">
      <c r="B16" s="1" t="s">
        <v>11</v>
      </c>
    </row>
    <row r="18" spans="2:11" ht="12.75" customHeight="1" x14ac:dyDescent="0.25">
      <c r="B18" s="4" t="s">
        <v>12</v>
      </c>
      <c r="E18" s="5">
        <v>287684</v>
      </c>
      <c r="G18" s="6">
        <v>7.0000000000000007E-2</v>
      </c>
      <c r="H18" s="5">
        <v>287684</v>
      </c>
      <c r="I18" s="6">
        <v>0.05</v>
      </c>
      <c r="J18" s="5">
        <v>287685</v>
      </c>
      <c r="K18" s="6">
        <v>0.05</v>
      </c>
    </row>
    <row r="19" spans="2:11" ht="12.75" customHeight="1" x14ac:dyDescent="0.25">
      <c r="B19" s="4" t="s">
        <v>13</v>
      </c>
      <c r="E19" s="5">
        <v>1960982</v>
      </c>
      <c r="G19" s="6">
        <v>0.5</v>
      </c>
      <c r="H19" s="5">
        <v>2362142</v>
      </c>
      <c r="I19" s="6">
        <v>0.42</v>
      </c>
      <c r="J19" s="5">
        <v>2425191</v>
      </c>
      <c r="K19" s="6">
        <v>0.44</v>
      </c>
    </row>
    <row r="20" spans="2:11" ht="12.75" customHeight="1" x14ac:dyDescent="0.25">
      <c r="B20" s="4" t="s">
        <v>14</v>
      </c>
      <c r="E20" s="5">
        <v>287942</v>
      </c>
      <c r="G20" s="6">
        <v>7.0000000000000007E-2</v>
      </c>
      <c r="H20" s="5">
        <v>398840</v>
      </c>
      <c r="I20" s="6">
        <v>7.0000000000000007E-2</v>
      </c>
      <c r="J20" s="5">
        <v>430042</v>
      </c>
      <c r="K20" s="6">
        <v>0.08</v>
      </c>
    </row>
    <row r="21" spans="2:11" ht="12.75" customHeight="1" x14ac:dyDescent="0.25">
      <c r="B21" s="4" t="s">
        <v>15</v>
      </c>
      <c r="E21" s="5">
        <v>44065</v>
      </c>
      <c r="G21" s="6">
        <v>0.01</v>
      </c>
      <c r="H21" s="5">
        <v>47054</v>
      </c>
      <c r="I21" s="6">
        <v>0.01</v>
      </c>
      <c r="J21" s="5">
        <v>54529</v>
      </c>
      <c r="K21" s="6">
        <v>0.01</v>
      </c>
    </row>
    <row r="22" spans="2:11" ht="12.75" customHeight="1" x14ac:dyDescent="0.25">
      <c r="B22" s="4" t="s">
        <v>16</v>
      </c>
      <c r="E22" s="5">
        <v>-1014568</v>
      </c>
      <c r="G22" s="6">
        <v>-0.26</v>
      </c>
      <c r="H22" s="5">
        <v>-1181927</v>
      </c>
      <c r="I22" s="6">
        <v>-0.21</v>
      </c>
      <c r="J22" s="5">
        <v>-1274663</v>
      </c>
      <c r="K22" s="6">
        <v>-0.23</v>
      </c>
    </row>
    <row r="23" spans="2:11" ht="12.75" customHeight="1" x14ac:dyDescent="0.25">
      <c r="E23" s="7">
        <v>1566105</v>
      </c>
      <c r="G23" s="8">
        <v>0.39</v>
      </c>
      <c r="H23" s="7">
        <v>1913793</v>
      </c>
      <c r="I23" s="8">
        <v>0.34</v>
      </c>
      <c r="J23" s="7">
        <v>1922784</v>
      </c>
      <c r="K23" s="8">
        <v>0.35</v>
      </c>
    </row>
    <row r="24" spans="2:11" ht="12.75" customHeight="1" x14ac:dyDescent="0.25">
      <c r="B24" s="1" t="s">
        <v>17</v>
      </c>
    </row>
    <row r="26" spans="2:11" ht="12.75" customHeight="1" x14ac:dyDescent="0.25">
      <c r="B26" s="4" t="s">
        <v>18</v>
      </c>
      <c r="E26" s="5">
        <v>20318</v>
      </c>
      <c r="G26" s="6">
        <v>0.01</v>
      </c>
      <c r="H26" s="5">
        <v>41904</v>
      </c>
      <c r="I26" s="6">
        <v>0.01</v>
      </c>
      <c r="K26" s="6">
        <v>0</v>
      </c>
    </row>
    <row r="27" spans="2:11" ht="12.75" customHeight="1" x14ac:dyDescent="0.25">
      <c r="B27" s="4" t="s">
        <v>19</v>
      </c>
      <c r="E27" s="5">
        <v>630957</v>
      </c>
      <c r="G27" s="6">
        <v>0.16</v>
      </c>
      <c r="H27" s="5">
        <v>144259</v>
      </c>
      <c r="I27" s="6">
        <v>0.03</v>
      </c>
      <c r="J27" s="5">
        <v>34134</v>
      </c>
      <c r="K27" s="6">
        <v>0.01</v>
      </c>
    </row>
    <row r="28" spans="2:11" ht="12.75" customHeight="1" x14ac:dyDescent="0.25">
      <c r="B28" s="4" t="s">
        <v>20</v>
      </c>
      <c r="E28" s="5">
        <v>500</v>
      </c>
      <c r="G28" s="6">
        <v>0</v>
      </c>
      <c r="H28" s="5">
        <v>500</v>
      </c>
      <c r="I28" s="6">
        <v>0</v>
      </c>
      <c r="K28" s="6">
        <v>0</v>
      </c>
    </row>
    <row r="29" spans="2:11" ht="12.75" customHeight="1" x14ac:dyDescent="0.25">
      <c r="E29" s="7">
        <v>651775</v>
      </c>
      <c r="G29" s="8">
        <v>0.17</v>
      </c>
      <c r="H29" s="7">
        <v>186663</v>
      </c>
      <c r="I29" s="8">
        <v>0.04</v>
      </c>
      <c r="J29" s="7">
        <v>34134</v>
      </c>
      <c r="K29" s="8">
        <v>0.01</v>
      </c>
    </row>
    <row r="30" spans="2:11" ht="12.75" customHeight="1" x14ac:dyDescent="0.25">
      <c r="B30" s="1" t="s">
        <v>21</v>
      </c>
      <c r="E30" s="7">
        <v>3901734</v>
      </c>
      <c r="G30" s="6">
        <v>1</v>
      </c>
      <c r="H30" s="7">
        <v>5571177</v>
      </c>
      <c r="I30" s="6">
        <v>1</v>
      </c>
      <c r="J30" s="7">
        <v>5464459</v>
      </c>
      <c r="K30" s="6">
        <v>1</v>
      </c>
    </row>
    <row r="31" spans="2:11" ht="12.75" customHeight="1" x14ac:dyDescent="0.25">
      <c r="B31" s="1" t="s">
        <v>22</v>
      </c>
    </row>
    <row r="33" spans="2:11" ht="12.75" customHeight="1" x14ac:dyDescent="0.25">
      <c r="B33" s="4" t="s">
        <v>23</v>
      </c>
      <c r="E33" s="5">
        <v>44762</v>
      </c>
      <c r="G33" s="6">
        <v>0.01</v>
      </c>
      <c r="H33" s="5">
        <v>30461</v>
      </c>
      <c r="I33" s="6">
        <v>0.01</v>
      </c>
      <c r="J33" s="5">
        <v>25632</v>
      </c>
      <c r="K33" s="6">
        <v>0</v>
      </c>
    </row>
    <row r="34" spans="2:11" ht="12.75" customHeight="1" x14ac:dyDescent="0.25">
      <c r="B34" s="4" t="s">
        <v>24</v>
      </c>
      <c r="E34" s="5">
        <v>1035327</v>
      </c>
      <c r="G34" s="6">
        <v>0.27</v>
      </c>
      <c r="H34" s="5">
        <v>1588080</v>
      </c>
      <c r="I34" s="6">
        <v>0.28999999999999998</v>
      </c>
      <c r="J34" s="5">
        <v>1000179</v>
      </c>
      <c r="K34" s="6">
        <v>0.18</v>
      </c>
    </row>
    <row r="35" spans="2:11" ht="12.75" customHeight="1" x14ac:dyDescent="0.25">
      <c r="B35" s="4" t="s">
        <v>25</v>
      </c>
      <c r="E35" s="5">
        <v>85415</v>
      </c>
      <c r="G35" s="6">
        <v>0.02</v>
      </c>
      <c r="H35" s="5">
        <v>116008</v>
      </c>
      <c r="I35" s="6">
        <v>0.02</v>
      </c>
      <c r="J35" s="5">
        <v>52581</v>
      </c>
      <c r="K35" s="6">
        <v>0.01</v>
      </c>
    </row>
    <row r="36" spans="2:11" ht="12.75" customHeight="1" x14ac:dyDescent="0.25">
      <c r="B36" s="4" t="s">
        <v>26</v>
      </c>
      <c r="E36" s="5">
        <v>34072</v>
      </c>
      <c r="G36" s="6">
        <v>0.01</v>
      </c>
      <c r="H36" s="5">
        <v>720635</v>
      </c>
      <c r="I36" s="6">
        <v>0.13</v>
      </c>
      <c r="J36" s="5">
        <v>902103</v>
      </c>
      <c r="K36" s="6">
        <v>0.17</v>
      </c>
    </row>
    <row r="37" spans="2:11" ht="12.75" customHeight="1" x14ac:dyDescent="0.25">
      <c r="E37" s="7">
        <v>1199576</v>
      </c>
      <c r="G37" s="8">
        <v>0.31</v>
      </c>
      <c r="H37" s="7">
        <v>2455184</v>
      </c>
      <c r="I37" s="8">
        <v>0.45</v>
      </c>
      <c r="J37" s="7">
        <v>1980495</v>
      </c>
      <c r="K37" s="8">
        <v>0.36</v>
      </c>
    </row>
    <row r="38" spans="2:11" ht="12.75" customHeight="1" x14ac:dyDescent="0.25">
      <c r="B38" s="1" t="s">
        <v>27</v>
      </c>
    </row>
    <row r="40" spans="2:11" ht="12.75" customHeight="1" x14ac:dyDescent="0.25">
      <c r="B40" s="4" t="s">
        <v>28</v>
      </c>
      <c r="E40" s="5">
        <v>777045</v>
      </c>
      <c r="G40" s="6">
        <v>0.2</v>
      </c>
      <c r="H40" s="5">
        <v>659414</v>
      </c>
      <c r="I40" s="6">
        <v>0.12</v>
      </c>
      <c r="J40" s="5">
        <v>649505</v>
      </c>
      <c r="K40" s="6">
        <v>0.12</v>
      </c>
    </row>
    <row r="41" spans="2:11" ht="12.75" customHeight="1" x14ac:dyDescent="0.25">
      <c r="E41" s="7">
        <v>777045</v>
      </c>
      <c r="G41" s="8">
        <v>0.2</v>
      </c>
      <c r="H41" s="7">
        <v>659414</v>
      </c>
      <c r="I41" s="8">
        <v>0.12</v>
      </c>
      <c r="J41" s="7">
        <v>649505</v>
      </c>
      <c r="K41" s="8">
        <v>0.12</v>
      </c>
    </row>
    <row r="44" spans="2:11" ht="12.75" customHeight="1" x14ac:dyDescent="0.25">
      <c r="B44" s="1" t="s">
        <v>29</v>
      </c>
      <c r="E44" s="7">
        <v>1976621</v>
      </c>
      <c r="G44" s="6">
        <v>0.51</v>
      </c>
      <c r="H44" s="7">
        <v>3114598</v>
      </c>
      <c r="I44" s="6">
        <v>0.56999999999999995</v>
      </c>
      <c r="J44" s="7">
        <v>2630000</v>
      </c>
      <c r="K44" s="6">
        <v>0.48</v>
      </c>
    </row>
    <row r="45" spans="2:11" ht="12.75" customHeight="1" x14ac:dyDescent="0.25">
      <c r="B45" s="1" t="s">
        <v>30</v>
      </c>
    </row>
    <row r="47" spans="2:11" ht="12.75" customHeight="1" x14ac:dyDescent="0.25">
      <c r="B47" s="4" t="s">
        <v>31</v>
      </c>
      <c r="E47" s="5">
        <v>800000</v>
      </c>
      <c r="G47" s="6">
        <v>0.21</v>
      </c>
      <c r="H47" s="5">
        <v>800000</v>
      </c>
      <c r="I47" s="6">
        <v>0.14000000000000001</v>
      </c>
      <c r="J47" s="5">
        <v>800000</v>
      </c>
      <c r="K47" s="6">
        <v>0.15</v>
      </c>
    </row>
    <row r="48" spans="2:11" ht="12.75" customHeight="1" x14ac:dyDescent="0.25">
      <c r="B48" s="4" t="s">
        <v>32</v>
      </c>
      <c r="E48" s="5">
        <v>33328</v>
      </c>
      <c r="G48" s="6">
        <v>0.01</v>
      </c>
      <c r="H48" s="5">
        <v>54296</v>
      </c>
      <c r="I48" s="6">
        <v>0.01</v>
      </c>
      <c r="J48" s="5">
        <v>80869</v>
      </c>
      <c r="K48" s="6">
        <v>0.01</v>
      </c>
    </row>
    <row r="49" spans="2:11" ht="12.75" customHeight="1" x14ac:dyDescent="0.25">
      <c r="B49" s="4" t="s">
        <v>33</v>
      </c>
      <c r="E49" s="5">
        <v>618232</v>
      </c>
      <c r="G49" s="6">
        <v>0.16</v>
      </c>
      <c r="H49" s="5">
        <v>1016623</v>
      </c>
      <c r="I49" s="6">
        <v>0.18</v>
      </c>
      <c r="J49" s="5">
        <v>1521517</v>
      </c>
      <c r="K49" s="6">
        <v>0.28000000000000003</v>
      </c>
    </row>
    <row r="50" spans="2:11" ht="12.75" customHeight="1" x14ac:dyDescent="0.25">
      <c r="B50" s="4" t="s">
        <v>34</v>
      </c>
      <c r="E50" s="5">
        <v>54194</v>
      </c>
      <c r="G50" s="6">
        <v>0.01</v>
      </c>
      <c r="H50" s="5">
        <v>54194</v>
      </c>
      <c r="I50" s="6">
        <v>0.01</v>
      </c>
      <c r="J50" s="5">
        <v>54194</v>
      </c>
      <c r="K50" s="6">
        <v>0.01</v>
      </c>
    </row>
    <row r="51" spans="2:11" ht="12.75" customHeight="1" x14ac:dyDescent="0.25">
      <c r="B51" s="4" t="s">
        <v>35</v>
      </c>
      <c r="E51" s="5">
        <v>419359</v>
      </c>
      <c r="G51" s="6">
        <v>0.11</v>
      </c>
      <c r="H51" s="5">
        <v>531466</v>
      </c>
      <c r="I51" s="6">
        <v>0.1</v>
      </c>
      <c r="J51" s="5">
        <v>377879</v>
      </c>
      <c r="K51" s="6">
        <v>7.0000000000000007E-2</v>
      </c>
    </row>
    <row r="52" spans="2:11" ht="12.75" customHeight="1" x14ac:dyDescent="0.25">
      <c r="E52" s="7">
        <v>1925113</v>
      </c>
      <c r="G52" s="8">
        <v>0.5</v>
      </c>
      <c r="H52" s="7">
        <v>2456579</v>
      </c>
      <c r="I52" s="8">
        <v>0.44</v>
      </c>
      <c r="J52" s="7">
        <v>2834459</v>
      </c>
      <c r="K52" s="8">
        <v>0.52</v>
      </c>
    </row>
    <row r="53" spans="2:11" ht="12.75" customHeight="1" x14ac:dyDescent="0.25">
      <c r="B53" s="1" t="s">
        <v>36</v>
      </c>
      <c r="E53" s="7">
        <v>1925113</v>
      </c>
      <c r="G53" s="6">
        <v>0.5</v>
      </c>
      <c r="H53" s="7">
        <v>2456579</v>
      </c>
      <c r="I53" s="6">
        <v>0.44</v>
      </c>
      <c r="J53" s="7">
        <v>2834459</v>
      </c>
      <c r="K53" s="6">
        <v>0.52</v>
      </c>
    </row>
    <row r="54" spans="2:11" ht="12.75" customHeight="1" x14ac:dyDescent="0.25">
      <c r="B54" s="3" t="s">
        <v>37</v>
      </c>
      <c r="E54" s="7">
        <v>3901734</v>
      </c>
      <c r="G54" s="6">
        <v>1</v>
      </c>
      <c r="H54" s="7">
        <v>5571177</v>
      </c>
      <c r="I54" s="6">
        <v>1</v>
      </c>
      <c r="J54" s="7">
        <v>5464459</v>
      </c>
      <c r="K54" s="6">
        <v>1</v>
      </c>
    </row>
    <row r="55" spans="2:11" ht="12.75" customHeight="1" x14ac:dyDescent="0.25">
      <c r="B55" s="3" t="s">
        <v>21</v>
      </c>
      <c r="E55" s="7">
        <v>3901734</v>
      </c>
      <c r="G55" s="6">
        <v>1</v>
      </c>
      <c r="H55" s="7">
        <v>5571177</v>
      </c>
      <c r="I55" s="6">
        <v>1</v>
      </c>
      <c r="J55" s="7">
        <v>5464459</v>
      </c>
      <c r="K55" s="6">
        <v>1</v>
      </c>
    </row>
    <row r="56" spans="2:11" ht="12.75" customHeight="1" x14ac:dyDescent="0.25">
      <c r="B56" s="3" t="s">
        <v>38</v>
      </c>
    </row>
    <row r="57" spans="2:11" ht="12.75" customHeight="1" x14ac:dyDescent="0.25">
      <c r="B57" s="1" t="s">
        <v>39</v>
      </c>
    </row>
    <row r="59" spans="2:11" ht="12.75" customHeight="1" x14ac:dyDescent="0.25">
      <c r="B59" s="4" t="s">
        <v>40</v>
      </c>
      <c r="E59" s="5">
        <v>2178748</v>
      </c>
      <c r="G59" s="6">
        <v>1</v>
      </c>
      <c r="H59" s="5">
        <v>2406741</v>
      </c>
      <c r="I59" s="6">
        <v>1</v>
      </c>
      <c r="J59" s="5">
        <v>1228870</v>
      </c>
      <c r="K59" s="6">
        <v>1</v>
      </c>
    </row>
    <row r="60" spans="2:11" ht="12.75" customHeight="1" x14ac:dyDescent="0.25">
      <c r="B60" s="4" t="s">
        <v>41</v>
      </c>
      <c r="E60" s="5">
        <v>1239161</v>
      </c>
      <c r="G60" s="6">
        <v>0.56999999999999995</v>
      </c>
      <c r="H60" s="5">
        <v>1102291</v>
      </c>
      <c r="I60" s="6">
        <v>0.46</v>
      </c>
      <c r="J60" s="5">
        <v>575660</v>
      </c>
      <c r="K60" s="6">
        <v>0.47</v>
      </c>
    </row>
    <row r="61" spans="2:11" ht="12.75" customHeight="1" x14ac:dyDescent="0.25">
      <c r="E61" s="7">
        <v>939587</v>
      </c>
      <c r="G61" s="8">
        <v>0.43</v>
      </c>
      <c r="H61" s="7">
        <v>1304450</v>
      </c>
      <c r="I61" s="8">
        <v>0.54</v>
      </c>
      <c r="J61" s="7">
        <v>653210</v>
      </c>
      <c r="K61" s="8">
        <v>0.53</v>
      </c>
    </row>
    <row r="62" spans="2:11" ht="12.75" customHeight="1" x14ac:dyDescent="0.25">
      <c r="B62" s="1" t="s">
        <v>42</v>
      </c>
    </row>
    <row r="64" spans="2:11" ht="12.75" customHeight="1" x14ac:dyDescent="0.25">
      <c r="B64" s="4" t="s">
        <v>43</v>
      </c>
      <c r="E64" s="5">
        <v>191143</v>
      </c>
      <c r="G64" s="6">
        <v>0.09</v>
      </c>
      <c r="H64" s="5">
        <v>217833</v>
      </c>
      <c r="I64" s="6">
        <v>0.09</v>
      </c>
      <c r="J64" s="5">
        <v>125992</v>
      </c>
      <c r="K64" s="6">
        <v>0.1</v>
      </c>
    </row>
    <row r="65" spans="2:11" ht="12.75" customHeight="1" x14ac:dyDescent="0.25">
      <c r="E65" s="7">
        <v>748444</v>
      </c>
      <c r="G65" s="8">
        <v>0.34</v>
      </c>
      <c r="H65" s="7">
        <v>1086617</v>
      </c>
      <c r="I65" s="8">
        <v>0.45</v>
      </c>
      <c r="J65" s="7">
        <v>527218</v>
      </c>
      <c r="K65" s="8">
        <v>0.43</v>
      </c>
    </row>
    <row r="66" spans="2:11" ht="12.75" customHeight="1" x14ac:dyDescent="0.25">
      <c r="B66" s="1" t="s">
        <v>44</v>
      </c>
    </row>
    <row r="68" spans="2:11" ht="12.75" customHeight="1" x14ac:dyDescent="0.25">
      <c r="B68" s="4" t="s">
        <v>45</v>
      </c>
      <c r="E68" s="5">
        <v>73064</v>
      </c>
      <c r="G68" s="6">
        <v>0.03</v>
      </c>
      <c r="H68" s="5">
        <v>335152</v>
      </c>
      <c r="I68" s="6">
        <v>0.14000000000000001</v>
      </c>
      <c r="J68" s="5">
        <v>60760</v>
      </c>
      <c r="K68" s="6">
        <v>0.05</v>
      </c>
    </row>
    <row r="69" spans="2:11" ht="12.75" customHeight="1" x14ac:dyDescent="0.25">
      <c r="B69" s="4" t="s">
        <v>46</v>
      </c>
      <c r="E69" s="5">
        <v>-1005</v>
      </c>
      <c r="G69" s="6">
        <v>0</v>
      </c>
      <c r="H69" s="5">
        <v>-105738</v>
      </c>
      <c r="I69" s="6">
        <v>-0.04</v>
      </c>
      <c r="J69" s="5">
        <v>-58374</v>
      </c>
      <c r="K69" s="6">
        <v>-0.05</v>
      </c>
    </row>
    <row r="70" spans="2:11" ht="12.75" customHeight="1" x14ac:dyDescent="0.25">
      <c r="B70" s="4" t="s">
        <v>47</v>
      </c>
      <c r="E70" s="5">
        <v>257026</v>
      </c>
      <c r="G70" s="6">
        <v>0.12</v>
      </c>
      <c r="H70" s="5">
        <v>325737</v>
      </c>
      <c r="I70" s="6">
        <v>0.14000000000000001</v>
      </c>
      <c r="J70" s="5">
        <v>146953</v>
      </c>
      <c r="K70" s="6">
        <v>0.12</v>
      </c>
    </row>
    <row r="71" spans="2:11" ht="12.75" customHeight="1" x14ac:dyDescent="0.25">
      <c r="E71" s="7">
        <v>419359</v>
      </c>
      <c r="G71" s="8">
        <v>0.19</v>
      </c>
      <c r="H71" s="7">
        <v>531466</v>
      </c>
      <c r="I71" s="8">
        <v>0.21</v>
      </c>
      <c r="J71" s="7">
        <v>377879</v>
      </c>
      <c r="K71" s="8">
        <v>0.31</v>
      </c>
    </row>
    <row r="72" spans="2:11" ht="12.75" customHeight="1" x14ac:dyDescent="0.25">
      <c r="B72" s="1" t="s">
        <v>48</v>
      </c>
    </row>
    <row r="74" spans="2:11" ht="12.75" customHeight="1" x14ac:dyDescent="0.25">
      <c r="B74" s="4" t="s">
        <v>49</v>
      </c>
      <c r="G74" s="6">
        <v>0</v>
      </c>
      <c r="H74" s="5">
        <v>515047</v>
      </c>
      <c r="I74" s="6">
        <v>0</v>
      </c>
      <c r="J74" s="5">
        <v>101726</v>
      </c>
      <c r="K74" s="6">
        <v>0</v>
      </c>
    </row>
    <row r="75" spans="2:11" ht="12.75" customHeight="1" x14ac:dyDescent="0.25">
      <c r="B75" s="4" t="s">
        <v>50</v>
      </c>
      <c r="G75" s="6">
        <v>0</v>
      </c>
      <c r="H75" s="5">
        <v>167359</v>
      </c>
      <c r="I75" s="6">
        <v>0</v>
      </c>
      <c r="J75" s="5">
        <v>92736</v>
      </c>
      <c r="K75" s="6">
        <v>0</v>
      </c>
    </row>
    <row r="76" spans="2:11" ht="12.75" customHeight="1" x14ac:dyDescent="0.25">
      <c r="E76" s="7">
        <v>0</v>
      </c>
      <c r="G76" s="8">
        <v>0</v>
      </c>
      <c r="H76" s="7">
        <v>682406</v>
      </c>
      <c r="I76" s="8">
        <v>0</v>
      </c>
      <c r="J76" s="7">
        <v>194462</v>
      </c>
      <c r="K76" s="8">
        <v>0</v>
      </c>
    </row>
    <row r="78" spans="2:11" ht="12.75" customHeight="1" x14ac:dyDescent="0.25">
      <c r="B78" s="9" t="s">
        <v>51</v>
      </c>
    </row>
    <row r="79" spans="2:11" ht="12.75" customHeight="1" x14ac:dyDescent="0.25">
      <c r="B79" s="10" t="s">
        <v>52</v>
      </c>
    </row>
    <row r="80" spans="2:11" ht="12.75" customHeight="1" x14ac:dyDescent="0.25">
      <c r="B80" s="11">
        <v>0</v>
      </c>
      <c r="C80" s="12">
        <v>0</v>
      </c>
      <c r="K80" s="13" t="s">
        <v>53</v>
      </c>
    </row>
  </sheetData>
  <pageMargins left="0.78749999999999998" right="0.78749999999999998" top="1.05277777777778" bottom="1.05277777777778" header="0" footer="0"/>
  <pageSetup firstPageNumber="0" orientation="portrait" horizontalDpi="300" verticalDpi="300"/>
  <headerFooter>
    <oddHeader>&amp;C&amp;A</oddHeader>
    <oddFooter>&amp;CPágina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27"/>
  <sheetViews>
    <sheetView zoomScaleNormal="100" workbookViewId="0"/>
  </sheetViews>
  <sheetFormatPr baseColWidth="10" defaultColWidth="14.44140625" defaultRowHeight="13.2" x14ac:dyDescent="0.25"/>
  <cols>
    <col min="1" max="1" width="2.109375" customWidth="1"/>
    <col min="2" max="2" width="3.33203125" customWidth="1"/>
    <col min="3" max="3" width="6.109375" customWidth="1"/>
    <col min="4" max="4" width="18.33203125" customWidth="1"/>
    <col min="5" max="5" width="19" customWidth="1"/>
    <col min="6" max="6" width="13.88671875" customWidth="1"/>
    <col min="7" max="7" width="17" customWidth="1"/>
    <col min="8" max="8" width="18.88671875" customWidth="1"/>
    <col min="9" max="9" width="17.33203125" customWidth="1"/>
    <col min="10" max="10" width="16.109375" customWidth="1"/>
    <col min="11" max="11" width="13" customWidth="1"/>
    <col min="12" max="12" width="19.33203125" customWidth="1"/>
    <col min="13" max="13" width="9" customWidth="1"/>
    <col min="14" max="26" width="11.6640625" customWidth="1"/>
  </cols>
  <sheetData>
    <row r="2" spans="2:12" ht="31.5" customHeight="1" x14ac:dyDescent="0.25">
      <c r="B2" s="557" t="s">
        <v>54</v>
      </c>
      <c r="C2" s="557"/>
      <c r="D2" s="557"/>
      <c r="E2" s="557"/>
      <c r="F2" s="557"/>
      <c r="G2" s="557"/>
      <c r="H2" s="557"/>
      <c r="I2" s="557"/>
      <c r="J2" s="557"/>
      <c r="K2" s="557"/>
      <c r="L2" s="557"/>
    </row>
    <row r="3" spans="2:12" ht="12.75" customHeight="1" x14ac:dyDescent="0.25">
      <c r="B3" s="558" t="s">
        <v>55</v>
      </c>
      <c r="C3" s="558"/>
      <c r="D3" s="558"/>
      <c r="E3" s="558"/>
      <c r="F3" s="559" t="e">
        <f>#N/A</f>
        <v>#N/A</v>
      </c>
      <c r="G3" s="559"/>
      <c r="H3" s="559"/>
      <c r="I3" s="559"/>
      <c r="J3" s="559"/>
      <c r="K3" s="559"/>
      <c r="L3" s="559"/>
    </row>
    <row r="4" spans="2:12" ht="13.5" customHeight="1" x14ac:dyDescent="0.25">
      <c r="B4" s="558"/>
      <c r="C4" s="558"/>
      <c r="D4" s="558"/>
      <c r="E4" s="558"/>
      <c r="F4" s="559"/>
      <c r="G4" s="559"/>
      <c r="H4" s="559"/>
      <c r="I4" s="559"/>
      <c r="J4" s="559"/>
      <c r="K4" s="559"/>
      <c r="L4" s="559"/>
    </row>
    <row r="5" spans="2:12" ht="13.5" customHeight="1" x14ac:dyDescent="0.25">
      <c r="B5" s="560" t="s">
        <v>56</v>
      </c>
      <c r="C5" s="560"/>
      <c r="D5" s="561" t="s">
        <v>57</v>
      </c>
      <c r="E5" s="561"/>
      <c r="F5" s="562" t="s">
        <v>58</v>
      </c>
      <c r="G5" s="562"/>
      <c r="H5" s="562"/>
      <c r="I5" s="562"/>
      <c r="J5" s="562"/>
      <c r="K5" s="562"/>
      <c r="L5" s="562"/>
    </row>
    <row r="6" spans="2:12" ht="13.5" customHeight="1" x14ac:dyDescent="0.25">
      <c r="B6" s="560"/>
      <c r="C6" s="560"/>
      <c r="D6" s="561"/>
      <c r="E6" s="561"/>
      <c r="F6" s="562"/>
      <c r="G6" s="562"/>
      <c r="H6" s="562"/>
      <c r="I6" s="562"/>
      <c r="J6" s="562"/>
      <c r="K6" s="562"/>
      <c r="L6" s="562"/>
    </row>
    <row r="7" spans="2:12" ht="14.25" customHeight="1" x14ac:dyDescent="0.25">
      <c r="B7" s="560"/>
      <c r="C7" s="560"/>
      <c r="D7" s="561" t="s">
        <v>59</v>
      </c>
      <c r="E7" s="561"/>
      <c r="F7" s="563" t="s">
        <v>60</v>
      </c>
      <c r="G7" s="563"/>
      <c r="H7" s="563"/>
      <c r="I7" s="563"/>
      <c r="J7" s="563"/>
      <c r="K7" s="563"/>
      <c r="L7" s="563"/>
    </row>
    <row r="8" spans="2:12" ht="89.25" customHeight="1" x14ac:dyDescent="0.25">
      <c r="B8" s="560"/>
      <c r="C8" s="560"/>
      <c r="D8" s="561"/>
      <c r="E8" s="561"/>
      <c r="F8" s="563"/>
      <c r="G8" s="563"/>
      <c r="H8" s="563"/>
      <c r="I8" s="563"/>
      <c r="J8" s="563"/>
      <c r="K8" s="563"/>
      <c r="L8" s="563"/>
    </row>
    <row r="9" spans="2:12" ht="18" customHeight="1" x14ac:dyDescent="0.25">
      <c r="B9" s="560"/>
      <c r="C9" s="560"/>
      <c r="D9" s="561" t="s">
        <v>61</v>
      </c>
      <c r="E9" s="561"/>
      <c r="F9" s="562" t="s">
        <v>62</v>
      </c>
      <c r="G9" s="562"/>
      <c r="H9" s="562"/>
      <c r="I9" s="562"/>
      <c r="J9" s="562"/>
      <c r="K9" s="562"/>
      <c r="L9" s="562"/>
    </row>
    <row r="10" spans="2:12" ht="21" customHeight="1" x14ac:dyDescent="0.25">
      <c r="B10" s="560"/>
      <c r="C10" s="560"/>
      <c r="D10" s="561"/>
      <c r="E10" s="561"/>
      <c r="F10" s="562"/>
      <c r="G10" s="562"/>
      <c r="H10" s="562"/>
      <c r="I10" s="562"/>
      <c r="J10" s="562"/>
      <c r="K10" s="562"/>
      <c r="L10" s="562"/>
    </row>
    <row r="11" spans="2:12" ht="13.5" customHeight="1" x14ac:dyDescent="0.25">
      <c r="B11" s="16"/>
      <c r="C11" s="16"/>
      <c r="D11" s="16"/>
      <c r="E11" s="16"/>
      <c r="F11" s="16"/>
      <c r="G11" s="15"/>
      <c r="H11" s="15"/>
      <c r="I11" s="15"/>
      <c r="J11" s="15"/>
      <c r="K11" s="15"/>
      <c r="L11" s="16"/>
    </row>
    <row r="12" spans="2:12" ht="12.75" customHeight="1" x14ac:dyDescent="0.25">
      <c r="B12" s="564" t="s">
        <v>63</v>
      </c>
      <c r="C12" s="564"/>
      <c r="D12" s="565" t="s">
        <v>64</v>
      </c>
      <c r="E12" s="565"/>
      <c r="F12" s="566" t="e">
        <f>#N/A</f>
        <v>#N/A</v>
      </c>
      <c r="G12" s="566"/>
      <c r="H12" s="567" t="s">
        <v>65</v>
      </c>
      <c r="I12" s="568" t="s">
        <v>66</v>
      </c>
      <c r="J12" s="567" t="s">
        <v>67</v>
      </c>
      <c r="K12" s="567"/>
      <c r="L12" s="569" t="e">
        <f>#N/A</f>
        <v>#N/A</v>
      </c>
    </row>
    <row r="13" spans="2:12" ht="15.75" customHeight="1" x14ac:dyDescent="0.25">
      <c r="B13" s="564"/>
      <c r="C13" s="564"/>
      <c r="D13" s="565"/>
      <c r="E13" s="565"/>
      <c r="F13" s="566"/>
      <c r="G13" s="566"/>
      <c r="H13" s="567"/>
      <c r="I13" s="568"/>
      <c r="J13" s="567"/>
      <c r="K13" s="567"/>
      <c r="L13" s="569"/>
    </row>
    <row r="14" spans="2:12" ht="24.75" customHeight="1" x14ac:dyDescent="0.25">
      <c r="B14" s="564"/>
      <c r="C14" s="564"/>
      <c r="D14" s="570" t="s">
        <v>68</v>
      </c>
      <c r="E14" s="570"/>
      <c r="F14" s="570"/>
      <c r="G14" s="570"/>
      <c r="H14" s="570"/>
      <c r="I14" s="570" t="s">
        <v>69</v>
      </c>
      <c r="J14" s="570"/>
      <c r="K14" s="570"/>
      <c r="L14" s="570"/>
    </row>
    <row r="15" spans="2:12" ht="44.25" customHeight="1" x14ac:dyDescent="0.25">
      <c r="B15" s="564"/>
      <c r="C15" s="564"/>
      <c r="D15" s="571"/>
      <c r="E15" s="571"/>
      <c r="F15" s="571"/>
      <c r="G15" s="571"/>
      <c r="H15" s="571"/>
      <c r="I15" s="572"/>
      <c r="J15" s="572"/>
      <c r="K15" s="572"/>
      <c r="L15" s="572"/>
    </row>
    <row r="16" spans="2:12" ht="13.5" customHeight="1" x14ac:dyDescent="0.25">
      <c r="B16" s="564"/>
      <c r="C16" s="564"/>
      <c r="D16" s="17"/>
      <c r="E16" s="18"/>
      <c r="F16" s="15"/>
      <c r="G16" s="15"/>
      <c r="H16" s="15"/>
      <c r="I16" s="15"/>
      <c r="J16" s="15"/>
      <c r="K16" s="15"/>
      <c r="L16" s="19"/>
    </row>
    <row r="17" spans="2:12" ht="12.75" customHeight="1" x14ac:dyDescent="0.25">
      <c r="B17" s="564"/>
      <c r="C17" s="564"/>
      <c r="D17" s="20"/>
      <c r="E17" s="16"/>
      <c r="F17" s="16"/>
      <c r="G17" s="573" t="s">
        <v>70</v>
      </c>
      <c r="H17" s="573"/>
      <c r="I17" s="573"/>
      <c r="J17" s="21"/>
      <c r="K17" s="15" t="s">
        <v>71</v>
      </c>
      <c r="L17" s="22"/>
    </row>
    <row r="18" spans="2:12" ht="22.5" customHeight="1" x14ac:dyDescent="0.25">
      <c r="B18" s="564"/>
      <c r="C18" s="564"/>
      <c r="D18" s="20"/>
      <c r="E18" s="16"/>
      <c r="F18" s="16"/>
      <c r="G18" s="573" t="s">
        <v>72</v>
      </c>
      <c r="H18" s="573"/>
      <c r="I18" s="573"/>
      <c r="J18" s="21"/>
      <c r="K18" s="15" t="s">
        <v>73</v>
      </c>
      <c r="L18" s="19" t="s">
        <v>74</v>
      </c>
    </row>
    <row r="19" spans="2:12" ht="13.5" customHeight="1" x14ac:dyDescent="0.25">
      <c r="B19" s="564"/>
      <c r="C19" s="564"/>
      <c r="D19" s="20"/>
      <c r="E19" s="16"/>
      <c r="F19" s="16"/>
      <c r="G19" s="23" t="s">
        <v>75</v>
      </c>
      <c r="H19" s="23" t="s">
        <v>76</v>
      </c>
      <c r="I19" s="24" t="s">
        <v>77</v>
      </c>
      <c r="J19" s="21"/>
      <c r="K19" s="15"/>
      <c r="L19" s="22"/>
    </row>
    <row r="20" spans="2:12" ht="13.5" customHeight="1" x14ac:dyDescent="0.25">
      <c r="B20" s="564"/>
      <c r="C20" s="564"/>
      <c r="D20" s="20"/>
      <c r="E20" s="16" t="s">
        <v>78</v>
      </c>
      <c r="F20" s="16"/>
      <c r="G20" s="23">
        <v>0</v>
      </c>
      <c r="H20" s="23"/>
      <c r="I20" s="24">
        <f>+G20+H20</f>
        <v>0</v>
      </c>
      <c r="J20" s="21"/>
      <c r="K20" s="25">
        <v>0</v>
      </c>
      <c r="L20" s="22"/>
    </row>
    <row r="21" spans="2:12" ht="13.5" customHeight="1" x14ac:dyDescent="0.25">
      <c r="B21" s="564"/>
      <c r="C21" s="564"/>
      <c r="D21" s="20"/>
      <c r="E21" s="16" t="s">
        <v>79</v>
      </c>
      <c r="F21" s="16"/>
      <c r="G21" s="23">
        <v>0</v>
      </c>
      <c r="H21" s="23"/>
      <c r="I21" s="24">
        <f>+G21+H21</f>
        <v>0</v>
      </c>
      <c r="J21" s="21"/>
      <c r="K21" s="25">
        <v>0</v>
      </c>
      <c r="L21" s="26"/>
    </row>
    <row r="22" spans="2:12" ht="13.5" customHeight="1" x14ac:dyDescent="0.25">
      <c r="B22" s="564"/>
      <c r="C22" s="564"/>
      <c r="D22" s="20"/>
      <c r="E22" s="16" t="s">
        <v>80</v>
      </c>
      <c r="F22" s="16"/>
      <c r="G22" s="23">
        <v>1</v>
      </c>
      <c r="H22" s="23"/>
      <c r="I22" s="24">
        <f>+G22+H22</f>
        <v>1</v>
      </c>
      <c r="J22" s="21"/>
      <c r="K22" s="25">
        <v>137</v>
      </c>
      <c r="L22" s="26"/>
    </row>
    <row r="23" spans="2:12" ht="13.5" customHeight="1" x14ac:dyDescent="0.25">
      <c r="B23" s="564"/>
      <c r="C23" s="564"/>
      <c r="D23" s="20"/>
      <c r="E23" s="16"/>
      <c r="F23" s="16"/>
      <c r="G23" s="23"/>
      <c r="H23" s="23"/>
      <c r="I23" s="24"/>
      <c r="J23" s="21"/>
      <c r="K23" s="15"/>
      <c r="L23" s="19"/>
    </row>
    <row r="24" spans="2:12" ht="13.5" customHeight="1" x14ac:dyDescent="0.25">
      <c r="B24" s="564"/>
      <c r="C24" s="564"/>
      <c r="D24" s="20" t="s">
        <v>81</v>
      </c>
      <c r="E24" s="16"/>
      <c r="F24" s="16"/>
      <c r="G24" s="23"/>
      <c r="H24" s="23">
        <v>8</v>
      </c>
      <c r="I24" s="24">
        <f>+G24+H24</f>
        <v>8</v>
      </c>
      <c r="J24" s="21"/>
      <c r="K24" s="15"/>
      <c r="L24" s="19"/>
    </row>
    <row r="25" spans="2:12" ht="13.5" customHeight="1" x14ac:dyDescent="0.25">
      <c r="B25" s="564"/>
      <c r="C25" s="564"/>
      <c r="D25" s="20" t="s">
        <v>82</v>
      </c>
      <c r="E25" s="16"/>
      <c r="F25" s="16"/>
      <c r="G25" s="23"/>
      <c r="H25" s="23">
        <v>0</v>
      </c>
      <c r="I25" s="24">
        <f>+G25+H25</f>
        <v>0</v>
      </c>
      <c r="J25" s="21"/>
      <c r="K25" s="15"/>
      <c r="L25" s="19"/>
    </row>
    <row r="26" spans="2:12" ht="13.5" customHeight="1" x14ac:dyDescent="0.25">
      <c r="B26" s="564"/>
      <c r="C26" s="564"/>
      <c r="D26" s="20" t="s">
        <v>83</v>
      </c>
      <c r="E26" s="16"/>
      <c r="F26" s="16"/>
      <c r="G26" s="23"/>
      <c r="H26" s="23">
        <v>0</v>
      </c>
      <c r="I26" s="24">
        <f>+G26+H26</f>
        <v>0</v>
      </c>
      <c r="J26" s="21"/>
      <c r="K26" s="15"/>
      <c r="L26" s="19"/>
    </row>
    <row r="27" spans="2:12" ht="13.5" customHeight="1" x14ac:dyDescent="0.25">
      <c r="B27" s="564"/>
      <c r="C27" s="564"/>
      <c r="D27" s="20" t="s">
        <v>84</v>
      </c>
      <c r="E27" s="16"/>
      <c r="F27" s="16"/>
      <c r="G27" s="23"/>
      <c r="H27" s="23">
        <v>174</v>
      </c>
      <c r="I27" s="24">
        <f>+G27+H27</f>
        <v>174</v>
      </c>
      <c r="J27" s="21"/>
      <c r="K27" s="15"/>
      <c r="L27" s="19"/>
    </row>
    <row r="28" spans="2:12" ht="13.5" customHeight="1" x14ac:dyDescent="0.25">
      <c r="B28" s="564"/>
      <c r="C28" s="564"/>
      <c r="D28" s="28" t="s">
        <v>85</v>
      </c>
      <c r="E28" s="29"/>
      <c r="F28" s="29"/>
      <c r="G28" s="24"/>
      <c r="H28" s="24"/>
      <c r="I28" s="24"/>
      <c r="J28" s="21"/>
      <c r="K28" s="30">
        <v>3</v>
      </c>
      <c r="L28" s="31"/>
    </row>
    <row r="29" spans="2:12" ht="13.5" customHeight="1" x14ac:dyDescent="0.25">
      <c r="B29" s="564"/>
      <c r="C29" s="564"/>
      <c r="D29" s="20"/>
      <c r="E29" s="16"/>
      <c r="F29" s="16"/>
      <c r="G29" s="23"/>
      <c r="H29" s="23"/>
      <c r="I29" s="24"/>
      <c r="J29" s="21"/>
      <c r="K29" s="15"/>
      <c r="L29" s="19"/>
    </row>
    <row r="30" spans="2:12" ht="13.5" customHeight="1" x14ac:dyDescent="0.25">
      <c r="B30" s="564"/>
      <c r="C30" s="564"/>
      <c r="D30" s="28" t="s">
        <v>86</v>
      </c>
      <c r="E30" s="29"/>
      <c r="F30" s="29"/>
      <c r="G30" s="32">
        <f>SUM(G20:G29)</f>
        <v>1</v>
      </c>
      <c r="H30" s="32">
        <f>SUM(H20:H29)</f>
        <v>182</v>
      </c>
      <c r="I30" s="32">
        <f>SUM(I20:I29)</f>
        <v>183</v>
      </c>
      <c r="J30" s="21"/>
      <c r="K30" s="33">
        <f>SUM(K20:K29)</f>
        <v>140</v>
      </c>
      <c r="L30" s="34"/>
    </row>
    <row r="31" spans="2:12" ht="13.5" customHeight="1" x14ac:dyDescent="0.25">
      <c r="B31" s="564"/>
      <c r="C31" s="564"/>
      <c r="D31" s="20" t="s">
        <v>1</v>
      </c>
      <c r="E31" s="16"/>
      <c r="F31" s="16"/>
      <c r="G31" s="35">
        <f>+IF(I30=0,0,G30/I30)</f>
        <v>5.4644808743169399E-3</v>
      </c>
      <c r="H31" s="35">
        <f>+IF(J30=0,0,H30/J30)</f>
        <v>0</v>
      </c>
      <c r="I31" s="35">
        <f>+IF(K30=0,0,I30/K30)</f>
        <v>1.3071428571428572</v>
      </c>
      <c r="J31" s="21"/>
      <c r="K31" s="15"/>
      <c r="L31" s="22"/>
    </row>
    <row r="32" spans="2:12" ht="13.5" customHeight="1" x14ac:dyDescent="0.25">
      <c r="B32" s="564"/>
      <c r="C32" s="564"/>
      <c r="D32" s="20"/>
      <c r="E32" s="16"/>
      <c r="F32" s="16"/>
      <c r="G32" s="15"/>
      <c r="H32" s="15"/>
      <c r="I32" s="15"/>
      <c r="J32" s="15"/>
      <c r="K32" s="15"/>
      <c r="L32" s="22"/>
    </row>
    <row r="33" spans="2:12" ht="13.5" customHeight="1" x14ac:dyDescent="0.25">
      <c r="B33" s="564"/>
      <c r="C33" s="564"/>
      <c r="D33" s="28" t="s">
        <v>87</v>
      </c>
      <c r="E33" s="16"/>
      <c r="F33" s="16"/>
      <c r="G33" s="36">
        <v>25</v>
      </c>
      <c r="H33" s="15"/>
      <c r="I33" s="15"/>
      <c r="J33" s="15"/>
      <c r="K33" s="15"/>
      <c r="L33" s="22"/>
    </row>
    <row r="34" spans="2:12" ht="13.5" customHeight="1" x14ac:dyDescent="0.25">
      <c r="B34" s="564"/>
      <c r="C34" s="564"/>
      <c r="D34" s="20"/>
      <c r="E34" s="16"/>
      <c r="F34" s="16"/>
      <c r="G34" s="15"/>
      <c r="H34" s="15"/>
      <c r="I34" s="15"/>
      <c r="J34" s="15"/>
      <c r="K34" s="15"/>
      <c r="L34" s="22"/>
    </row>
    <row r="35" spans="2:12" ht="13.5" customHeight="1" x14ac:dyDescent="0.25">
      <c r="B35" s="564"/>
      <c r="C35" s="564"/>
      <c r="D35" s="28" t="s">
        <v>88</v>
      </c>
      <c r="E35" s="16"/>
      <c r="F35" s="16"/>
      <c r="G35" s="36">
        <v>3.5</v>
      </c>
      <c r="H35" s="37"/>
      <c r="I35" s="29" t="s">
        <v>89</v>
      </c>
      <c r="J35" s="16"/>
      <c r="K35" s="15"/>
      <c r="L35" s="38">
        <v>0</v>
      </c>
    </row>
    <row r="36" spans="2:12" ht="13.5" customHeight="1" x14ac:dyDescent="0.25">
      <c r="B36" s="564"/>
      <c r="C36" s="564"/>
      <c r="D36" s="28"/>
      <c r="E36" s="16"/>
      <c r="F36" s="16"/>
      <c r="G36" s="36"/>
      <c r="H36" s="37"/>
      <c r="I36" s="29" t="s">
        <v>90</v>
      </c>
      <c r="J36" s="16"/>
      <c r="K36" s="15"/>
      <c r="L36" s="39">
        <f>IF((K30+G33)=0,0,+L35/(K30+G33))</f>
        <v>0</v>
      </c>
    </row>
    <row r="37" spans="2:12" ht="13.5" customHeight="1" x14ac:dyDescent="0.25">
      <c r="B37" s="564"/>
      <c r="C37" s="564"/>
      <c r="D37" s="28" t="s">
        <v>91</v>
      </c>
      <c r="E37" s="16"/>
      <c r="F37" s="16"/>
      <c r="G37" s="36">
        <f>IF(G30=0,0,G35/G30)</f>
        <v>3.5</v>
      </c>
      <c r="H37" s="37"/>
      <c r="I37" s="37"/>
      <c r="J37" s="36"/>
      <c r="K37" s="15"/>
      <c r="L37" s="22"/>
    </row>
    <row r="38" spans="2:12" ht="13.5" customHeight="1" x14ac:dyDescent="0.25">
      <c r="B38" s="564"/>
      <c r="C38" s="564"/>
      <c r="D38" s="40"/>
      <c r="E38" s="41"/>
      <c r="F38" s="41"/>
      <c r="G38" s="42"/>
      <c r="H38" s="43"/>
      <c r="I38" s="43"/>
      <c r="J38" s="44"/>
      <c r="K38" s="42"/>
      <c r="L38" s="45"/>
    </row>
    <row r="39" spans="2:12" ht="13.5" customHeight="1" x14ac:dyDescent="0.25">
      <c r="B39" s="16"/>
      <c r="C39" s="16"/>
      <c r="D39" s="16"/>
      <c r="E39" s="16"/>
      <c r="F39" s="16"/>
      <c r="G39" s="15"/>
      <c r="H39" s="15"/>
      <c r="I39" s="15"/>
      <c r="J39" s="15"/>
      <c r="K39" s="15"/>
      <c r="L39" s="16"/>
    </row>
    <row r="40" spans="2:12" ht="5.25" customHeight="1" x14ac:dyDescent="0.25">
      <c r="B40" s="564" t="s">
        <v>92</v>
      </c>
      <c r="C40" s="564"/>
      <c r="D40" s="574" t="s">
        <v>93</v>
      </c>
      <c r="E40" s="574"/>
      <c r="F40" s="575" t="e">
        <f>#N/A</f>
        <v>#N/A</v>
      </c>
      <c r="G40" s="576" t="s">
        <v>94</v>
      </c>
      <c r="H40" s="576"/>
      <c r="I40" s="577" t="s">
        <v>95</v>
      </c>
      <c r="J40" s="558"/>
      <c r="K40" s="558"/>
      <c r="L40" s="558"/>
    </row>
    <row r="41" spans="2:12" ht="14.25" customHeight="1" x14ac:dyDescent="0.25">
      <c r="B41" s="564"/>
      <c r="C41" s="564"/>
      <c r="D41" s="574"/>
      <c r="E41" s="574"/>
      <c r="F41" s="575"/>
      <c r="G41" s="576"/>
      <c r="H41" s="576"/>
      <c r="I41" s="577"/>
      <c r="J41" s="558"/>
      <c r="K41" s="558"/>
      <c r="L41" s="558"/>
    </row>
    <row r="42" spans="2:12" ht="13.5" customHeight="1" x14ac:dyDescent="0.25">
      <c r="B42" s="564"/>
      <c r="C42" s="564"/>
      <c r="D42" s="14"/>
      <c r="E42" s="14"/>
      <c r="F42" s="578"/>
      <c r="G42" s="578"/>
      <c r="H42" s="46"/>
      <c r="I42" s="46"/>
      <c r="J42" s="15"/>
      <c r="K42" s="15"/>
      <c r="L42" s="22"/>
    </row>
    <row r="43" spans="2:12" ht="13.5" customHeight="1" x14ac:dyDescent="0.25">
      <c r="B43" s="564"/>
      <c r="C43" s="564"/>
      <c r="D43" s="20"/>
      <c r="E43" s="16"/>
      <c r="F43" s="16"/>
      <c r="G43" s="46"/>
      <c r="H43" s="46"/>
      <c r="I43" s="46"/>
      <c r="J43" s="15"/>
      <c r="K43" s="15"/>
      <c r="L43" s="22"/>
    </row>
    <row r="44" spans="2:12" ht="13.5" customHeight="1" x14ac:dyDescent="0.25">
      <c r="B44" s="564"/>
      <c r="C44" s="564"/>
      <c r="D44" s="20" t="s">
        <v>96</v>
      </c>
      <c r="E44" s="16" t="s">
        <v>97</v>
      </c>
      <c r="F44" s="47" t="s">
        <v>98</v>
      </c>
      <c r="G44" s="47" t="s">
        <v>99</v>
      </c>
      <c r="H44" s="47" t="s">
        <v>100</v>
      </c>
      <c r="I44" s="15" t="s">
        <v>101</v>
      </c>
      <c r="J44" s="579" t="s">
        <v>74</v>
      </c>
      <c r="K44" s="579"/>
      <c r="L44" s="579"/>
    </row>
    <row r="45" spans="2:12" ht="13.5" customHeight="1" x14ac:dyDescent="0.25">
      <c r="B45" s="564"/>
      <c r="C45" s="564"/>
      <c r="D45" s="20"/>
      <c r="E45" s="16"/>
      <c r="F45" s="47" t="s">
        <v>102</v>
      </c>
      <c r="G45" s="580" t="s">
        <v>103</v>
      </c>
      <c r="H45" s="580"/>
      <c r="I45" s="15" t="s">
        <v>104</v>
      </c>
      <c r="J45" s="15" t="s">
        <v>105</v>
      </c>
      <c r="K45" s="48" t="s">
        <v>106</v>
      </c>
      <c r="L45" s="49" t="s">
        <v>107</v>
      </c>
    </row>
    <row r="46" spans="2:12" ht="13.5" customHeight="1" x14ac:dyDescent="0.25">
      <c r="B46" s="564"/>
      <c r="C46" s="564"/>
      <c r="D46" s="20"/>
      <c r="E46" s="16"/>
      <c r="F46" s="46"/>
      <c r="G46" s="46"/>
      <c r="H46" s="46"/>
      <c r="I46" s="15"/>
      <c r="J46" s="15"/>
      <c r="K46" s="15"/>
      <c r="L46" s="19"/>
    </row>
    <row r="47" spans="2:12" ht="13.5" customHeight="1" x14ac:dyDescent="0.25">
      <c r="B47" s="564"/>
      <c r="C47" s="564"/>
      <c r="D47" s="20" t="s">
        <v>108</v>
      </c>
      <c r="E47" s="16"/>
      <c r="F47" s="50">
        <v>1</v>
      </c>
      <c r="G47" s="50">
        <v>1</v>
      </c>
      <c r="H47" s="50">
        <v>1</v>
      </c>
      <c r="I47" s="51" t="s">
        <v>109</v>
      </c>
      <c r="J47" s="51">
        <v>113</v>
      </c>
      <c r="K47" s="51">
        <v>106</v>
      </c>
      <c r="L47" s="52">
        <v>0</v>
      </c>
    </row>
    <row r="48" spans="2:12" ht="13.5" customHeight="1" x14ac:dyDescent="0.25">
      <c r="B48" s="564"/>
      <c r="C48" s="564"/>
      <c r="D48" s="20" t="s">
        <v>110</v>
      </c>
      <c r="E48" s="16"/>
      <c r="F48" s="50">
        <v>4</v>
      </c>
      <c r="G48" s="50">
        <v>2</v>
      </c>
      <c r="H48" s="50">
        <v>4</v>
      </c>
      <c r="I48" s="51" t="s">
        <v>109</v>
      </c>
      <c r="J48" s="51">
        <v>768</v>
      </c>
      <c r="K48" s="51">
        <v>202</v>
      </c>
      <c r="L48" s="52">
        <v>3</v>
      </c>
    </row>
    <row r="49" spans="2:12" ht="13.5" customHeight="1" x14ac:dyDescent="0.25">
      <c r="B49" s="564"/>
      <c r="C49" s="564"/>
      <c r="D49" s="20" t="s">
        <v>111</v>
      </c>
      <c r="E49" s="16"/>
      <c r="F49" s="50">
        <v>3</v>
      </c>
      <c r="G49" s="50">
        <v>5</v>
      </c>
      <c r="H49" s="50">
        <v>5</v>
      </c>
      <c r="I49" s="51" t="s">
        <v>109</v>
      </c>
      <c r="J49" s="51">
        <f>0.8+0.8+2</f>
        <v>3.6</v>
      </c>
      <c r="K49" s="51">
        <v>0</v>
      </c>
      <c r="L49" s="52">
        <f>+J49</f>
        <v>3.6</v>
      </c>
    </row>
    <row r="50" spans="2:12" ht="13.5" customHeight="1" x14ac:dyDescent="0.25">
      <c r="B50" s="564"/>
      <c r="C50" s="564"/>
      <c r="D50" s="20" t="s">
        <v>112</v>
      </c>
      <c r="E50" s="16"/>
      <c r="F50" s="50">
        <v>1</v>
      </c>
      <c r="G50" s="50">
        <v>1</v>
      </c>
      <c r="H50" s="50">
        <v>1</v>
      </c>
      <c r="I50" s="51" t="s">
        <v>113</v>
      </c>
      <c r="J50" s="51">
        <v>4858</v>
      </c>
      <c r="K50" s="51">
        <v>4038</v>
      </c>
      <c r="L50" s="52">
        <v>0</v>
      </c>
    </row>
    <row r="51" spans="2:12" ht="13.5" customHeight="1" x14ac:dyDescent="0.25">
      <c r="B51" s="564"/>
      <c r="C51" s="564"/>
      <c r="D51" s="20" t="s">
        <v>114</v>
      </c>
      <c r="E51" s="16"/>
      <c r="F51" s="50">
        <v>5</v>
      </c>
      <c r="G51" s="50">
        <v>1</v>
      </c>
      <c r="H51" s="50">
        <v>1</v>
      </c>
      <c r="I51" s="51" t="s">
        <v>109</v>
      </c>
      <c r="J51" s="51">
        <f>2+0.6+0.7+3+20</f>
        <v>26.3</v>
      </c>
      <c r="K51" s="51">
        <v>0</v>
      </c>
      <c r="L51" s="52"/>
    </row>
    <row r="52" spans="2:12" ht="13.5" customHeight="1" x14ac:dyDescent="0.25">
      <c r="B52" s="564"/>
      <c r="C52" s="564"/>
      <c r="D52" s="20" t="s">
        <v>115</v>
      </c>
      <c r="E52" s="16"/>
      <c r="F52" s="50">
        <v>3</v>
      </c>
      <c r="G52" s="50">
        <v>2</v>
      </c>
      <c r="H52" s="50">
        <v>2</v>
      </c>
      <c r="I52" s="51" t="s">
        <v>113</v>
      </c>
      <c r="J52" s="51">
        <f>2000+2250+8500</f>
        <v>12750</v>
      </c>
      <c r="K52" s="51">
        <f>1680+1064+8500</f>
        <v>11244</v>
      </c>
      <c r="L52" s="52">
        <v>0</v>
      </c>
    </row>
    <row r="53" spans="2:12" ht="13.5" customHeight="1" x14ac:dyDescent="0.25">
      <c r="B53" s="564"/>
      <c r="C53" s="564"/>
      <c r="D53" s="20" t="s">
        <v>116</v>
      </c>
      <c r="E53" s="16"/>
      <c r="F53" s="50">
        <v>4</v>
      </c>
      <c r="G53" s="50">
        <v>1</v>
      </c>
      <c r="H53" s="50">
        <v>3</v>
      </c>
      <c r="I53" s="51" t="s">
        <v>109</v>
      </c>
      <c r="J53" s="51">
        <v>0</v>
      </c>
      <c r="K53" s="51">
        <f>50+54+39</f>
        <v>143</v>
      </c>
      <c r="L53" s="52">
        <v>0</v>
      </c>
    </row>
    <row r="54" spans="2:12" ht="13.5" customHeight="1" x14ac:dyDescent="0.25">
      <c r="B54" s="564"/>
      <c r="C54" s="564"/>
      <c r="D54" s="20"/>
      <c r="E54" s="16"/>
      <c r="F54" s="50"/>
      <c r="G54" s="50"/>
      <c r="H54" s="50"/>
      <c r="I54" s="51"/>
      <c r="J54" s="51"/>
      <c r="K54" s="51"/>
      <c r="L54" s="52"/>
    </row>
    <row r="55" spans="2:12" ht="13.5" customHeight="1" x14ac:dyDescent="0.25">
      <c r="B55" s="564"/>
      <c r="C55" s="564"/>
      <c r="D55" s="20"/>
      <c r="E55" s="16"/>
      <c r="F55" s="50"/>
      <c r="G55" s="50"/>
      <c r="H55" s="50"/>
      <c r="I55" s="51"/>
      <c r="J55" s="51"/>
      <c r="K55" s="51"/>
      <c r="L55" s="52"/>
    </row>
    <row r="56" spans="2:12" ht="13.5" customHeight="1" x14ac:dyDescent="0.25">
      <c r="B56" s="564"/>
      <c r="C56" s="564"/>
      <c r="D56" s="20"/>
      <c r="E56" s="16" t="s">
        <v>77</v>
      </c>
      <c r="F56" s="50">
        <f>SUM(F48:F55)</f>
        <v>20</v>
      </c>
      <c r="G56" s="53"/>
      <c r="H56" s="53"/>
      <c r="I56" s="15"/>
      <c r="J56" s="51">
        <f>SUM(J47:J55)</f>
        <v>18518.900000000001</v>
      </c>
      <c r="K56" s="51">
        <f>SUM(K47:K55)</f>
        <v>15733</v>
      </c>
      <c r="L56" s="54">
        <f>SUM(L48:L55)</f>
        <v>6.6</v>
      </c>
    </row>
    <row r="57" spans="2:12" ht="13.5" customHeight="1" x14ac:dyDescent="0.25">
      <c r="B57" s="564"/>
      <c r="C57" s="564"/>
      <c r="D57" s="20"/>
      <c r="E57" s="16"/>
      <c r="F57" s="50"/>
      <c r="G57" s="53"/>
      <c r="H57" s="53"/>
      <c r="I57" s="15"/>
      <c r="J57" s="51"/>
      <c r="K57" s="51"/>
      <c r="L57" s="54"/>
    </row>
    <row r="58" spans="2:12" ht="13.5" customHeight="1" x14ac:dyDescent="0.25">
      <c r="B58" s="564"/>
      <c r="C58" s="564"/>
      <c r="D58" s="20"/>
      <c r="E58" s="16"/>
      <c r="F58" s="50"/>
      <c r="G58" s="53"/>
      <c r="H58" s="53"/>
      <c r="I58" s="15"/>
      <c r="J58" s="51"/>
      <c r="K58" s="51"/>
      <c r="L58" s="54"/>
    </row>
    <row r="59" spans="2:12" ht="13.5" customHeight="1" x14ac:dyDescent="0.25">
      <c r="B59" s="564"/>
      <c r="C59" s="564"/>
      <c r="D59" s="20"/>
      <c r="E59" s="16"/>
      <c r="F59" s="50"/>
      <c r="G59" s="53"/>
      <c r="H59" s="53"/>
      <c r="I59" s="15"/>
      <c r="J59" s="51"/>
      <c r="K59" s="51"/>
      <c r="L59" s="54"/>
    </row>
    <row r="60" spans="2:12" ht="13.5" customHeight="1" x14ac:dyDescent="0.25">
      <c r="B60" s="564"/>
      <c r="C60" s="564"/>
      <c r="D60" s="55" t="s">
        <v>117</v>
      </c>
      <c r="E60" s="16"/>
      <c r="F60" s="50"/>
      <c r="G60" s="53"/>
      <c r="H60" s="53"/>
      <c r="I60" s="15"/>
      <c r="J60" s="51"/>
      <c r="K60" s="51"/>
      <c r="L60" s="54"/>
    </row>
    <row r="61" spans="2:12" ht="13.5" customHeight="1" x14ac:dyDescent="0.25">
      <c r="B61" s="564"/>
      <c r="C61" s="564"/>
      <c r="D61" s="20" t="s">
        <v>118</v>
      </c>
      <c r="E61" s="16"/>
      <c r="F61" s="50"/>
      <c r="G61" s="53"/>
      <c r="H61" s="53"/>
      <c r="I61" s="15"/>
      <c r="J61" s="51"/>
      <c r="K61" s="51"/>
      <c r="L61" s="54"/>
    </row>
    <row r="62" spans="2:12" ht="13.5" customHeight="1" x14ac:dyDescent="0.25">
      <c r="B62" s="564"/>
      <c r="C62" s="564"/>
      <c r="D62" s="20" t="s">
        <v>119</v>
      </c>
      <c r="E62" s="16"/>
      <c r="F62" s="50"/>
      <c r="G62" s="53"/>
      <c r="H62" s="53"/>
      <c r="I62" s="15"/>
      <c r="J62" s="51"/>
      <c r="K62" s="51"/>
      <c r="L62" s="54"/>
    </row>
    <row r="63" spans="2:12" ht="13.5" customHeight="1" x14ac:dyDescent="0.25">
      <c r="B63" s="564"/>
      <c r="C63" s="564"/>
      <c r="D63" s="20"/>
      <c r="E63" s="16"/>
      <c r="F63" s="50"/>
      <c r="G63" s="53"/>
      <c r="H63" s="53"/>
      <c r="I63" s="15"/>
      <c r="J63" s="51"/>
      <c r="K63" s="51"/>
      <c r="L63" s="54"/>
    </row>
    <row r="64" spans="2:12" ht="13.5" customHeight="1" x14ac:dyDescent="0.25">
      <c r="B64" s="564"/>
      <c r="C64" s="564"/>
      <c r="D64" s="20"/>
      <c r="E64" s="16"/>
      <c r="F64" s="50"/>
      <c r="G64" s="53"/>
      <c r="H64" s="53"/>
      <c r="I64" s="15"/>
      <c r="J64" s="51"/>
      <c r="K64" s="51"/>
      <c r="L64" s="54"/>
    </row>
    <row r="65" spans="2:12" ht="13.5" customHeight="1" x14ac:dyDescent="0.25">
      <c r="B65" s="564"/>
      <c r="C65" s="564"/>
      <c r="D65" s="20"/>
      <c r="E65" s="16"/>
      <c r="F65" s="16"/>
      <c r="G65" s="46"/>
      <c r="H65" s="46"/>
      <c r="I65" s="15"/>
      <c r="J65" s="15"/>
      <c r="K65" s="15"/>
      <c r="L65" s="22"/>
    </row>
    <row r="66" spans="2:12" ht="24.75" customHeight="1" x14ac:dyDescent="0.25">
      <c r="B66" s="564"/>
      <c r="C66" s="564"/>
      <c r="D66" s="570" t="s">
        <v>68</v>
      </c>
      <c r="E66" s="570"/>
      <c r="F66" s="570"/>
      <c r="G66" s="570"/>
      <c r="H66" s="570"/>
      <c r="I66" s="570" t="s">
        <v>69</v>
      </c>
      <c r="J66" s="570"/>
      <c r="K66" s="570"/>
      <c r="L66" s="570"/>
    </row>
    <row r="67" spans="2:12" ht="78.75" customHeight="1" x14ac:dyDescent="0.25">
      <c r="B67" s="564"/>
      <c r="C67" s="564"/>
      <c r="D67" s="581" t="s">
        <v>120</v>
      </c>
      <c r="E67" s="581"/>
      <c r="F67" s="581"/>
      <c r="G67" s="581"/>
      <c r="H67" s="581"/>
      <c r="I67" s="571"/>
      <c r="J67" s="571"/>
      <c r="K67" s="571"/>
      <c r="L67" s="571"/>
    </row>
    <row r="68" spans="2:12" ht="14.25" customHeight="1" x14ac:dyDescent="0.25">
      <c r="B68" s="564"/>
      <c r="C68" s="564"/>
      <c r="D68" s="56"/>
      <c r="E68" s="14"/>
      <c r="F68" s="14"/>
      <c r="G68" s="14"/>
      <c r="H68" s="57"/>
      <c r="I68" s="571"/>
      <c r="J68" s="571"/>
      <c r="K68" s="571"/>
      <c r="L68" s="571"/>
    </row>
    <row r="69" spans="2:12" ht="14.25" customHeight="1" x14ac:dyDescent="0.25">
      <c r="B69" s="564"/>
      <c r="C69" s="564"/>
      <c r="D69" s="58"/>
      <c r="E69" s="59"/>
      <c r="F69" s="59"/>
      <c r="G69" s="59"/>
      <c r="H69" s="60"/>
      <c r="I69" s="571"/>
      <c r="J69" s="571"/>
      <c r="K69" s="571"/>
      <c r="L69" s="571"/>
    </row>
    <row r="70" spans="2:12" ht="13.5" customHeight="1" x14ac:dyDescent="0.25">
      <c r="B70" s="16"/>
      <c r="C70" s="16"/>
      <c r="D70" s="16"/>
      <c r="E70" s="16"/>
      <c r="F70" s="16"/>
      <c r="G70" s="15"/>
      <c r="H70" s="15"/>
      <c r="I70" s="15"/>
      <c r="J70" s="15"/>
      <c r="K70" s="15"/>
      <c r="L70" s="16"/>
    </row>
    <row r="71" spans="2:12" ht="13.5" customHeight="1" x14ac:dyDescent="0.25">
      <c r="B71" s="582" t="s">
        <v>121</v>
      </c>
      <c r="C71" s="582"/>
      <c r="D71" s="583" t="s">
        <v>122</v>
      </c>
      <c r="E71" s="583"/>
      <c r="F71" s="584" t="e">
        <f>#N/A</f>
        <v>#N/A</v>
      </c>
      <c r="G71" s="584"/>
      <c r="H71" s="584"/>
      <c r="I71" s="585" t="e">
        <f>#N/A</f>
        <v>#N/A</v>
      </c>
      <c r="J71" s="585"/>
      <c r="K71" s="585"/>
      <c r="L71" s="585"/>
    </row>
    <row r="72" spans="2:12" ht="17.25" customHeight="1" x14ac:dyDescent="0.25">
      <c r="B72" s="582"/>
      <c r="C72" s="582"/>
      <c r="D72" s="583" t="s">
        <v>123</v>
      </c>
      <c r="E72" s="583"/>
      <c r="F72" s="586" t="e">
        <f>#N/A</f>
        <v>#N/A</v>
      </c>
      <c r="G72" s="586"/>
      <c r="H72" s="586"/>
      <c r="I72" s="586" t="e">
        <f>#N/A</f>
        <v>#N/A</v>
      </c>
      <c r="J72" s="586"/>
      <c r="K72" s="586"/>
      <c r="L72" s="586"/>
    </row>
    <row r="73" spans="2:12" ht="13.8" x14ac:dyDescent="0.25">
      <c r="B73" s="582"/>
      <c r="C73" s="582"/>
      <c r="D73" s="583" t="s">
        <v>124</v>
      </c>
      <c r="E73" s="583"/>
      <c r="F73" s="587" t="e">
        <f>#N/A</f>
        <v>#N/A</v>
      </c>
      <c r="G73" s="587"/>
      <c r="H73" s="587"/>
      <c r="I73" s="587" t="e">
        <f>#N/A</f>
        <v>#N/A</v>
      </c>
      <c r="J73" s="587"/>
      <c r="K73" s="587"/>
      <c r="L73" s="587"/>
    </row>
    <row r="74" spans="2:12" ht="13.5" customHeight="1" x14ac:dyDescent="0.25">
      <c r="B74" s="582"/>
      <c r="C74" s="582"/>
      <c r="D74" s="583" t="s">
        <v>125</v>
      </c>
      <c r="E74" s="583"/>
      <c r="F74" s="587" t="e">
        <f>#N/A</f>
        <v>#N/A</v>
      </c>
      <c r="G74" s="587"/>
      <c r="H74" s="587"/>
      <c r="I74" s="587" t="e">
        <f>#N/A</f>
        <v>#N/A</v>
      </c>
      <c r="J74" s="587"/>
      <c r="K74" s="587"/>
      <c r="L74" s="587"/>
    </row>
    <row r="75" spans="2:12" ht="13.5" customHeight="1" x14ac:dyDescent="0.25">
      <c r="B75" s="582"/>
      <c r="C75" s="582"/>
      <c r="D75" s="583" t="s">
        <v>126</v>
      </c>
      <c r="E75" s="583"/>
      <c r="F75" s="587" t="e">
        <f>#N/A</f>
        <v>#N/A</v>
      </c>
      <c r="G75" s="587"/>
      <c r="H75" s="587"/>
      <c r="I75" s="587" t="e">
        <f>#N/A</f>
        <v>#N/A</v>
      </c>
      <c r="J75" s="587"/>
      <c r="K75" s="587"/>
      <c r="L75" s="587"/>
    </row>
    <row r="76" spans="2:12" ht="13.5" customHeight="1" x14ac:dyDescent="0.25">
      <c r="B76" s="582"/>
      <c r="C76" s="582"/>
      <c r="D76" s="583" t="s">
        <v>127</v>
      </c>
      <c r="E76" s="583"/>
      <c r="F76" s="587" t="e">
        <f>#N/A</f>
        <v>#N/A</v>
      </c>
      <c r="G76" s="587"/>
      <c r="H76" s="587"/>
      <c r="I76" s="587" t="e">
        <f>#N/A</f>
        <v>#N/A</v>
      </c>
      <c r="J76" s="587"/>
      <c r="K76" s="587"/>
      <c r="L76" s="587"/>
    </row>
    <row r="77" spans="2:12" ht="13.5" customHeight="1" x14ac:dyDescent="0.25">
      <c r="B77" s="582"/>
      <c r="C77" s="582"/>
      <c r="D77" s="583" t="s">
        <v>128</v>
      </c>
      <c r="E77" s="583"/>
      <c r="F77" s="588" t="e">
        <f>#N/A</f>
        <v>#N/A</v>
      </c>
      <c r="G77" s="588"/>
      <c r="H77" s="588"/>
      <c r="I77" s="588" t="e">
        <f>#N/A</f>
        <v>#N/A</v>
      </c>
      <c r="J77" s="588"/>
      <c r="K77" s="588"/>
      <c r="L77" s="588"/>
    </row>
    <row r="78" spans="2:12" ht="24.75" customHeight="1" x14ac:dyDescent="0.25">
      <c r="B78" s="582"/>
      <c r="C78" s="582"/>
      <c r="D78" s="570" t="s">
        <v>68</v>
      </c>
      <c r="E78" s="570"/>
      <c r="F78" s="570"/>
      <c r="G78" s="570"/>
      <c r="H78" s="570"/>
      <c r="I78" s="570" t="s">
        <v>69</v>
      </c>
      <c r="J78" s="570"/>
      <c r="K78" s="570"/>
      <c r="L78" s="570"/>
    </row>
    <row r="79" spans="2:12" ht="84.75" customHeight="1" x14ac:dyDescent="0.25">
      <c r="B79" s="582"/>
      <c r="C79" s="582"/>
      <c r="D79" s="581" t="s">
        <v>129</v>
      </c>
      <c r="E79" s="581"/>
      <c r="F79" s="581"/>
      <c r="G79" s="581"/>
      <c r="H79" s="581"/>
      <c r="I79" s="581" t="s">
        <v>130</v>
      </c>
      <c r="J79" s="581"/>
      <c r="K79" s="581"/>
      <c r="L79" s="581"/>
    </row>
    <row r="80" spans="2:12" ht="59.25" customHeight="1" x14ac:dyDescent="0.25">
      <c r="B80" s="582"/>
      <c r="C80" s="582"/>
      <c r="D80" s="589" t="s">
        <v>131</v>
      </c>
      <c r="E80" s="589"/>
      <c r="F80" s="589"/>
      <c r="G80" s="589"/>
      <c r="H80" s="589"/>
      <c r="I80" s="590" t="s">
        <v>132</v>
      </c>
      <c r="J80" s="590"/>
      <c r="K80" s="590"/>
      <c r="L80" s="590"/>
    </row>
    <row r="81" spans="2:12" ht="36" customHeight="1" x14ac:dyDescent="0.25">
      <c r="B81" s="582"/>
      <c r="C81" s="582"/>
      <c r="D81" s="591" t="s">
        <v>133</v>
      </c>
      <c r="E81" s="591"/>
      <c r="F81" s="591"/>
      <c r="G81" s="591"/>
      <c r="H81" s="591"/>
      <c r="I81" s="61"/>
      <c r="J81" s="62"/>
      <c r="K81" s="62"/>
      <c r="L81" s="63"/>
    </row>
    <row r="82" spans="2:12" ht="13.5" customHeight="1" x14ac:dyDescent="0.25">
      <c r="B82" s="16"/>
      <c r="C82" s="16"/>
      <c r="D82" s="16"/>
      <c r="E82" s="16"/>
      <c r="F82" s="16"/>
      <c r="G82" s="15"/>
      <c r="H82" s="15"/>
      <c r="I82" s="15"/>
      <c r="J82" s="15"/>
      <c r="K82" s="15"/>
      <c r="L82" s="16"/>
    </row>
    <row r="83" spans="2:12" ht="13.5" customHeight="1" x14ac:dyDescent="0.25">
      <c r="B83" s="582" t="s">
        <v>134</v>
      </c>
      <c r="C83" s="582"/>
      <c r="D83" s="583" t="s">
        <v>122</v>
      </c>
      <c r="E83" s="583"/>
      <c r="F83" s="584" t="e">
        <f>+F71</f>
        <v>#N/A</v>
      </c>
      <c r="G83" s="584"/>
      <c r="H83" s="584"/>
      <c r="I83" s="585" t="e">
        <f>+I71</f>
        <v>#N/A</v>
      </c>
      <c r="J83" s="585"/>
      <c r="K83" s="585"/>
      <c r="L83" s="585"/>
    </row>
    <row r="84" spans="2:12" ht="13.5" customHeight="1" x14ac:dyDescent="0.25">
      <c r="B84" s="582"/>
      <c r="C84" s="582"/>
      <c r="D84" s="583" t="s">
        <v>135</v>
      </c>
      <c r="E84" s="583"/>
      <c r="F84" s="587" t="e">
        <f>#N/A</f>
        <v>#N/A</v>
      </c>
      <c r="G84" s="587"/>
      <c r="H84" s="587"/>
      <c r="I84" s="587" t="e">
        <f>#N/A</f>
        <v>#N/A</v>
      </c>
      <c r="J84" s="587"/>
      <c r="K84" s="587"/>
      <c r="L84" s="587"/>
    </row>
    <row r="85" spans="2:12" ht="13.5" customHeight="1" x14ac:dyDescent="0.25">
      <c r="B85" s="582"/>
      <c r="C85" s="582"/>
      <c r="D85" s="583" t="s">
        <v>136</v>
      </c>
      <c r="E85" s="583"/>
      <c r="F85" s="587" t="e">
        <f>#N/A</f>
        <v>#N/A</v>
      </c>
      <c r="G85" s="587"/>
      <c r="H85" s="587"/>
      <c r="I85" s="587" t="e">
        <f>#N/A</f>
        <v>#N/A</v>
      </c>
      <c r="J85" s="587"/>
      <c r="K85" s="587"/>
      <c r="L85" s="587"/>
    </row>
    <row r="86" spans="2:12" ht="13.5" customHeight="1" x14ac:dyDescent="0.25">
      <c r="B86" s="582"/>
      <c r="C86" s="582"/>
      <c r="D86" s="64" t="s">
        <v>137</v>
      </c>
      <c r="E86" s="65"/>
      <c r="F86" s="592" t="e">
        <f>+#REF!</f>
        <v>#REF!</v>
      </c>
      <c r="G86" s="592"/>
      <c r="H86" s="592"/>
      <c r="I86" s="592" t="e">
        <f>+#REF!</f>
        <v>#REF!</v>
      </c>
      <c r="J86" s="592"/>
      <c r="K86" s="592"/>
      <c r="L86" s="592"/>
    </row>
    <row r="87" spans="2:12" ht="13.5" customHeight="1" x14ac:dyDescent="0.25">
      <c r="B87" s="582"/>
      <c r="C87" s="582"/>
      <c r="D87" s="583" t="s">
        <v>138</v>
      </c>
      <c r="E87" s="583"/>
      <c r="F87" s="593" t="e">
        <f>#N/A</f>
        <v>#N/A</v>
      </c>
      <c r="G87" s="593"/>
      <c r="H87" s="593"/>
      <c r="I87" s="593" t="e">
        <f>#N/A</f>
        <v>#N/A</v>
      </c>
      <c r="J87" s="593"/>
      <c r="K87" s="593"/>
      <c r="L87" s="593"/>
    </row>
    <row r="88" spans="2:12" ht="13.5" customHeight="1" x14ac:dyDescent="0.25">
      <c r="B88" s="582"/>
      <c r="C88" s="582"/>
      <c r="D88" s="583" t="s">
        <v>139</v>
      </c>
      <c r="E88" s="583"/>
      <c r="F88" s="594">
        <v>8081</v>
      </c>
      <c r="G88" s="594"/>
      <c r="H88" s="594"/>
      <c r="I88" s="594">
        <v>10299</v>
      </c>
      <c r="J88" s="594"/>
      <c r="K88" s="594"/>
      <c r="L88" s="594"/>
    </row>
    <row r="89" spans="2:12" ht="41.25" customHeight="1" x14ac:dyDescent="0.25">
      <c r="B89" s="582"/>
      <c r="C89" s="582"/>
      <c r="D89" s="595" t="s">
        <v>140</v>
      </c>
      <c r="E89" s="595"/>
      <c r="F89" s="594">
        <v>23659</v>
      </c>
      <c r="G89" s="594"/>
      <c r="H89" s="594"/>
      <c r="I89" s="594">
        <v>23356</v>
      </c>
      <c r="J89" s="594"/>
      <c r="K89" s="594"/>
      <c r="L89" s="594"/>
    </row>
    <row r="90" spans="2:12" ht="13.5" customHeight="1" x14ac:dyDescent="0.25">
      <c r="B90" s="582"/>
      <c r="C90" s="582"/>
      <c r="D90" s="583" t="s">
        <v>141</v>
      </c>
      <c r="E90" s="583"/>
      <c r="F90" s="594">
        <v>23852</v>
      </c>
      <c r="G90" s="594"/>
      <c r="H90" s="594"/>
      <c r="I90" s="594">
        <v>16789</v>
      </c>
      <c r="J90" s="594"/>
      <c r="K90" s="594"/>
      <c r="L90" s="594"/>
    </row>
    <row r="91" spans="2:12" ht="25.5" customHeight="1" x14ac:dyDescent="0.25">
      <c r="B91" s="582"/>
      <c r="C91" s="582"/>
      <c r="D91" s="570" t="s">
        <v>68</v>
      </c>
      <c r="E91" s="570"/>
      <c r="F91" s="570"/>
      <c r="G91" s="570"/>
      <c r="H91" s="570"/>
      <c r="I91" s="570" t="s">
        <v>69</v>
      </c>
      <c r="J91" s="570"/>
      <c r="K91" s="570"/>
      <c r="L91" s="570"/>
    </row>
    <row r="92" spans="2:12" ht="66.75" customHeight="1" x14ac:dyDescent="0.25">
      <c r="B92" s="582"/>
      <c r="C92" s="582"/>
      <c r="D92" s="581"/>
      <c r="E92" s="581"/>
      <c r="F92" s="581"/>
      <c r="G92" s="581"/>
      <c r="H92" s="581"/>
      <c r="I92" s="581" t="s">
        <v>142</v>
      </c>
      <c r="J92" s="581"/>
      <c r="K92" s="581"/>
      <c r="L92" s="581"/>
    </row>
    <row r="93" spans="2:12" ht="54.75" customHeight="1" x14ac:dyDescent="0.25">
      <c r="B93" s="582"/>
      <c r="C93" s="582"/>
      <c r="D93" s="589"/>
      <c r="E93" s="589"/>
      <c r="F93" s="589"/>
      <c r="G93" s="589"/>
      <c r="H93" s="589"/>
      <c r="I93" s="589"/>
      <c r="J93" s="589"/>
      <c r="K93" s="589"/>
      <c r="L93" s="589"/>
    </row>
    <row r="94" spans="2:12" ht="24" customHeight="1" x14ac:dyDescent="0.25">
      <c r="B94" s="582"/>
      <c r="C94" s="582"/>
      <c r="D94" s="591"/>
      <c r="E94" s="591"/>
      <c r="F94" s="591"/>
      <c r="G94" s="591"/>
      <c r="H94" s="591"/>
      <c r="I94" s="66"/>
      <c r="J94" s="67"/>
      <c r="K94" s="67"/>
      <c r="L94" s="68"/>
    </row>
    <row r="95" spans="2:12" ht="13.5" customHeight="1" x14ac:dyDescent="0.25">
      <c r="B95" s="16"/>
      <c r="C95" s="16"/>
      <c r="D95" s="16"/>
      <c r="E95" s="16"/>
      <c r="F95" s="16"/>
      <c r="G95" s="15"/>
      <c r="H95" s="15"/>
      <c r="I95" s="15"/>
      <c r="J95" s="15"/>
      <c r="K95" s="15"/>
      <c r="L95" s="16"/>
    </row>
    <row r="96" spans="2:12" ht="24.75" customHeight="1" x14ac:dyDescent="0.25">
      <c r="B96" s="582" t="s">
        <v>143</v>
      </c>
      <c r="C96" s="582"/>
      <c r="D96" s="570" t="s">
        <v>68</v>
      </c>
      <c r="E96" s="570"/>
      <c r="F96" s="570"/>
      <c r="G96" s="570"/>
      <c r="H96" s="570"/>
      <c r="I96" s="570" t="s">
        <v>69</v>
      </c>
      <c r="J96" s="570"/>
      <c r="K96" s="570"/>
      <c r="L96" s="570"/>
    </row>
    <row r="97" spans="2:12" ht="21" customHeight="1" x14ac:dyDescent="0.25">
      <c r="B97" s="582"/>
      <c r="C97" s="582"/>
      <c r="D97" s="571" t="s">
        <v>144</v>
      </c>
      <c r="E97" s="571"/>
      <c r="F97" s="571"/>
      <c r="G97" s="571"/>
      <c r="H97" s="571"/>
      <c r="I97" s="596"/>
      <c r="J97" s="596"/>
      <c r="K97" s="596"/>
      <c r="L97" s="596"/>
    </row>
    <row r="98" spans="2:12" ht="21" customHeight="1" x14ac:dyDescent="0.25">
      <c r="B98" s="582"/>
      <c r="C98" s="582"/>
      <c r="D98" s="571"/>
      <c r="E98" s="571"/>
      <c r="F98" s="571"/>
      <c r="G98" s="571"/>
      <c r="H98" s="571"/>
      <c r="I98" s="596"/>
      <c r="J98" s="596"/>
      <c r="K98" s="596"/>
      <c r="L98" s="596"/>
    </row>
    <row r="99" spans="2:12" ht="21" customHeight="1" x14ac:dyDescent="0.25">
      <c r="B99" s="582"/>
      <c r="C99" s="582"/>
      <c r="D99" s="571"/>
      <c r="E99" s="571"/>
      <c r="F99" s="571"/>
      <c r="G99" s="571"/>
      <c r="H99" s="571"/>
      <c r="I99" s="596"/>
      <c r="J99" s="596"/>
      <c r="K99" s="596"/>
      <c r="L99" s="596"/>
    </row>
    <row r="100" spans="2:12" ht="21" customHeight="1" x14ac:dyDescent="0.25">
      <c r="B100" s="582"/>
      <c r="C100" s="582"/>
      <c r="D100" s="571"/>
      <c r="E100" s="571"/>
      <c r="F100" s="571"/>
      <c r="G100" s="571"/>
      <c r="H100" s="571"/>
      <c r="I100" s="596"/>
      <c r="J100" s="596"/>
      <c r="K100" s="596"/>
      <c r="L100" s="596"/>
    </row>
    <row r="101" spans="2:12" ht="21" customHeight="1" x14ac:dyDescent="0.25">
      <c r="B101" s="582"/>
      <c r="C101" s="582"/>
      <c r="D101" s="571"/>
      <c r="E101" s="571"/>
      <c r="F101" s="571"/>
      <c r="G101" s="571"/>
      <c r="H101" s="571"/>
      <c r="I101" s="596"/>
      <c r="J101" s="596"/>
      <c r="K101" s="596"/>
      <c r="L101" s="596"/>
    </row>
    <row r="102" spans="2:12" ht="13.5" customHeight="1" x14ac:dyDescent="0.25">
      <c r="B102" s="16"/>
      <c r="C102" s="16"/>
      <c r="D102" s="16"/>
      <c r="E102" s="16"/>
      <c r="F102" s="16"/>
      <c r="G102" s="15"/>
      <c r="H102" s="15"/>
      <c r="I102" s="15"/>
      <c r="J102" s="15"/>
      <c r="K102" s="15"/>
      <c r="L102" s="16"/>
    </row>
    <row r="103" spans="2:12" ht="12.75" hidden="1" customHeight="1" x14ac:dyDescent="0.25">
      <c r="B103" s="582" t="s">
        <v>145</v>
      </c>
      <c r="C103" s="582"/>
      <c r="D103" s="597" t="s">
        <v>68</v>
      </c>
      <c r="E103" s="597"/>
      <c r="F103" s="597"/>
      <c r="G103" s="597"/>
      <c r="H103" s="597"/>
      <c r="I103" s="570" t="s">
        <v>69</v>
      </c>
      <c r="J103" s="570"/>
      <c r="K103" s="570"/>
      <c r="L103" s="570"/>
    </row>
    <row r="104" spans="2:12" ht="12.75" hidden="1" customHeight="1" x14ac:dyDescent="0.25">
      <c r="B104" s="582"/>
      <c r="C104" s="582"/>
      <c r="D104" s="598"/>
      <c r="E104" s="598"/>
      <c r="F104" s="598"/>
      <c r="G104" s="598"/>
      <c r="H104" s="598"/>
      <c r="I104" s="599"/>
      <c r="J104" s="599"/>
      <c r="K104" s="599"/>
      <c r="L104" s="599"/>
    </row>
    <row r="105" spans="2:12" ht="12.75" hidden="1" customHeight="1" x14ac:dyDescent="0.25">
      <c r="B105" s="582"/>
      <c r="C105" s="582"/>
      <c r="D105" s="589"/>
      <c r="E105" s="589"/>
      <c r="F105" s="589"/>
      <c r="G105" s="589"/>
      <c r="H105" s="589"/>
      <c r="I105" s="599"/>
      <c r="J105" s="599"/>
      <c r="K105" s="599"/>
      <c r="L105" s="599"/>
    </row>
    <row r="106" spans="2:12" ht="12.75" hidden="1" customHeight="1" x14ac:dyDescent="0.25">
      <c r="B106" s="582"/>
      <c r="C106" s="582"/>
      <c r="D106" s="61"/>
      <c r="E106" s="62"/>
      <c r="F106" s="62"/>
      <c r="G106" s="62"/>
      <c r="H106" s="63"/>
      <c r="I106" s="599"/>
      <c r="J106" s="599"/>
      <c r="K106" s="599"/>
      <c r="L106" s="599"/>
    </row>
    <row r="107" spans="2:12" ht="13.5" hidden="1" customHeight="1" x14ac:dyDescent="0.25">
      <c r="B107" s="16"/>
      <c r="C107" s="16"/>
      <c r="D107" s="16"/>
      <c r="E107" s="16"/>
      <c r="F107" s="16"/>
      <c r="G107" s="15"/>
      <c r="H107" s="15"/>
      <c r="I107" s="15"/>
      <c r="J107" s="15"/>
      <c r="K107" s="15"/>
      <c r="L107" s="16"/>
    </row>
    <row r="108" spans="2:12" ht="12.75" hidden="1" customHeight="1" x14ac:dyDescent="0.25">
      <c r="B108" s="582" t="s">
        <v>146</v>
      </c>
      <c r="C108" s="582"/>
      <c r="D108" s="570" t="s">
        <v>68</v>
      </c>
      <c r="E108" s="570"/>
      <c r="F108" s="570"/>
      <c r="G108" s="570"/>
      <c r="H108" s="570"/>
      <c r="I108" s="570" t="s">
        <v>69</v>
      </c>
      <c r="J108" s="570"/>
      <c r="K108" s="570"/>
      <c r="L108" s="570"/>
    </row>
    <row r="109" spans="2:12" ht="12.75" hidden="1" customHeight="1" x14ac:dyDescent="0.25">
      <c r="B109" s="582"/>
      <c r="C109" s="582"/>
      <c r="D109" s="581"/>
      <c r="E109" s="581"/>
      <c r="F109" s="581"/>
      <c r="G109" s="581"/>
      <c r="H109" s="581"/>
      <c r="I109" s="603"/>
      <c r="J109" s="603"/>
      <c r="K109" s="603"/>
      <c r="L109" s="603"/>
    </row>
    <row r="110" spans="2:12" ht="12.75" hidden="1" customHeight="1" x14ac:dyDescent="0.25">
      <c r="B110" s="582"/>
      <c r="C110" s="582"/>
      <c r="D110" s="589"/>
      <c r="E110" s="589"/>
      <c r="F110" s="589"/>
      <c r="G110" s="589"/>
      <c r="H110" s="589"/>
      <c r="I110" s="603"/>
      <c r="J110" s="603"/>
      <c r="K110" s="603"/>
      <c r="L110" s="603"/>
    </row>
    <row r="111" spans="2:12" ht="12.75" hidden="1" customHeight="1" x14ac:dyDescent="0.25">
      <c r="B111" s="582"/>
      <c r="C111" s="582"/>
      <c r="D111" s="61"/>
      <c r="E111" s="62"/>
      <c r="F111" s="62"/>
      <c r="G111" s="62"/>
      <c r="H111" s="63"/>
      <c r="I111" s="603"/>
      <c r="J111" s="603"/>
      <c r="K111" s="603"/>
      <c r="L111" s="603"/>
    </row>
    <row r="115" spans="2:12" ht="26.25" customHeight="1" x14ac:dyDescent="0.25">
      <c r="B115" s="582" t="s">
        <v>147</v>
      </c>
      <c r="C115" s="582"/>
      <c r="D115" s="598" t="s">
        <v>148</v>
      </c>
      <c r="E115" s="598"/>
      <c r="F115" s="598"/>
      <c r="G115" s="598"/>
      <c r="H115" s="598"/>
      <c r="I115" s="598"/>
      <c r="J115" s="598"/>
      <c r="K115" s="598"/>
      <c r="L115" s="598"/>
    </row>
    <row r="116" spans="2:12" ht="78.75" customHeight="1" x14ac:dyDescent="0.25">
      <c r="B116" s="582"/>
      <c r="C116" s="582"/>
      <c r="D116" s="598"/>
      <c r="E116" s="598"/>
      <c r="F116" s="598"/>
      <c r="G116" s="598"/>
      <c r="H116" s="598"/>
      <c r="I116" s="598"/>
      <c r="J116" s="598"/>
      <c r="K116" s="598"/>
      <c r="L116" s="598"/>
    </row>
    <row r="117" spans="2:12" ht="26.25" customHeight="1" x14ac:dyDescent="0.25">
      <c r="B117" s="582"/>
      <c r="C117" s="582"/>
      <c r="D117" s="20"/>
      <c r="E117" s="16"/>
      <c r="F117" s="16"/>
      <c r="G117" s="15"/>
      <c r="H117" s="15"/>
      <c r="I117" s="69" t="s">
        <v>149</v>
      </c>
      <c r="J117" s="602" t="s">
        <v>150</v>
      </c>
      <c r="K117" s="602"/>
      <c r="L117" s="22"/>
    </row>
    <row r="118" spans="2:12" ht="26.25" customHeight="1" x14ac:dyDescent="0.25">
      <c r="B118" s="582"/>
      <c r="C118" s="582"/>
      <c r="D118" s="70"/>
      <c r="E118" s="41"/>
      <c r="F118" s="41"/>
      <c r="G118" s="42"/>
      <c r="H118" s="42"/>
      <c r="I118" s="42"/>
      <c r="J118" s="42"/>
      <c r="K118" s="42"/>
      <c r="L118" s="45"/>
    </row>
    <row r="119" spans="2:12" ht="13.5" customHeight="1" x14ac:dyDescent="0.25">
      <c r="B119" s="71"/>
      <c r="C119" s="71"/>
      <c r="D119" s="16"/>
      <c r="E119" s="16"/>
      <c r="F119" s="16"/>
      <c r="G119" s="15"/>
      <c r="H119" s="15"/>
      <c r="I119" s="15"/>
      <c r="J119" s="15"/>
      <c r="K119" s="15"/>
      <c r="L119" s="16"/>
    </row>
    <row r="120" spans="2:12" ht="13.5" customHeight="1" x14ac:dyDescent="0.25">
      <c r="B120" s="71"/>
      <c r="C120" s="71"/>
      <c r="D120" s="16"/>
      <c r="E120" s="16"/>
      <c r="F120" s="16"/>
      <c r="G120" s="15"/>
      <c r="H120" s="15"/>
      <c r="I120" s="15"/>
      <c r="J120" s="15"/>
      <c r="K120" s="15"/>
      <c r="L120" s="16"/>
    </row>
    <row r="121" spans="2:12" ht="13.5" customHeight="1" x14ac:dyDescent="0.25">
      <c r="B121" s="71"/>
      <c r="C121" s="71"/>
      <c r="D121" s="16"/>
      <c r="E121" s="16"/>
      <c r="F121" s="16"/>
      <c r="G121" s="15"/>
      <c r="H121" s="15"/>
      <c r="I121" s="15"/>
      <c r="J121" s="15"/>
      <c r="K121" s="15"/>
      <c r="L121" s="16"/>
    </row>
    <row r="122" spans="2:12" ht="13.5" customHeight="1" x14ac:dyDescent="0.25">
      <c r="B122" s="71"/>
      <c r="C122" s="71"/>
      <c r="D122" s="16"/>
      <c r="E122" s="16"/>
      <c r="F122" s="16"/>
      <c r="G122" s="15"/>
      <c r="H122" s="15"/>
      <c r="I122" s="15"/>
      <c r="J122" s="15"/>
      <c r="K122" s="15"/>
      <c r="L122" s="16"/>
    </row>
    <row r="123" spans="2:12" ht="13.5" customHeight="1" x14ac:dyDescent="0.25">
      <c r="B123" s="71"/>
      <c r="C123" s="71"/>
      <c r="D123" s="16"/>
      <c r="E123" s="16"/>
      <c r="F123" s="16"/>
      <c r="G123" s="15"/>
      <c r="H123" s="15"/>
      <c r="I123" s="15"/>
      <c r="J123" s="15"/>
      <c r="K123" s="15"/>
      <c r="L123" s="16"/>
    </row>
    <row r="124" spans="2:12" ht="13.5" customHeight="1" x14ac:dyDescent="0.25">
      <c r="B124" s="71"/>
      <c r="C124" s="71"/>
      <c r="D124" s="600" t="s">
        <v>151</v>
      </c>
      <c r="E124" s="600"/>
      <c r="F124" s="16"/>
      <c r="G124" s="15"/>
      <c r="H124" s="15"/>
      <c r="I124" s="600"/>
      <c r="J124" s="600"/>
      <c r="K124" s="15"/>
      <c r="L124" s="16"/>
    </row>
    <row r="125" spans="2:12" ht="13.5" customHeight="1" x14ac:dyDescent="0.25">
      <c r="B125" s="71"/>
      <c r="C125" s="71"/>
      <c r="D125" s="14"/>
      <c r="E125" s="14"/>
      <c r="F125" s="14"/>
      <c r="G125" s="15"/>
      <c r="H125" s="15"/>
      <c r="I125" s="601"/>
      <c r="J125" s="601"/>
      <c r="K125" s="15"/>
      <c r="L125" s="16"/>
    </row>
    <row r="126" spans="2:12" ht="13.5" customHeight="1" x14ac:dyDescent="0.25">
      <c r="B126" s="71"/>
      <c r="C126" s="71"/>
      <c r="D126" s="602"/>
      <c r="E126" s="602"/>
      <c r="F126" s="16"/>
      <c r="G126" s="15"/>
      <c r="H126" s="15"/>
      <c r="I126" s="15"/>
      <c r="J126" s="15"/>
      <c r="K126" s="15"/>
      <c r="L126" s="16"/>
    </row>
    <row r="127" spans="2:12" ht="13.5" customHeight="1" x14ac:dyDescent="0.25">
      <c r="B127" s="72"/>
      <c r="C127" s="73"/>
      <c r="D127" s="600" t="s">
        <v>152</v>
      </c>
      <c r="E127" s="600"/>
      <c r="F127" s="16"/>
      <c r="G127" s="15"/>
      <c r="H127" s="15"/>
      <c r="I127" s="600"/>
      <c r="J127" s="600"/>
      <c r="K127" s="15"/>
      <c r="L127" s="16"/>
    </row>
  </sheetData>
  <mergeCells count="122">
    <mergeCell ref="D124:E124"/>
    <mergeCell ref="I124:J124"/>
    <mergeCell ref="I125:J125"/>
    <mergeCell ref="D126:E126"/>
    <mergeCell ref="D127:E127"/>
    <mergeCell ref="I127:J127"/>
    <mergeCell ref="B108:C111"/>
    <mergeCell ref="D108:H108"/>
    <mergeCell ref="I108:L108"/>
    <mergeCell ref="D109:H109"/>
    <mergeCell ref="I109:L111"/>
    <mergeCell ref="D110:H110"/>
    <mergeCell ref="B115:C118"/>
    <mergeCell ref="D115:L116"/>
    <mergeCell ref="J117:K117"/>
    <mergeCell ref="D93:H93"/>
    <mergeCell ref="I93:L93"/>
    <mergeCell ref="D94:H94"/>
    <mergeCell ref="B96:C101"/>
    <mergeCell ref="D96:H96"/>
    <mergeCell ref="I96:L96"/>
    <mergeCell ref="D97:H101"/>
    <mergeCell ref="I97:L101"/>
    <mergeCell ref="B103:C106"/>
    <mergeCell ref="D103:H103"/>
    <mergeCell ref="I103:L103"/>
    <mergeCell ref="D104:H104"/>
    <mergeCell ref="I104:L106"/>
    <mergeCell ref="D105:H105"/>
    <mergeCell ref="F89:H89"/>
    <mergeCell ref="I89:L89"/>
    <mergeCell ref="D90:E90"/>
    <mergeCell ref="F90:H90"/>
    <mergeCell ref="I90:L90"/>
    <mergeCell ref="D91:H91"/>
    <mergeCell ref="I91:L91"/>
    <mergeCell ref="D92:H92"/>
    <mergeCell ref="I92:L92"/>
    <mergeCell ref="D79:H79"/>
    <mergeCell ref="I79:L79"/>
    <mergeCell ref="D80:H80"/>
    <mergeCell ref="I80:L80"/>
    <mergeCell ref="D81:H81"/>
    <mergeCell ref="B83:C94"/>
    <mergeCell ref="D83:E83"/>
    <mergeCell ref="F83:H83"/>
    <mergeCell ref="I83:L83"/>
    <mergeCell ref="D84:E84"/>
    <mergeCell ref="F84:H84"/>
    <mergeCell ref="I84:L84"/>
    <mergeCell ref="D85:E85"/>
    <mergeCell ref="F85:H85"/>
    <mergeCell ref="I85:L85"/>
    <mergeCell ref="F86:H86"/>
    <mergeCell ref="I86:L86"/>
    <mergeCell ref="D87:E87"/>
    <mergeCell ref="F87:H87"/>
    <mergeCell ref="I87:L87"/>
    <mergeCell ref="D88:E88"/>
    <mergeCell ref="F88:H88"/>
    <mergeCell ref="I88:L88"/>
    <mergeCell ref="D89:E89"/>
    <mergeCell ref="B71:C81"/>
    <mergeCell ref="D71:E71"/>
    <mergeCell ref="F71:H71"/>
    <mergeCell ref="I71:L71"/>
    <mergeCell ref="D72:E72"/>
    <mergeCell ref="F72:H72"/>
    <mergeCell ref="I72:L72"/>
    <mergeCell ref="D73:E73"/>
    <mergeCell ref="F73:H73"/>
    <mergeCell ref="I73:L73"/>
    <mergeCell ref="D74:E74"/>
    <mergeCell ref="F74:H74"/>
    <mergeCell ref="I74:L74"/>
    <mergeCell ref="D75:E75"/>
    <mergeCell ref="F75:H75"/>
    <mergeCell ref="I75:L75"/>
    <mergeCell ref="D76:E76"/>
    <mergeCell ref="F76:H76"/>
    <mergeCell ref="I76:L76"/>
    <mergeCell ref="D77:E77"/>
    <mergeCell ref="F77:H77"/>
    <mergeCell ref="I77:L77"/>
    <mergeCell ref="D78:H78"/>
    <mergeCell ref="I78:L78"/>
    <mergeCell ref="B40:C69"/>
    <mergeCell ref="D40:E41"/>
    <mergeCell ref="F40:F41"/>
    <mergeCell ref="G40:H41"/>
    <mergeCell ref="I40:I41"/>
    <mergeCell ref="J40:L41"/>
    <mergeCell ref="F42:G42"/>
    <mergeCell ref="J44:L44"/>
    <mergeCell ref="G45:H45"/>
    <mergeCell ref="D66:H66"/>
    <mergeCell ref="I66:L66"/>
    <mergeCell ref="D67:H67"/>
    <mergeCell ref="I67:L69"/>
    <mergeCell ref="B12:C38"/>
    <mergeCell ref="D12:E13"/>
    <mergeCell ref="F12:G13"/>
    <mergeCell ref="H12:H13"/>
    <mergeCell ref="I12:I13"/>
    <mergeCell ref="J12:K13"/>
    <mergeCell ref="L12:L13"/>
    <mergeCell ref="D14:H14"/>
    <mergeCell ref="I14:L14"/>
    <mergeCell ref="D15:H15"/>
    <mergeCell ref="I15:L15"/>
    <mergeCell ref="G17:I17"/>
    <mergeCell ref="G18:I18"/>
    <mergeCell ref="B2:L2"/>
    <mergeCell ref="B3:E4"/>
    <mergeCell ref="F3:L4"/>
    <mergeCell ref="B5:C10"/>
    <mergeCell ref="D5:E6"/>
    <mergeCell ref="F5:L6"/>
    <mergeCell ref="D7:E8"/>
    <mergeCell ref="F7:L8"/>
    <mergeCell ref="D9:E10"/>
    <mergeCell ref="F9:L10"/>
  </mergeCells>
  <printOptions horizontalCentered="1"/>
  <pageMargins left="0.70833333333333304" right="0.70833333333333304" top="0.5" bottom="0.31527777777777799"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M154"/>
  <sheetViews>
    <sheetView zoomScaleNormal="100" workbookViewId="0"/>
  </sheetViews>
  <sheetFormatPr baseColWidth="10" defaultColWidth="14.44140625" defaultRowHeight="13.2" x14ac:dyDescent="0.25"/>
  <cols>
    <col min="1" max="1" width="11.6640625" customWidth="1"/>
    <col min="2" max="2" width="3.33203125" customWidth="1"/>
    <col min="3" max="3" width="6.109375" customWidth="1"/>
    <col min="4" max="4" width="18.33203125" customWidth="1"/>
    <col min="5" max="5" width="29.33203125" customWidth="1"/>
    <col min="6" max="6" width="13.88671875" customWidth="1"/>
    <col min="7" max="9" width="18.88671875" customWidth="1"/>
    <col min="10" max="10" width="14.88671875" customWidth="1"/>
    <col min="11" max="11" width="13" customWidth="1"/>
    <col min="12" max="12" width="13.33203125" customWidth="1"/>
    <col min="13" max="13" width="3.33203125" customWidth="1"/>
    <col min="14" max="26" width="11.6640625" customWidth="1"/>
  </cols>
  <sheetData>
    <row r="5" spans="2:13" ht="31.5" customHeight="1" x14ac:dyDescent="0.25">
      <c r="B5" s="604" t="e">
        <f>#REF!</f>
        <v>#REF!</v>
      </c>
      <c r="C5" s="604"/>
      <c r="D5" s="604"/>
      <c r="E5" s="604"/>
      <c r="F5" s="604"/>
      <c r="G5" s="604"/>
      <c r="H5" s="604"/>
      <c r="I5" s="604"/>
      <c r="J5" s="604"/>
      <c r="K5" s="604"/>
      <c r="L5" s="604"/>
      <c r="M5" s="604"/>
    </row>
    <row r="6" spans="2:13" ht="12.75" customHeight="1" x14ac:dyDescent="0.25">
      <c r="B6" s="74"/>
      <c r="C6" s="75"/>
      <c r="D6" s="75"/>
      <c r="E6" s="75"/>
      <c r="F6" s="75"/>
      <c r="G6" s="76"/>
      <c r="H6" s="76"/>
      <c r="I6" s="76"/>
      <c r="J6" s="76"/>
      <c r="K6" s="76"/>
      <c r="L6" s="75"/>
      <c r="M6" s="77"/>
    </row>
    <row r="7" spans="2:13" ht="12.75" customHeight="1" x14ac:dyDescent="0.3">
      <c r="B7" s="605" t="e">
        <f>#N/A</f>
        <v>#N/A</v>
      </c>
      <c r="C7" s="605"/>
      <c r="D7" s="605"/>
      <c r="E7" s="605"/>
      <c r="F7" s="605"/>
      <c r="G7" s="605"/>
      <c r="H7" s="605"/>
      <c r="I7" s="605"/>
      <c r="J7" s="605"/>
      <c r="K7" s="605"/>
      <c r="L7" s="605"/>
      <c r="M7" s="605"/>
    </row>
    <row r="8" spans="2:13" ht="12.75" customHeight="1" x14ac:dyDescent="0.3">
      <c r="B8" s="78"/>
      <c r="C8" s="79"/>
      <c r="D8" s="80"/>
      <c r="E8" s="80"/>
      <c r="F8" s="80"/>
      <c r="G8" s="81"/>
      <c r="H8" s="81"/>
      <c r="I8" s="81"/>
      <c r="J8" s="81"/>
      <c r="K8" s="81"/>
      <c r="L8" s="82" t="e">
        <f>#N/A</f>
        <v>#N/A</v>
      </c>
      <c r="M8" s="83"/>
    </row>
    <row r="9" spans="2:13" ht="12.75" customHeight="1" x14ac:dyDescent="0.25">
      <c r="B9" s="84"/>
      <c r="C9" s="85"/>
      <c r="D9" s="85"/>
      <c r="E9" s="85"/>
      <c r="F9" s="85"/>
      <c r="G9" s="76"/>
      <c r="H9" s="76"/>
      <c r="I9" s="76"/>
      <c r="J9" s="76"/>
      <c r="K9" s="76"/>
      <c r="L9" s="85"/>
      <c r="M9" s="86"/>
    </row>
    <row r="10" spans="2:13" ht="12.75" customHeight="1" x14ac:dyDescent="0.3">
      <c r="B10" s="87"/>
      <c r="C10" s="88"/>
      <c r="D10" s="89" t="s">
        <v>153</v>
      </c>
      <c r="E10" s="90" t="e">
        <f>#N/A</f>
        <v>#N/A</v>
      </c>
      <c r="F10" s="88"/>
      <c r="G10" s="50"/>
      <c r="H10" s="50"/>
      <c r="I10" s="50"/>
      <c r="J10" s="50"/>
      <c r="K10" s="50"/>
      <c r="L10" s="88"/>
      <c r="M10" s="91"/>
    </row>
    <row r="11" spans="2:13" ht="12.75" customHeight="1" x14ac:dyDescent="0.25">
      <c r="B11" s="87"/>
      <c r="C11" s="88"/>
      <c r="D11" s="88"/>
      <c r="E11" s="88"/>
      <c r="F11" s="88"/>
      <c r="G11" s="50"/>
      <c r="H11" s="50"/>
      <c r="I11" s="50"/>
      <c r="J11" s="50"/>
      <c r="K11" s="50"/>
      <c r="L11" s="88"/>
      <c r="M11" s="91"/>
    </row>
    <row r="12" spans="2:13" ht="12.75" customHeight="1" x14ac:dyDescent="0.25">
      <c r="B12" s="87"/>
      <c r="C12" s="606" t="s">
        <v>154</v>
      </c>
      <c r="D12" s="92"/>
      <c r="E12" s="93"/>
      <c r="F12" s="93"/>
      <c r="G12" s="607" t="e">
        <f>+B7</f>
        <v>#N/A</v>
      </c>
      <c r="H12" s="607"/>
      <c r="I12" s="607"/>
      <c r="J12" s="94"/>
      <c r="K12" s="95"/>
      <c r="L12" s="96"/>
      <c r="M12" s="91"/>
    </row>
    <row r="13" spans="2:13" ht="12.75" customHeight="1" x14ac:dyDescent="0.25">
      <c r="B13" s="87"/>
      <c r="C13" s="606"/>
      <c r="D13" s="97"/>
      <c r="E13" s="88"/>
      <c r="F13" s="88"/>
      <c r="G13" s="607"/>
      <c r="H13" s="607"/>
      <c r="I13" s="607"/>
      <c r="J13" s="98"/>
      <c r="K13" s="50"/>
      <c r="L13" s="99"/>
      <c r="M13" s="91"/>
    </row>
    <row r="14" spans="2:13" ht="12.75" customHeight="1" x14ac:dyDescent="0.25">
      <c r="B14" s="87"/>
      <c r="C14" s="606"/>
      <c r="D14" s="97"/>
      <c r="E14" s="88"/>
      <c r="F14" s="88"/>
      <c r="G14" s="608" t="s">
        <v>70</v>
      </c>
      <c r="H14" s="608"/>
      <c r="I14" s="608"/>
      <c r="J14" s="98"/>
      <c r="K14" s="50" t="s">
        <v>71</v>
      </c>
      <c r="L14" s="99"/>
      <c r="M14" s="91"/>
    </row>
    <row r="15" spans="2:13" ht="22.5" customHeight="1" x14ac:dyDescent="0.25">
      <c r="B15" s="87"/>
      <c r="C15" s="606"/>
      <c r="D15" s="97"/>
      <c r="E15" s="88"/>
      <c r="F15" s="88"/>
      <c r="G15" s="608" t="s">
        <v>72</v>
      </c>
      <c r="H15" s="608"/>
      <c r="I15" s="608"/>
      <c r="J15" s="98"/>
      <c r="K15" s="50" t="s">
        <v>155</v>
      </c>
      <c r="L15" s="99"/>
      <c r="M15" s="91"/>
    </row>
    <row r="16" spans="2:13" ht="12.75" customHeight="1" x14ac:dyDescent="0.25">
      <c r="B16" s="87"/>
      <c r="C16" s="606"/>
      <c r="D16" s="97"/>
      <c r="E16" s="88"/>
      <c r="F16" s="88"/>
      <c r="G16" s="100" t="s">
        <v>75</v>
      </c>
      <c r="H16" s="100" t="s">
        <v>76</v>
      </c>
      <c r="I16" s="101" t="s">
        <v>77</v>
      </c>
      <c r="J16" s="98"/>
      <c r="K16" s="50"/>
      <c r="L16" s="99"/>
      <c r="M16" s="91"/>
    </row>
    <row r="17" spans="3:11" ht="12.75" customHeight="1" x14ac:dyDescent="0.25">
      <c r="C17" s="606"/>
      <c r="D17" s="97" t="s">
        <v>156</v>
      </c>
      <c r="E17" s="88" t="s">
        <v>78</v>
      </c>
      <c r="F17" s="88"/>
      <c r="G17" s="100">
        <v>0</v>
      </c>
      <c r="H17" s="100"/>
      <c r="I17" s="101">
        <f>+G17+H17</f>
        <v>0</v>
      </c>
      <c r="J17" s="98"/>
      <c r="K17" s="102">
        <v>0</v>
      </c>
    </row>
    <row r="18" spans="3:11" ht="12.75" customHeight="1" x14ac:dyDescent="0.25">
      <c r="C18" s="606"/>
      <c r="D18" s="97" t="s">
        <v>157</v>
      </c>
      <c r="E18" s="88" t="s">
        <v>79</v>
      </c>
      <c r="F18" s="88"/>
      <c r="G18" s="100">
        <v>0</v>
      </c>
      <c r="H18" s="100"/>
      <c r="I18" s="101">
        <f>+G18+H18</f>
        <v>0</v>
      </c>
      <c r="J18" s="98"/>
      <c r="K18" s="102">
        <v>0</v>
      </c>
    </row>
    <row r="19" spans="3:11" ht="12.75" customHeight="1" x14ac:dyDescent="0.25">
      <c r="C19" s="606"/>
      <c r="D19" s="97" t="s">
        <v>158</v>
      </c>
      <c r="E19" s="88" t="s">
        <v>80</v>
      </c>
      <c r="F19" s="88"/>
      <c r="G19" s="100">
        <v>48</v>
      </c>
      <c r="H19" s="100"/>
      <c r="I19" s="101">
        <f>+G19+H19</f>
        <v>48</v>
      </c>
      <c r="J19" s="98"/>
      <c r="K19" s="102">
        <v>3689</v>
      </c>
    </row>
    <row r="20" spans="3:11" ht="12.75" customHeight="1" x14ac:dyDescent="0.25">
      <c r="C20" s="606"/>
      <c r="D20" s="97"/>
      <c r="E20" s="88"/>
      <c r="F20" s="88"/>
      <c r="G20" s="100"/>
      <c r="H20" s="100"/>
      <c r="I20" s="101"/>
      <c r="J20" s="98"/>
      <c r="K20" s="50"/>
    </row>
    <row r="21" spans="3:11" ht="12.75" customHeight="1" x14ac:dyDescent="0.25">
      <c r="C21" s="606"/>
      <c r="D21" s="97" t="s">
        <v>81</v>
      </c>
      <c r="E21" s="88"/>
      <c r="F21" s="88"/>
      <c r="G21" s="100"/>
      <c r="H21" s="100">
        <v>11</v>
      </c>
      <c r="I21" s="101">
        <f>+G21+H21</f>
        <v>11</v>
      </c>
      <c r="J21" s="98"/>
      <c r="K21" s="50"/>
    </row>
    <row r="22" spans="3:11" ht="12.75" customHeight="1" x14ac:dyDescent="0.25">
      <c r="C22" s="606"/>
      <c r="D22" s="97" t="s">
        <v>82</v>
      </c>
      <c r="E22" s="88"/>
      <c r="F22" s="88"/>
      <c r="G22" s="100"/>
      <c r="H22" s="100">
        <v>4</v>
      </c>
      <c r="I22" s="101">
        <f>+G22+H22</f>
        <v>4</v>
      </c>
      <c r="J22" s="98"/>
      <c r="K22" s="50"/>
    </row>
    <row r="23" spans="3:11" ht="12.75" customHeight="1" x14ac:dyDescent="0.25">
      <c r="C23" s="606"/>
      <c r="D23" s="97" t="s">
        <v>83</v>
      </c>
      <c r="E23" s="88"/>
      <c r="F23" s="88"/>
      <c r="G23" s="100"/>
      <c r="H23" s="100">
        <v>27</v>
      </c>
      <c r="I23" s="101">
        <f>+G23+H23</f>
        <v>27</v>
      </c>
      <c r="J23" s="98"/>
      <c r="K23" s="50"/>
    </row>
    <row r="24" spans="3:11" ht="12.75" customHeight="1" x14ac:dyDescent="0.25">
      <c r="C24" s="606"/>
      <c r="D24" s="97" t="s">
        <v>84</v>
      </c>
      <c r="E24" s="88"/>
      <c r="F24" s="88"/>
      <c r="G24" s="100"/>
      <c r="H24" s="100">
        <v>219</v>
      </c>
      <c r="I24" s="101">
        <f>+G24+H24</f>
        <v>219</v>
      </c>
      <c r="J24" s="98"/>
      <c r="K24" s="50"/>
    </row>
    <row r="25" spans="3:11" ht="12.75" customHeight="1" x14ac:dyDescent="0.25">
      <c r="C25" s="606"/>
      <c r="D25" s="97"/>
      <c r="E25" s="88"/>
      <c r="F25" s="88"/>
      <c r="G25" s="100"/>
      <c r="H25" s="100"/>
      <c r="I25" s="101"/>
      <c r="J25" s="98"/>
      <c r="K25" s="50"/>
    </row>
    <row r="26" spans="3:11" ht="12.75" customHeight="1" x14ac:dyDescent="0.25">
      <c r="C26" s="606"/>
      <c r="D26" s="55" t="s">
        <v>86</v>
      </c>
      <c r="E26" s="104"/>
      <c r="F26" s="104"/>
      <c r="G26" s="105">
        <f>SUM(G17:G25)</f>
        <v>48</v>
      </c>
      <c r="H26" s="105">
        <f>SUM(H17:H25)</f>
        <v>261</v>
      </c>
      <c r="I26" s="105">
        <f>SUM(I17:I25)</f>
        <v>309</v>
      </c>
      <c r="J26" s="98"/>
      <c r="K26" s="106">
        <f>SUM(K17:K25)</f>
        <v>3689</v>
      </c>
    </row>
    <row r="27" spans="3:11" ht="12.75" customHeight="1" x14ac:dyDescent="0.25">
      <c r="C27" s="606"/>
      <c r="D27" s="97" t="s">
        <v>1</v>
      </c>
      <c r="E27" s="88"/>
      <c r="F27" s="88"/>
      <c r="G27" s="107">
        <f>+G26/I26</f>
        <v>0.1553398058252427</v>
      </c>
      <c r="H27" s="107">
        <f>+H26/I26</f>
        <v>0.84466019417475724</v>
      </c>
      <c r="I27" s="107">
        <f>+I26/I26</f>
        <v>1</v>
      </c>
      <c r="J27" s="98"/>
      <c r="K27" s="50"/>
    </row>
    <row r="28" spans="3:11" ht="12.75" customHeight="1" x14ac:dyDescent="0.25">
      <c r="C28" s="606"/>
      <c r="D28" s="97"/>
      <c r="E28" s="88"/>
      <c r="F28" s="88"/>
      <c r="G28" s="100"/>
      <c r="H28" s="100"/>
      <c r="I28" s="100"/>
      <c r="J28" s="98"/>
      <c r="K28" s="50"/>
    </row>
    <row r="29" spans="3:11" ht="12.75" hidden="1" customHeight="1" x14ac:dyDescent="0.25">
      <c r="C29" s="606"/>
      <c r="D29" s="97"/>
      <c r="E29" s="88"/>
      <c r="F29" s="88"/>
      <c r="G29" s="100"/>
      <c r="H29" s="100"/>
      <c r="I29" s="100"/>
      <c r="J29" s="98"/>
      <c r="K29" s="50"/>
    </row>
    <row r="30" spans="3:11" ht="12.75" hidden="1" customHeight="1" x14ac:dyDescent="0.25">
      <c r="C30" s="606"/>
      <c r="D30" s="97"/>
      <c r="E30" s="88"/>
      <c r="F30" s="88"/>
      <c r="G30" s="108"/>
      <c r="H30" s="108"/>
      <c r="I30" s="108"/>
      <c r="J30" s="98"/>
      <c r="K30" s="50"/>
    </row>
    <row r="31" spans="3:11" ht="12.75" hidden="1" customHeight="1" x14ac:dyDescent="0.25">
      <c r="C31" s="606"/>
      <c r="D31" s="97"/>
      <c r="E31" s="88"/>
      <c r="F31" s="88"/>
      <c r="G31" s="108"/>
      <c r="H31" s="108"/>
      <c r="I31" s="108"/>
      <c r="J31" s="98"/>
      <c r="K31" s="50"/>
    </row>
    <row r="32" spans="3:11" ht="12.75" hidden="1" customHeight="1" x14ac:dyDescent="0.25">
      <c r="C32" s="606"/>
      <c r="D32" s="55" t="s">
        <v>159</v>
      </c>
      <c r="E32" s="104"/>
      <c r="F32" s="104"/>
      <c r="G32" s="109"/>
      <c r="H32" s="109"/>
      <c r="I32" s="109"/>
      <c r="J32" s="109"/>
      <c r="K32" s="109"/>
    </row>
    <row r="33" spans="3:7" ht="12.75" hidden="1" customHeight="1" x14ac:dyDescent="0.25">
      <c r="C33" s="606"/>
      <c r="D33" s="97"/>
      <c r="E33" s="88"/>
      <c r="F33" s="88"/>
      <c r="G33" s="51"/>
    </row>
    <row r="34" spans="3:7" ht="12.75" hidden="1" customHeight="1" x14ac:dyDescent="0.25">
      <c r="C34" s="606"/>
      <c r="D34" s="97" t="s">
        <v>156</v>
      </c>
      <c r="E34" s="88" t="s">
        <v>78</v>
      </c>
      <c r="F34" s="88"/>
      <c r="G34" s="51">
        <v>0</v>
      </c>
    </row>
    <row r="35" spans="3:7" ht="12.75" hidden="1" customHeight="1" x14ac:dyDescent="0.25">
      <c r="C35" s="606"/>
      <c r="D35" s="97" t="s">
        <v>157</v>
      </c>
      <c r="E35" s="88" t="s">
        <v>79</v>
      </c>
      <c r="F35" s="88"/>
      <c r="G35" s="51">
        <v>22</v>
      </c>
    </row>
    <row r="36" spans="3:7" ht="12.75" hidden="1" customHeight="1" x14ac:dyDescent="0.25">
      <c r="C36" s="606"/>
      <c r="D36" s="97" t="s">
        <v>158</v>
      </c>
      <c r="E36" s="88" t="s">
        <v>80</v>
      </c>
      <c r="F36" s="88"/>
      <c r="G36" s="51">
        <v>90</v>
      </c>
    </row>
    <row r="37" spans="3:7" ht="12.75" hidden="1" customHeight="1" x14ac:dyDescent="0.25">
      <c r="C37" s="606"/>
      <c r="D37" s="97"/>
      <c r="E37" s="88"/>
      <c r="F37" s="88"/>
      <c r="G37" s="51"/>
    </row>
    <row r="38" spans="3:7" ht="12.75" hidden="1" customHeight="1" x14ac:dyDescent="0.25">
      <c r="C38" s="606"/>
      <c r="D38" s="55" t="s">
        <v>77</v>
      </c>
      <c r="E38" s="88"/>
      <c r="F38" s="88"/>
      <c r="G38" s="110">
        <f>SUM(G34:G36)</f>
        <v>112</v>
      </c>
    </row>
    <row r="39" spans="3:7" ht="12.75" hidden="1" customHeight="1" x14ac:dyDescent="0.25">
      <c r="C39" s="606"/>
      <c r="D39" s="55"/>
      <c r="E39" s="88"/>
      <c r="F39" s="88"/>
      <c r="G39" s="109"/>
    </row>
    <row r="40" spans="3:7" ht="12.75" hidden="1" customHeight="1" x14ac:dyDescent="0.25">
      <c r="C40" s="606"/>
      <c r="D40" s="97"/>
      <c r="E40" s="88"/>
      <c r="F40" s="88"/>
      <c r="G40" s="51"/>
    </row>
    <row r="41" spans="3:7" ht="12.75" hidden="1" customHeight="1" x14ac:dyDescent="0.25">
      <c r="C41" s="606"/>
      <c r="D41" s="55" t="s">
        <v>160</v>
      </c>
      <c r="E41" s="104"/>
      <c r="F41" s="104"/>
      <c r="G41" s="109">
        <f>+G38+G49</f>
        <v>200</v>
      </c>
    </row>
    <row r="42" spans="3:7" ht="12.75" hidden="1" customHeight="1" x14ac:dyDescent="0.25">
      <c r="C42" s="606"/>
      <c r="D42" s="97"/>
      <c r="E42" s="88"/>
      <c r="F42" s="88"/>
      <c r="G42" s="51"/>
    </row>
    <row r="43" spans="3:7" ht="12.75" hidden="1" customHeight="1" x14ac:dyDescent="0.25">
      <c r="C43" s="606"/>
      <c r="D43" s="97"/>
      <c r="E43" s="88"/>
      <c r="F43" s="88"/>
      <c r="G43" s="51"/>
    </row>
    <row r="44" spans="3:7" ht="12.75" hidden="1" customHeight="1" x14ac:dyDescent="0.25">
      <c r="C44" s="606"/>
      <c r="D44" s="97" t="s">
        <v>81</v>
      </c>
      <c r="E44" s="88"/>
      <c r="F44" s="88"/>
      <c r="G44" s="51">
        <v>10</v>
      </c>
    </row>
    <row r="45" spans="3:7" ht="12.75" hidden="1" customHeight="1" x14ac:dyDescent="0.25">
      <c r="C45" s="606"/>
      <c r="D45" s="97" t="s">
        <v>82</v>
      </c>
      <c r="E45" s="88"/>
      <c r="F45" s="88"/>
      <c r="G45" s="51">
        <v>0</v>
      </c>
    </row>
    <row r="46" spans="3:7" ht="12.75" hidden="1" customHeight="1" x14ac:dyDescent="0.25">
      <c r="C46" s="606"/>
      <c r="D46" s="97" t="s">
        <v>83</v>
      </c>
      <c r="E46" s="88"/>
      <c r="F46" s="88"/>
      <c r="G46" s="51">
        <v>0</v>
      </c>
    </row>
    <row r="47" spans="3:7" ht="12.75" hidden="1" customHeight="1" x14ac:dyDescent="0.25">
      <c r="C47" s="606"/>
      <c r="D47" s="97" t="s">
        <v>84</v>
      </c>
      <c r="E47" s="88"/>
      <c r="F47" s="88"/>
      <c r="G47" s="51">
        <v>78</v>
      </c>
    </row>
    <row r="48" spans="3:7" ht="12.75" hidden="1" customHeight="1" x14ac:dyDescent="0.25">
      <c r="C48" s="606"/>
      <c r="D48" s="97"/>
      <c r="E48" s="88"/>
      <c r="F48" s="88"/>
      <c r="G48" s="51"/>
    </row>
    <row r="49" spans="3:10" ht="12.75" hidden="1" customHeight="1" x14ac:dyDescent="0.25">
      <c r="C49" s="606"/>
      <c r="D49" s="55" t="s">
        <v>161</v>
      </c>
      <c r="E49" s="104"/>
      <c r="F49" s="104"/>
      <c r="G49" s="109">
        <f>SUM(G44:G48)</f>
        <v>88</v>
      </c>
      <c r="H49" s="109"/>
      <c r="I49" s="109"/>
      <c r="J49" s="109"/>
    </row>
    <row r="50" spans="3:10" ht="12.75" hidden="1" customHeight="1" x14ac:dyDescent="0.25">
      <c r="C50" s="606"/>
      <c r="D50" s="55" t="s">
        <v>1</v>
      </c>
      <c r="E50" s="104"/>
      <c r="F50" s="104"/>
      <c r="G50" s="111">
        <f>+G49/G41</f>
        <v>0.44</v>
      </c>
      <c r="H50" s="111"/>
      <c r="I50" s="111"/>
      <c r="J50" s="111"/>
    </row>
    <row r="51" spans="3:10" ht="12.75" hidden="1" customHeight="1" x14ac:dyDescent="0.25">
      <c r="C51" s="606"/>
      <c r="D51" s="55"/>
      <c r="E51" s="104"/>
      <c r="F51" s="104"/>
      <c r="G51" s="109"/>
      <c r="H51" s="109"/>
      <c r="I51" s="109"/>
      <c r="J51" s="109"/>
    </row>
    <row r="52" spans="3:10" ht="12.75" hidden="1" customHeight="1" x14ac:dyDescent="0.25">
      <c r="C52" s="606"/>
      <c r="D52" s="97"/>
      <c r="E52" s="88"/>
      <c r="F52" s="88"/>
      <c r="G52" s="51"/>
      <c r="H52" s="51"/>
      <c r="I52" s="51"/>
      <c r="J52" s="51"/>
    </row>
    <row r="53" spans="3:10" ht="12.75" hidden="1" customHeight="1" x14ac:dyDescent="0.25">
      <c r="C53" s="606"/>
      <c r="D53" s="55" t="s">
        <v>162</v>
      </c>
      <c r="E53" s="88"/>
      <c r="F53" s="88"/>
      <c r="G53" s="51"/>
      <c r="H53" s="51"/>
      <c r="I53" s="51"/>
      <c r="J53" s="112" t="s">
        <v>71</v>
      </c>
    </row>
    <row r="54" spans="3:10" ht="12.75" hidden="1" customHeight="1" x14ac:dyDescent="0.25">
      <c r="C54" s="606"/>
      <c r="D54" s="97"/>
      <c r="E54" s="88"/>
      <c r="F54" s="88"/>
      <c r="G54" s="114" t="s">
        <v>155</v>
      </c>
      <c r="H54" s="114"/>
      <c r="I54" s="114"/>
      <c r="J54" s="114"/>
    </row>
    <row r="55" spans="3:10" ht="12.75" hidden="1" customHeight="1" x14ac:dyDescent="0.25">
      <c r="C55" s="606"/>
      <c r="D55" s="97"/>
      <c r="E55" s="88"/>
      <c r="F55" s="88"/>
      <c r="G55" s="51"/>
      <c r="H55" s="51"/>
      <c r="I55" s="51"/>
      <c r="J55" s="51"/>
    </row>
    <row r="56" spans="3:10" ht="12.75" hidden="1" customHeight="1" x14ac:dyDescent="0.25">
      <c r="C56" s="606"/>
      <c r="D56" s="97" t="s">
        <v>156</v>
      </c>
      <c r="E56" s="88" t="s">
        <v>78</v>
      </c>
      <c r="F56" s="88"/>
      <c r="G56" s="102">
        <v>0</v>
      </c>
      <c r="H56" s="102"/>
      <c r="I56" s="102"/>
      <c r="J56" s="102"/>
    </row>
    <row r="57" spans="3:10" ht="12.75" hidden="1" customHeight="1" x14ac:dyDescent="0.25">
      <c r="C57" s="606"/>
      <c r="D57" s="97" t="s">
        <v>157</v>
      </c>
      <c r="E57" s="88" t="s">
        <v>79</v>
      </c>
      <c r="F57" s="88"/>
      <c r="G57" s="102">
        <v>10128</v>
      </c>
      <c r="H57" s="102"/>
      <c r="I57" s="102"/>
      <c r="J57" s="102"/>
    </row>
    <row r="58" spans="3:10" ht="12.75" hidden="1" customHeight="1" x14ac:dyDescent="0.25">
      <c r="C58" s="606"/>
      <c r="D58" s="97" t="s">
        <v>158</v>
      </c>
      <c r="E58" s="88" t="s">
        <v>80</v>
      </c>
      <c r="F58" s="88"/>
      <c r="G58" s="102">
        <v>6486</v>
      </c>
      <c r="H58" s="102"/>
      <c r="I58" s="102"/>
      <c r="J58" s="102"/>
    </row>
    <row r="59" spans="3:10" ht="12.75" hidden="1" customHeight="1" x14ac:dyDescent="0.25">
      <c r="C59" s="606"/>
      <c r="D59" s="97"/>
      <c r="E59" s="88"/>
      <c r="F59" s="88"/>
      <c r="G59" s="102"/>
      <c r="H59" s="102"/>
      <c r="I59" s="102"/>
      <c r="J59" s="102"/>
    </row>
    <row r="60" spans="3:10" ht="12.75" hidden="1" customHeight="1" x14ac:dyDescent="0.25">
      <c r="C60" s="606"/>
      <c r="D60" s="97"/>
      <c r="E60" s="88"/>
      <c r="F60" s="88"/>
      <c r="G60" s="102"/>
      <c r="H60" s="102"/>
      <c r="I60" s="102"/>
      <c r="J60" s="102"/>
    </row>
    <row r="61" spans="3:10" ht="12.75" hidden="1" customHeight="1" x14ac:dyDescent="0.25">
      <c r="C61" s="606"/>
      <c r="D61" s="55" t="s">
        <v>77</v>
      </c>
      <c r="E61" s="104"/>
      <c r="F61" s="104"/>
      <c r="G61" s="115">
        <f>SUM(G56:G58)</f>
        <v>16614</v>
      </c>
      <c r="H61" s="115"/>
      <c r="I61" s="115"/>
      <c r="J61" s="115"/>
    </row>
    <row r="62" spans="3:10" ht="12.75" hidden="1" customHeight="1" x14ac:dyDescent="0.25">
      <c r="C62" s="606"/>
      <c r="D62" s="97"/>
      <c r="E62" s="88"/>
      <c r="F62" s="88"/>
      <c r="G62" s="50"/>
      <c r="H62" s="50"/>
      <c r="I62" s="50"/>
      <c r="J62" s="50"/>
    </row>
    <row r="63" spans="3:10" ht="12.75" customHeight="1" x14ac:dyDescent="0.25">
      <c r="C63" s="606"/>
      <c r="D63" s="97"/>
      <c r="E63" s="88"/>
      <c r="F63" s="88"/>
      <c r="G63" s="50"/>
      <c r="H63" s="50"/>
      <c r="I63" s="50"/>
      <c r="J63" s="50"/>
    </row>
    <row r="64" spans="3:10" ht="12.75" customHeight="1" x14ac:dyDescent="0.25">
      <c r="C64" s="606"/>
      <c r="D64" s="55" t="s">
        <v>88</v>
      </c>
      <c r="E64" s="88"/>
      <c r="F64" s="88"/>
      <c r="G64" s="116">
        <v>159.6</v>
      </c>
      <c r="H64" s="116"/>
      <c r="I64" s="116"/>
      <c r="J64" s="51"/>
    </row>
    <row r="65" spans="3:12" ht="12.75" customHeight="1" x14ac:dyDescent="0.25">
      <c r="C65" s="606"/>
      <c r="D65" s="55"/>
      <c r="E65" s="88"/>
      <c r="F65" s="88"/>
      <c r="G65" s="116"/>
      <c r="H65" s="116"/>
      <c r="I65" s="116"/>
      <c r="J65" s="51"/>
      <c r="K65" s="50"/>
      <c r="L65" s="99"/>
    </row>
    <row r="66" spans="3:12" ht="12.75" customHeight="1" x14ac:dyDescent="0.25">
      <c r="C66" s="606"/>
      <c r="D66" s="55" t="s">
        <v>91</v>
      </c>
      <c r="E66" s="88"/>
      <c r="F66" s="88"/>
      <c r="G66" s="116">
        <f>+G64/G26</f>
        <v>3.3249999999999997</v>
      </c>
      <c r="H66" s="116"/>
      <c r="I66" s="116"/>
      <c r="J66" s="51"/>
      <c r="K66" s="50"/>
      <c r="L66" s="99"/>
    </row>
    <row r="67" spans="3:12" ht="12.75" customHeight="1" x14ac:dyDescent="0.25">
      <c r="C67" s="606"/>
      <c r="D67" s="97"/>
      <c r="E67" s="88"/>
      <c r="F67" s="88"/>
      <c r="G67" s="50"/>
      <c r="H67" s="50"/>
      <c r="I67" s="117" t="s">
        <v>163</v>
      </c>
      <c r="J67" s="609" t="s">
        <v>164</v>
      </c>
      <c r="K67" s="609"/>
      <c r="L67" s="99"/>
    </row>
    <row r="68" spans="3:12" ht="12.75" customHeight="1" x14ac:dyDescent="0.25">
      <c r="C68" s="606"/>
      <c r="D68" s="118"/>
      <c r="E68" s="119"/>
      <c r="F68" s="119"/>
      <c r="G68" s="120"/>
      <c r="H68" s="121"/>
      <c r="I68" s="121"/>
      <c r="J68" s="122"/>
      <c r="K68" s="120"/>
      <c r="L68" s="123"/>
    </row>
    <row r="69" spans="3:12" ht="12.75" customHeight="1" x14ac:dyDescent="0.25">
      <c r="C69" s="88"/>
      <c r="D69" s="88"/>
      <c r="E69" s="88"/>
      <c r="F69" s="88"/>
      <c r="G69" s="50"/>
      <c r="H69" s="50"/>
      <c r="I69" s="50"/>
      <c r="J69" s="50"/>
      <c r="K69" s="50"/>
      <c r="L69" s="88"/>
    </row>
    <row r="70" spans="3:12" ht="12.75" customHeight="1" x14ac:dyDescent="0.25">
      <c r="C70" s="88"/>
      <c r="D70" s="88"/>
      <c r="E70" s="88"/>
      <c r="F70" s="88"/>
      <c r="G70" s="50"/>
      <c r="H70" s="50"/>
      <c r="I70" s="50"/>
      <c r="J70" s="50"/>
      <c r="K70" s="50"/>
      <c r="L70" s="88"/>
    </row>
    <row r="71" spans="3:12" ht="12.75" customHeight="1" x14ac:dyDescent="0.4">
      <c r="C71" s="610" t="s">
        <v>165</v>
      </c>
      <c r="D71" s="124" t="s">
        <v>166</v>
      </c>
      <c r="E71" s="93"/>
      <c r="F71" s="93"/>
      <c r="G71" s="125"/>
      <c r="H71" s="125"/>
      <c r="I71" s="125"/>
      <c r="J71" s="125"/>
      <c r="K71" s="125"/>
      <c r="L71" s="96"/>
    </row>
    <row r="72" spans="3:12" ht="12.75" customHeight="1" x14ac:dyDescent="0.25">
      <c r="C72" s="610"/>
      <c r="D72" s="55" t="s">
        <v>89</v>
      </c>
      <c r="E72" s="88"/>
      <c r="F72" s="88"/>
      <c r="G72" s="50"/>
      <c r="H72" s="50"/>
      <c r="I72" s="50"/>
      <c r="J72" s="50"/>
      <c r="K72" s="50"/>
      <c r="L72" s="99"/>
    </row>
    <row r="73" spans="3:12" ht="12.75" customHeight="1" x14ac:dyDescent="0.25">
      <c r="C73" s="610"/>
      <c r="D73" s="55" t="s">
        <v>90</v>
      </c>
      <c r="E73" s="88"/>
      <c r="F73" s="88"/>
      <c r="G73" s="126">
        <v>44.262</v>
      </c>
      <c r="H73" s="116"/>
      <c r="I73" s="116"/>
      <c r="J73" s="50"/>
      <c r="K73" s="50"/>
      <c r="L73" s="99"/>
    </row>
    <row r="74" spans="3:12" ht="12.75" customHeight="1" x14ac:dyDescent="0.25">
      <c r="C74" s="610"/>
      <c r="D74" s="97" t="s">
        <v>1</v>
      </c>
      <c r="E74" s="88"/>
      <c r="F74" s="88"/>
      <c r="G74" s="127">
        <f>+G73/K26</f>
        <v>1.1998373542965573E-2</v>
      </c>
      <c r="H74" s="127"/>
      <c r="I74" s="127"/>
      <c r="J74" s="50"/>
      <c r="K74" s="50"/>
      <c r="L74" s="99"/>
    </row>
    <row r="75" spans="3:12" ht="12.75" customHeight="1" x14ac:dyDescent="0.25">
      <c r="C75" s="610"/>
      <c r="D75" s="97"/>
      <c r="E75" s="88"/>
      <c r="F75" s="88"/>
      <c r="G75" s="127"/>
      <c r="H75" s="127"/>
      <c r="I75" s="127"/>
      <c r="J75" s="50"/>
      <c r="K75" s="50"/>
      <c r="L75" s="99"/>
    </row>
    <row r="76" spans="3:12" ht="12.75" customHeight="1" x14ac:dyDescent="0.25">
      <c r="C76" s="610"/>
      <c r="D76" s="97"/>
      <c r="E76" s="88"/>
      <c r="F76" s="88"/>
      <c r="G76" s="127"/>
      <c r="H76" s="127"/>
      <c r="I76" s="127"/>
      <c r="J76" s="50"/>
      <c r="K76" s="50"/>
      <c r="L76" s="99"/>
    </row>
    <row r="77" spans="3:12" ht="12.75" customHeight="1" x14ac:dyDescent="0.4">
      <c r="C77" s="610"/>
      <c r="D77" s="128" t="s">
        <v>167</v>
      </c>
      <c r="E77" s="88"/>
      <c r="F77" s="88"/>
      <c r="G77" s="127"/>
      <c r="H77" s="127"/>
      <c r="I77" s="127"/>
      <c r="J77" s="50"/>
      <c r="K77" s="50"/>
      <c r="L77" s="99"/>
    </row>
    <row r="78" spans="3:12" ht="11.25" customHeight="1" x14ac:dyDescent="0.4">
      <c r="C78" s="610"/>
      <c r="D78" s="128"/>
      <c r="E78" s="88"/>
      <c r="F78" s="88"/>
      <c r="G78" s="127"/>
      <c r="H78" s="127"/>
      <c r="I78" s="127"/>
      <c r="J78" s="50"/>
      <c r="K78" s="50"/>
      <c r="L78" s="99"/>
    </row>
    <row r="79" spans="3:12" ht="12.75" customHeight="1" x14ac:dyDescent="0.25">
      <c r="C79" s="610"/>
      <c r="D79" s="97" t="s">
        <v>168</v>
      </c>
      <c r="E79" s="88"/>
      <c r="F79" s="129" t="e">
        <f>#N/A</f>
        <v>#N/A</v>
      </c>
      <c r="G79" s="127"/>
      <c r="H79" s="127"/>
      <c r="I79" s="127"/>
      <c r="J79" s="50"/>
      <c r="K79" s="50"/>
      <c r="L79" s="99"/>
    </row>
    <row r="80" spans="3:12" ht="12.75" customHeight="1" x14ac:dyDescent="0.25">
      <c r="C80" s="610"/>
      <c r="D80" s="97"/>
      <c r="E80" s="88"/>
      <c r="F80" s="88"/>
      <c r="G80" s="127"/>
      <c r="H80" s="127"/>
      <c r="I80" s="127"/>
      <c r="J80" s="50"/>
      <c r="K80" s="50"/>
      <c r="L80" s="99"/>
    </row>
    <row r="81" spans="3:12" ht="12.75" customHeight="1" x14ac:dyDescent="0.25">
      <c r="C81" s="610"/>
      <c r="D81" s="97" t="s">
        <v>169</v>
      </c>
      <c r="E81" s="88"/>
      <c r="F81" s="88"/>
      <c r="G81" s="127"/>
      <c r="H81" s="127"/>
      <c r="I81" s="127"/>
      <c r="J81" s="50"/>
      <c r="K81" s="50"/>
      <c r="L81" s="99"/>
    </row>
    <row r="82" spans="3:12" ht="12.75" customHeight="1" x14ac:dyDescent="0.25">
      <c r="C82" s="610"/>
      <c r="D82" s="97" t="s">
        <v>96</v>
      </c>
      <c r="E82" s="88" t="s">
        <v>97</v>
      </c>
      <c r="F82" s="130" t="s">
        <v>98</v>
      </c>
      <c r="G82" s="130" t="s">
        <v>99</v>
      </c>
      <c r="H82" s="130" t="s">
        <v>170</v>
      </c>
      <c r="I82" s="50" t="s">
        <v>101</v>
      </c>
      <c r="J82" s="50" t="s">
        <v>74</v>
      </c>
      <c r="K82" s="112" t="s">
        <v>74</v>
      </c>
      <c r="L82" s="131" t="s">
        <v>74</v>
      </c>
    </row>
    <row r="83" spans="3:12" ht="12.75" customHeight="1" x14ac:dyDescent="0.25">
      <c r="C83" s="610"/>
      <c r="D83" s="97"/>
      <c r="E83" s="88"/>
      <c r="F83" s="130" t="s">
        <v>102</v>
      </c>
      <c r="G83" s="130" t="s">
        <v>103</v>
      </c>
      <c r="H83" s="130" t="s">
        <v>103</v>
      </c>
      <c r="I83" s="50" t="s">
        <v>104</v>
      </c>
      <c r="J83" s="50" t="s">
        <v>105</v>
      </c>
      <c r="K83" s="112" t="s">
        <v>106</v>
      </c>
      <c r="L83" s="131" t="s">
        <v>107</v>
      </c>
    </row>
    <row r="84" spans="3:12" ht="12.75" customHeight="1" x14ac:dyDescent="0.25">
      <c r="C84" s="610"/>
      <c r="D84" s="97"/>
      <c r="E84" s="88"/>
      <c r="F84" s="127"/>
      <c r="G84" s="127"/>
      <c r="H84" s="127"/>
      <c r="I84" s="50"/>
      <c r="J84" s="50"/>
      <c r="K84" s="50"/>
      <c r="L84" s="132"/>
    </row>
    <row r="85" spans="3:12" ht="12.75" customHeight="1" x14ac:dyDescent="0.25">
      <c r="C85" s="610"/>
      <c r="D85" s="97" t="s">
        <v>171</v>
      </c>
      <c r="E85" s="88"/>
      <c r="F85" s="50">
        <v>59</v>
      </c>
      <c r="G85" s="50">
        <v>1</v>
      </c>
      <c r="H85" s="50">
        <v>1</v>
      </c>
      <c r="I85" s="51" t="s">
        <v>172</v>
      </c>
      <c r="J85" s="51">
        <f>181135-173730</f>
        <v>7405</v>
      </c>
      <c r="K85" s="51">
        <f>89031-85483</f>
        <v>3548</v>
      </c>
      <c r="L85" s="52">
        <v>0</v>
      </c>
    </row>
    <row r="86" spans="3:12" ht="12.75" customHeight="1" x14ac:dyDescent="0.25">
      <c r="C86" s="610"/>
      <c r="D86" s="97" t="s">
        <v>173</v>
      </c>
      <c r="E86" s="88"/>
      <c r="F86" s="50">
        <v>6</v>
      </c>
      <c r="G86" s="50">
        <v>1</v>
      </c>
      <c r="H86" s="50">
        <v>6</v>
      </c>
      <c r="I86" s="51" t="s">
        <v>174</v>
      </c>
      <c r="J86" s="51">
        <v>0</v>
      </c>
      <c r="K86" s="51">
        <v>0</v>
      </c>
      <c r="L86" s="52">
        <v>24</v>
      </c>
    </row>
    <row r="87" spans="3:12" ht="12.75" customHeight="1" x14ac:dyDescent="0.25">
      <c r="C87" s="610"/>
      <c r="D87" s="97" t="s">
        <v>175</v>
      </c>
      <c r="E87" s="88"/>
      <c r="F87" s="50">
        <v>16</v>
      </c>
      <c r="G87" s="50">
        <v>1</v>
      </c>
      <c r="H87" s="50">
        <v>1</v>
      </c>
      <c r="I87" s="51" t="s">
        <v>174</v>
      </c>
      <c r="J87" s="51">
        <f>585+585+604+604+604+1529+1545+1545+1545+2507+2507+2507+1656+1119+5432+5486</f>
        <v>30360</v>
      </c>
      <c r="K87" s="51">
        <f>3670+3622+564+833+1079+1016+1016+626+626+626+620+231+231+231+224+224</f>
        <v>15439</v>
      </c>
      <c r="L87" s="52">
        <v>0</v>
      </c>
    </row>
    <row r="88" spans="3:12" ht="12.75" customHeight="1" x14ac:dyDescent="0.25">
      <c r="C88" s="610"/>
      <c r="D88" s="97" t="s">
        <v>176</v>
      </c>
      <c r="E88" s="88"/>
      <c r="F88" s="50">
        <v>1</v>
      </c>
      <c r="G88" s="50">
        <v>1</v>
      </c>
      <c r="H88" s="50">
        <v>1</v>
      </c>
      <c r="I88" s="51" t="s">
        <v>177</v>
      </c>
      <c r="J88" s="51">
        <v>123370</v>
      </c>
      <c r="K88" s="51">
        <v>70034</v>
      </c>
      <c r="L88" s="52">
        <v>0</v>
      </c>
    </row>
    <row r="89" spans="3:12" ht="12.75" customHeight="1" x14ac:dyDescent="0.25">
      <c r="C89" s="610"/>
      <c r="D89" s="97" t="s">
        <v>178</v>
      </c>
      <c r="E89" s="88"/>
      <c r="F89" s="50">
        <v>1</v>
      </c>
      <c r="G89" s="50">
        <v>1</v>
      </c>
      <c r="H89" s="50">
        <v>1</v>
      </c>
      <c r="I89" s="51" t="s">
        <v>174</v>
      </c>
      <c r="J89" s="51">
        <v>20000</v>
      </c>
      <c r="K89" s="51">
        <v>10</v>
      </c>
      <c r="L89" s="52">
        <v>0</v>
      </c>
    </row>
    <row r="90" spans="3:12" ht="12.75" customHeight="1" x14ac:dyDescent="0.25">
      <c r="C90" s="610"/>
      <c r="D90" s="97"/>
      <c r="E90" s="88"/>
      <c r="F90" s="50"/>
      <c r="G90" s="50"/>
      <c r="H90" s="50"/>
      <c r="I90" s="51"/>
      <c r="J90" s="51"/>
      <c r="K90" s="51"/>
      <c r="L90" s="52"/>
    </row>
    <row r="91" spans="3:12" ht="12.75" customHeight="1" x14ac:dyDescent="0.25">
      <c r="C91" s="610"/>
      <c r="D91" s="97"/>
      <c r="E91" s="88"/>
      <c r="F91" s="127"/>
      <c r="G91" s="127"/>
      <c r="H91" s="127"/>
      <c r="I91" s="50"/>
      <c r="J91" s="51"/>
      <c r="K91" s="51"/>
      <c r="L91" s="132"/>
    </row>
    <row r="92" spans="3:12" ht="12.75" customHeight="1" x14ac:dyDescent="0.25">
      <c r="C92" s="610"/>
      <c r="D92" s="97"/>
      <c r="E92" s="88" t="s">
        <v>77</v>
      </c>
      <c r="F92" s="50">
        <f>SUM(F85:F91)</f>
        <v>83</v>
      </c>
      <c r="G92" s="53"/>
      <c r="H92" s="53"/>
      <c r="I92" s="50"/>
      <c r="J92" s="51">
        <f>SUM(J85:J91)</f>
        <v>181135</v>
      </c>
      <c r="K92" s="51">
        <f>SUM(K85:K91)</f>
        <v>89031</v>
      </c>
      <c r="L92" s="54">
        <f>SUM(L85:L91)</f>
        <v>24</v>
      </c>
    </row>
    <row r="93" spans="3:12" ht="12.75" customHeight="1" x14ac:dyDescent="0.25">
      <c r="C93" s="610"/>
      <c r="D93" s="97"/>
      <c r="E93" s="88"/>
      <c r="F93" s="127"/>
      <c r="G93" s="127"/>
      <c r="H93" s="127"/>
      <c r="I93" s="50"/>
      <c r="J93" s="50"/>
      <c r="K93" s="88"/>
      <c r="L93" s="113"/>
    </row>
    <row r="94" spans="3:12" ht="12.75" customHeight="1" x14ac:dyDescent="0.25">
      <c r="C94" s="610"/>
      <c r="D94" s="55" t="s">
        <v>94</v>
      </c>
      <c r="E94" s="104"/>
      <c r="F94" s="133" t="s">
        <v>179</v>
      </c>
      <c r="G94" s="127"/>
      <c r="H94" s="127"/>
      <c r="I94" s="50"/>
      <c r="J94" s="50"/>
      <c r="K94" s="88"/>
      <c r="L94" s="113"/>
    </row>
    <row r="95" spans="3:12" ht="12.75" customHeight="1" x14ac:dyDescent="0.25">
      <c r="C95" s="610"/>
      <c r="D95" s="97"/>
      <c r="E95" s="88"/>
      <c r="F95" s="88"/>
      <c r="G95" s="127"/>
      <c r="H95" s="127"/>
      <c r="I95" s="127"/>
      <c r="J95" s="50"/>
      <c r="K95" s="50"/>
      <c r="L95" s="99"/>
    </row>
    <row r="96" spans="3:12" ht="12.75" customHeight="1" x14ac:dyDescent="0.25">
      <c r="C96" s="610"/>
      <c r="D96" s="97"/>
      <c r="E96" s="134"/>
      <c r="F96" s="88"/>
      <c r="G96" s="127"/>
      <c r="H96" s="127"/>
      <c r="I96" s="127"/>
      <c r="J96" s="50"/>
      <c r="K96" s="50"/>
      <c r="L96" s="99"/>
    </row>
    <row r="97" spans="2:12" ht="12.75" customHeight="1" x14ac:dyDescent="0.25">
      <c r="B97" s="87"/>
      <c r="C97" s="610"/>
      <c r="D97" s="97"/>
      <c r="E97" s="134"/>
      <c r="F97" s="88"/>
      <c r="G97" s="127"/>
      <c r="H97" s="127"/>
      <c r="I97" s="127"/>
      <c r="J97" s="50"/>
      <c r="K97" s="50"/>
      <c r="L97" s="99"/>
    </row>
    <row r="98" spans="2:12" ht="12.75" customHeight="1" x14ac:dyDescent="0.25">
      <c r="B98" s="87"/>
      <c r="C98" s="610"/>
      <c r="D98" s="97"/>
      <c r="E98" s="88"/>
      <c r="F98" s="88"/>
      <c r="G98" s="127"/>
      <c r="H98" s="127"/>
      <c r="I98" s="117" t="s">
        <v>180</v>
      </c>
      <c r="J98" s="609" t="s">
        <v>164</v>
      </c>
      <c r="K98" s="609"/>
      <c r="L98" s="99"/>
    </row>
    <row r="99" spans="2:12" ht="12.75" customHeight="1" x14ac:dyDescent="0.25">
      <c r="B99" s="87"/>
      <c r="C99" s="610"/>
      <c r="D99" s="97"/>
      <c r="E99" s="88"/>
      <c r="F99" s="88"/>
      <c r="G99" s="127"/>
      <c r="H99" s="127"/>
      <c r="I99" s="117" t="s">
        <v>181</v>
      </c>
      <c r="J99" s="609" t="s">
        <v>182</v>
      </c>
      <c r="K99" s="609"/>
      <c r="L99" s="99"/>
    </row>
    <row r="100" spans="2:12" ht="12.75" customHeight="1" x14ac:dyDescent="0.25">
      <c r="B100" s="87"/>
      <c r="C100" s="610"/>
      <c r="D100" s="135"/>
      <c r="E100" s="119"/>
      <c r="F100" s="119"/>
      <c r="G100" s="136"/>
      <c r="H100" s="136"/>
      <c r="I100" s="136"/>
      <c r="J100" s="120"/>
      <c r="K100" s="120"/>
      <c r="L100" s="123"/>
    </row>
    <row r="101" spans="2:12" ht="12.75" customHeight="1" x14ac:dyDescent="0.25">
      <c r="B101" s="87"/>
      <c r="C101" s="88"/>
      <c r="D101" s="88"/>
      <c r="E101" s="88"/>
      <c r="F101" s="88"/>
      <c r="G101" s="50"/>
      <c r="H101" s="50"/>
      <c r="I101" s="50"/>
      <c r="J101" s="50"/>
      <c r="K101" s="50"/>
      <c r="L101" s="88"/>
    </row>
    <row r="102" spans="2:12" ht="12.75" customHeight="1" x14ac:dyDescent="0.25">
      <c r="B102" s="87"/>
      <c r="C102" s="88"/>
      <c r="D102" s="88"/>
      <c r="E102" s="88"/>
      <c r="F102" s="88"/>
      <c r="G102" s="50"/>
      <c r="H102" s="50"/>
      <c r="I102" s="50"/>
      <c r="J102" s="50"/>
      <c r="K102" s="50"/>
      <c r="L102" s="88"/>
    </row>
    <row r="103" spans="2:12" ht="22.5" customHeight="1" x14ac:dyDescent="0.25">
      <c r="B103" s="611" t="s">
        <v>121</v>
      </c>
      <c r="C103" s="611"/>
      <c r="D103" s="92"/>
      <c r="E103" s="93"/>
      <c r="F103" s="93"/>
      <c r="G103" s="125"/>
      <c r="H103" s="125"/>
      <c r="I103" s="125"/>
      <c r="J103" s="125"/>
      <c r="K103" s="125"/>
      <c r="L103" s="96"/>
    </row>
    <row r="104" spans="2:12" ht="12.75" customHeight="1" x14ac:dyDescent="0.25">
      <c r="B104" s="611"/>
      <c r="C104" s="611"/>
      <c r="E104" s="134"/>
      <c r="F104" s="88"/>
      <c r="G104" s="50"/>
      <c r="H104" s="50"/>
      <c r="I104" s="50"/>
      <c r="J104" s="50"/>
      <c r="K104" s="50"/>
      <c r="L104" s="99"/>
    </row>
    <row r="105" spans="2:12" ht="28.5" customHeight="1" x14ac:dyDescent="0.25">
      <c r="B105" s="611"/>
      <c r="C105" s="611"/>
      <c r="D105" s="97" t="s">
        <v>183</v>
      </c>
      <c r="E105" s="134"/>
      <c r="F105" s="88"/>
      <c r="G105" s="50"/>
      <c r="H105" s="50"/>
      <c r="I105" s="50"/>
      <c r="J105" s="50"/>
      <c r="K105" s="50"/>
      <c r="L105" s="99"/>
    </row>
    <row r="106" spans="2:12" ht="12.75" customHeight="1" x14ac:dyDescent="0.25">
      <c r="B106" s="611"/>
      <c r="C106" s="611"/>
      <c r="E106" s="134"/>
      <c r="F106" s="88"/>
      <c r="G106" s="50"/>
      <c r="H106" s="50"/>
      <c r="I106" s="50"/>
      <c r="J106" s="50"/>
      <c r="K106" s="50"/>
      <c r="L106" s="99"/>
    </row>
    <row r="107" spans="2:12" ht="33" customHeight="1" x14ac:dyDescent="0.25">
      <c r="B107" s="611"/>
      <c r="C107" s="611"/>
      <c r="D107" s="612" t="s">
        <v>184</v>
      </c>
      <c r="E107" s="612"/>
      <c r="F107" s="612"/>
      <c r="G107" s="612"/>
      <c r="H107" s="612"/>
      <c r="I107" s="612"/>
      <c r="J107" s="612"/>
      <c r="K107" s="612"/>
      <c r="L107" s="612"/>
    </row>
    <row r="108" spans="2:12" ht="12.75" customHeight="1" x14ac:dyDescent="0.25">
      <c r="B108" s="611"/>
      <c r="C108" s="611"/>
      <c r="D108" s="97"/>
      <c r="E108" s="88"/>
      <c r="F108" s="88"/>
      <c r="G108" s="50"/>
      <c r="H108" s="50"/>
      <c r="I108" s="50"/>
      <c r="J108" s="50"/>
      <c r="K108" s="50"/>
      <c r="L108" s="99"/>
    </row>
    <row r="109" spans="2:12" ht="12.75" customHeight="1" x14ac:dyDescent="0.25">
      <c r="B109" s="611"/>
      <c r="C109" s="611"/>
      <c r="D109" s="97"/>
      <c r="E109" s="88"/>
      <c r="F109" s="88"/>
      <c r="G109" s="50"/>
      <c r="H109" s="50"/>
      <c r="I109" s="50"/>
      <c r="J109" s="50"/>
      <c r="K109" s="50"/>
      <c r="L109" s="99"/>
    </row>
    <row r="110" spans="2:12" ht="12.75" customHeight="1" x14ac:dyDescent="0.25">
      <c r="B110" s="611"/>
      <c r="C110" s="611"/>
      <c r="D110" s="97"/>
      <c r="E110" s="88"/>
      <c r="F110" s="88"/>
      <c r="G110" s="50"/>
      <c r="H110" s="50"/>
      <c r="I110" s="117" t="s">
        <v>185</v>
      </c>
      <c r="J110" s="609" t="s">
        <v>186</v>
      </c>
      <c r="K110" s="609"/>
      <c r="L110" s="99"/>
    </row>
    <row r="111" spans="2:12" ht="12.75" customHeight="1" x14ac:dyDescent="0.25">
      <c r="B111" s="611"/>
      <c r="C111" s="611"/>
      <c r="D111" s="135"/>
      <c r="E111" s="119"/>
      <c r="F111" s="119"/>
      <c r="G111" s="120"/>
      <c r="H111" s="120"/>
      <c r="I111" s="120"/>
      <c r="J111" s="120"/>
      <c r="K111" s="120"/>
      <c r="L111" s="123"/>
    </row>
    <row r="114" spans="2:11" ht="12.75" customHeight="1" x14ac:dyDescent="0.25">
      <c r="B114" s="611" t="s">
        <v>134</v>
      </c>
      <c r="C114" s="611"/>
      <c r="D114" s="92"/>
      <c r="E114" s="93"/>
      <c r="F114" s="93"/>
      <c r="G114" s="125"/>
      <c r="H114" s="125"/>
      <c r="I114" s="125"/>
      <c r="J114" s="125"/>
      <c r="K114" s="125"/>
    </row>
    <row r="115" spans="2:11" ht="12.75" customHeight="1" x14ac:dyDescent="0.25">
      <c r="B115" s="611"/>
      <c r="C115" s="611"/>
      <c r="D115" s="97"/>
      <c r="E115" s="88"/>
      <c r="F115" s="88"/>
      <c r="G115" s="50"/>
      <c r="H115" s="50"/>
      <c r="I115" s="50"/>
      <c r="J115" s="50"/>
      <c r="K115" s="50"/>
    </row>
    <row r="116" spans="2:11" ht="12.75" customHeight="1" x14ac:dyDescent="0.25">
      <c r="B116" s="611"/>
      <c r="C116" s="611"/>
      <c r="D116" s="615" t="s">
        <v>187</v>
      </c>
      <c r="E116" s="615"/>
      <c r="F116" s="138" t="e">
        <f>#N/A</f>
        <v>#N/A</v>
      </c>
      <c r="G116" s="50"/>
      <c r="H116" s="50"/>
      <c r="I116" s="50"/>
      <c r="J116" s="50"/>
      <c r="K116" s="50"/>
    </row>
    <row r="117" spans="2:11" ht="12.75" customHeight="1" x14ac:dyDescent="0.25">
      <c r="B117" s="611"/>
      <c r="C117" s="611"/>
      <c r="D117" s="97"/>
      <c r="E117" s="88"/>
      <c r="F117" s="88"/>
      <c r="G117" s="50"/>
      <c r="H117" s="50"/>
      <c r="I117" s="50"/>
      <c r="J117" s="50"/>
      <c r="K117" s="50"/>
    </row>
    <row r="118" spans="2:11" ht="12.75" customHeight="1" x14ac:dyDescent="0.25">
      <c r="B118" s="611"/>
      <c r="C118" s="611"/>
      <c r="D118" s="615" t="e">
        <f>+#REF!</f>
        <v>#REF!</v>
      </c>
      <c r="E118" s="615"/>
      <c r="F118" s="139" t="e">
        <f>+#REF!</f>
        <v>#REF!</v>
      </c>
      <c r="G118" s="50"/>
      <c r="H118" s="50"/>
      <c r="I118" s="50"/>
      <c r="J118" s="50"/>
      <c r="K118" s="50"/>
    </row>
    <row r="119" spans="2:11" ht="12.75" customHeight="1" x14ac:dyDescent="0.25">
      <c r="B119" s="611"/>
      <c r="C119" s="611"/>
      <c r="D119" s="97"/>
      <c r="E119" s="88"/>
      <c r="F119" s="88"/>
      <c r="G119" s="50"/>
      <c r="H119" s="50"/>
      <c r="I119" s="50"/>
      <c r="J119" s="50"/>
      <c r="K119" s="50"/>
    </row>
    <row r="120" spans="2:11" ht="12.75" customHeight="1" x14ac:dyDescent="0.25">
      <c r="B120" s="611"/>
      <c r="C120" s="611"/>
      <c r="D120" s="615" t="s">
        <v>188</v>
      </c>
      <c r="E120" s="615"/>
      <c r="F120" s="140">
        <f>+G64</f>
        <v>159.6</v>
      </c>
      <c r="G120" s="50"/>
      <c r="H120" s="50"/>
      <c r="I120" s="50"/>
      <c r="J120" s="50"/>
      <c r="K120" s="50"/>
    </row>
    <row r="121" spans="2:11" ht="12.75" customHeight="1" x14ac:dyDescent="0.25">
      <c r="B121" s="611"/>
      <c r="C121" s="611"/>
      <c r="D121" s="97"/>
      <c r="E121" s="88"/>
      <c r="F121" s="88"/>
      <c r="G121" s="50"/>
      <c r="H121" s="50"/>
      <c r="I121" s="50"/>
      <c r="J121" s="50"/>
      <c r="K121" s="50"/>
    </row>
    <row r="122" spans="2:11" ht="12.75" customHeight="1" x14ac:dyDescent="0.25">
      <c r="B122" s="611"/>
      <c r="C122" s="611"/>
      <c r="D122" s="615" t="s">
        <v>189</v>
      </c>
      <c r="E122" s="615"/>
      <c r="F122" s="141" t="e">
        <f>+#REF!/#REF!</f>
        <v>#REF!</v>
      </c>
      <c r="G122" s="50"/>
      <c r="H122" s="50"/>
      <c r="I122" s="50"/>
      <c r="J122" s="50"/>
      <c r="K122" s="50"/>
    </row>
    <row r="123" spans="2:11" ht="21" customHeight="1" x14ac:dyDescent="0.25">
      <c r="B123" s="611"/>
      <c r="C123" s="611"/>
      <c r="D123" s="97"/>
      <c r="E123" s="88"/>
      <c r="G123" s="50"/>
      <c r="H123" s="50"/>
      <c r="I123" s="50"/>
      <c r="J123" s="50"/>
      <c r="K123" s="50"/>
    </row>
    <row r="124" spans="2:11" ht="12.75" customHeight="1" x14ac:dyDescent="0.25">
      <c r="B124" s="611"/>
      <c r="C124" s="611"/>
      <c r="E124" s="137" t="s">
        <v>190</v>
      </c>
      <c r="F124" s="130" t="e">
        <f>+F120/F122</f>
        <v>#REF!</v>
      </c>
      <c r="G124" s="88" t="s">
        <v>191</v>
      </c>
      <c r="H124" s="50"/>
      <c r="I124" s="50"/>
      <c r="J124" s="50"/>
      <c r="K124" s="50"/>
    </row>
    <row r="125" spans="2:11" ht="12.75" customHeight="1" x14ac:dyDescent="0.25">
      <c r="B125" s="611"/>
      <c r="C125" s="611"/>
      <c r="E125" s="104"/>
      <c r="F125" s="88"/>
      <c r="G125" s="50"/>
      <c r="H125" s="50"/>
      <c r="I125" s="50"/>
      <c r="J125" s="50"/>
      <c r="K125" s="50"/>
    </row>
    <row r="126" spans="2:11" ht="12.75" customHeight="1" x14ac:dyDescent="0.25">
      <c r="B126" s="611"/>
      <c r="C126" s="611"/>
      <c r="E126" s="104"/>
      <c r="F126" s="88"/>
      <c r="G126" s="50"/>
      <c r="H126" s="50"/>
      <c r="I126" s="50"/>
      <c r="J126" s="50"/>
      <c r="K126" s="50"/>
    </row>
    <row r="127" spans="2:11" ht="12.75" customHeight="1" x14ac:dyDescent="0.25">
      <c r="B127" s="611"/>
      <c r="C127" s="611"/>
      <c r="E127" s="104"/>
      <c r="F127" s="88"/>
      <c r="G127" s="50"/>
      <c r="H127" s="50"/>
      <c r="I127" s="117" t="s">
        <v>192</v>
      </c>
      <c r="J127" s="609" t="s">
        <v>193</v>
      </c>
      <c r="K127" s="609"/>
    </row>
    <row r="128" spans="2:11" ht="12.75" customHeight="1" x14ac:dyDescent="0.25">
      <c r="B128" s="611"/>
      <c r="C128" s="611"/>
      <c r="D128" s="135"/>
      <c r="E128" s="119"/>
      <c r="F128" s="119"/>
      <c r="G128" s="120"/>
      <c r="H128" s="120"/>
      <c r="I128" s="120"/>
      <c r="J128" s="120"/>
      <c r="K128" s="120"/>
    </row>
    <row r="131" spans="2:12" ht="12.75" customHeight="1" x14ac:dyDescent="0.25">
      <c r="B131" s="611" t="s">
        <v>143</v>
      </c>
      <c r="C131" s="611"/>
      <c r="D131" s="92"/>
      <c r="E131" s="93"/>
      <c r="F131" s="93"/>
      <c r="G131" s="125"/>
      <c r="H131" s="125"/>
      <c r="I131" s="125"/>
      <c r="J131" s="125"/>
      <c r="K131" s="125"/>
      <c r="L131" s="96"/>
    </row>
    <row r="132" spans="2:12" ht="12.75" customHeight="1" x14ac:dyDescent="0.25">
      <c r="B132" s="611"/>
      <c r="C132" s="611"/>
      <c r="D132" s="97" t="s">
        <v>194</v>
      </c>
      <c r="E132" s="88"/>
      <c r="F132" s="88"/>
      <c r="G132" s="50"/>
      <c r="H132" s="50"/>
      <c r="I132" s="50"/>
      <c r="J132" s="50"/>
      <c r="K132" s="50"/>
      <c r="L132" s="99"/>
    </row>
    <row r="133" spans="2:12" ht="12.75" customHeight="1" x14ac:dyDescent="0.25">
      <c r="B133" s="611"/>
      <c r="C133" s="611"/>
      <c r="D133" s="97"/>
      <c r="E133" s="88"/>
      <c r="F133" s="88"/>
      <c r="G133" s="50"/>
      <c r="H133" s="50"/>
      <c r="I133" s="50"/>
      <c r="J133" s="50"/>
      <c r="K133" s="50"/>
      <c r="L133" s="99"/>
    </row>
    <row r="134" spans="2:12" ht="12.75" customHeight="1" x14ac:dyDescent="0.25">
      <c r="B134" s="611"/>
      <c r="C134" s="611"/>
      <c r="D134" s="97"/>
      <c r="E134" s="88"/>
      <c r="F134" s="88"/>
      <c r="G134" s="50"/>
      <c r="H134" s="50"/>
      <c r="I134" s="50"/>
      <c r="J134" s="50"/>
      <c r="K134" s="50"/>
      <c r="L134" s="99"/>
    </row>
    <row r="135" spans="2:12" ht="12.75" customHeight="1" x14ac:dyDescent="0.25">
      <c r="B135" s="611"/>
      <c r="C135" s="611"/>
      <c r="D135" s="97"/>
      <c r="E135" s="88"/>
      <c r="F135" s="88"/>
      <c r="G135" s="50"/>
      <c r="H135" s="50"/>
      <c r="I135" s="50"/>
      <c r="J135" s="50"/>
      <c r="K135" s="50"/>
      <c r="L135" s="99"/>
    </row>
    <row r="136" spans="2:12" ht="12.75" customHeight="1" x14ac:dyDescent="0.25">
      <c r="B136" s="611"/>
      <c r="C136" s="611"/>
      <c r="D136" s="97"/>
      <c r="E136" s="88"/>
      <c r="F136" s="88"/>
      <c r="G136" s="50"/>
      <c r="H136" s="50"/>
      <c r="I136" s="50"/>
      <c r="J136" s="50"/>
      <c r="K136" s="50"/>
      <c r="L136" s="99"/>
    </row>
    <row r="137" spans="2:12" ht="12.75" customHeight="1" x14ac:dyDescent="0.25">
      <c r="B137" s="611"/>
      <c r="C137" s="611"/>
      <c r="D137" s="97"/>
      <c r="E137" s="88"/>
      <c r="F137" s="88"/>
      <c r="G137" s="50"/>
      <c r="H137" s="50"/>
      <c r="I137" s="50"/>
      <c r="J137" s="50"/>
      <c r="K137" s="50"/>
      <c r="L137" s="99"/>
    </row>
    <row r="138" spans="2:12" ht="12.75" customHeight="1" x14ac:dyDescent="0.25">
      <c r="B138" s="611"/>
      <c r="C138" s="611"/>
      <c r="D138" s="97"/>
      <c r="E138" s="88"/>
      <c r="F138" s="88"/>
      <c r="G138" s="50"/>
      <c r="H138" s="50"/>
      <c r="I138" s="50"/>
      <c r="J138" s="50"/>
      <c r="K138" s="50"/>
      <c r="L138" s="99"/>
    </row>
    <row r="139" spans="2:12" ht="12.75" customHeight="1" x14ac:dyDescent="0.25">
      <c r="B139" s="611"/>
      <c r="C139" s="611"/>
      <c r="D139" s="97"/>
      <c r="E139" s="88"/>
      <c r="F139" s="88"/>
      <c r="G139" s="50"/>
      <c r="H139" s="50"/>
      <c r="I139" s="117" t="s">
        <v>195</v>
      </c>
      <c r="J139" s="609" t="s">
        <v>193</v>
      </c>
      <c r="K139" s="609"/>
      <c r="L139" s="99"/>
    </row>
    <row r="140" spans="2:12" ht="12.75" customHeight="1" x14ac:dyDescent="0.25">
      <c r="B140" s="611"/>
      <c r="C140" s="611"/>
      <c r="D140" s="135"/>
      <c r="E140" s="119"/>
      <c r="F140" s="119"/>
      <c r="G140" s="120"/>
      <c r="H140" s="120"/>
      <c r="I140" s="120"/>
      <c r="J140" s="120"/>
      <c r="K140" s="120"/>
      <c r="L140" s="123"/>
    </row>
    <row r="141" spans="2:12" ht="12.75" customHeight="1" x14ac:dyDescent="0.25">
      <c r="B141" s="87"/>
      <c r="D141" s="88"/>
      <c r="E141" s="88"/>
      <c r="F141" s="88"/>
      <c r="G141" s="50"/>
      <c r="H141" s="50"/>
      <c r="I141" s="50"/>
      <c r="J141" s="50"/>
      <c r="K141" s="50"/>
      <c r="L141" s="88"/>
    </row>
    <row r="142" spans="2:12" ht="12.75" customHeight="1" x14ac:dyDescent="0.25">
      <c r="B142" s="87"/>
      <c r="C142" s="88"/>
      <c r="D142" s="88"/>
      <c r="E142" s="88"/>
      <c r="F142" s="88"/>
      <c r="G142" s="50"/>
      <c r="H142" s="50"/>
      <c r="I142" s="50"/>
      <c r="J142" s="50"/>
      <c r="K142" s="50"/>
      <c r="L142" s="88"/>
    </row>
    <row r="143" spans="2:12" ht="12.75" customHeight="1" x14ac:dyDescent="0.25">
      <c r="B143" s="611" t="s">
        <v>196</v>
      </c>
      <c r="C143" s="611"/>
      <c r="D143" s="92"/>
      <c r="E143" s="93"/>
      <c r="F143" s="93"/>
      <c r="G143" s="125"/>
      <c r="H143" s="125"/>
      <c r="I143" s="125"/>
      <c r="J143" s="125"/>
      <c r="K143" s="125"/>
      <c r="L143" s="96"/>
    </row>
    <row r="144" spans="2:12" ht="12.75" customHeight="1" x14ac:dyDescent="0.25">
      <c r="B144" s="611"/>
      <c r="C144" s="611"/>
      <c r="D144" s="97"/>
      <c r="E144" s="88"/>
      <c r="F144" s="88"/>
      <c r="G144" s="50"/>
      <c r="H144" s="50"/>
      <c r="I144" s="50"/>
      <c r="J144" s="50"/>
      <c r="K144" s="50"/>
      <c r="L144" s="99"/>
    </row>
    <row r="145" spans="2:12" ht="12.75" customHeight="1" x14ac:dyDescent="0.25">
      <c r="B145" s="611"/>
      <c r="C145" s="611"/>
      <c r="D145" s="97" t="s">
        <v>197</v>
      </c>
      <c r="E145" s="88"/>
      <c r="F145" s="88"/>
      <c r="G145" s="50"/>
      <c r="H145" s="50"/>
      <c r="I145" s="50"/>
      <c r="J145" s="50"/>
      <c r="K145" s="50"/>
      <c r="L145" s="99"/>
    </row>
    <row r="146" spans="2:12" ht="12.75" customHeight="1" x14ac:dyDescent="0.25">
      <c r="B146" s="611"/>
      <c r="C146" s="611"/>
      <c r="D146" s="613" t="s">
        <v>198</v>
      </c>
      <c r="E146" s="613"/>
      <c r="F146" s="613"/>
      <c r="G146" s="613"/>
      <c r="H146" s="613"/>
      <c r="I146" s="613"/>
      <c r="J146" s="613"/>
      <c r="K146" s="613"/>
      <c r="L146" s="613"/>
    </row>
    <row r="147" spans="2:12" ht="12.75" customHeight="1" x14ac:dyDescent="0.25">
      <c r="B147" s="611"/>
      <c r="C147" s="611"/>
      <c r="D147" s="613"/>
      <c r="E147" s="613"/>
      <c r="F147" s="613"/>
      <c r="G147" s="613"/>
      <c r="H147" s="613"/>
      <c r="I147" s="613"/>
      <c r="J147" s="613"/>
      <c r="K147" s="613"/>
      <c r="L147" s="613"/>
    </row>
    <row r="148" spans="2:12" ht="12.75" customHeight="1" x14ac:dyDescent="0.25">
      <c r="B148" s="611"/>
      <c r="C148" s="611"/>
      <c r="D148" s="613"/>
      <c r="E148" s="613"/>
      <c r="F148" s="613"/>
      <c r="G148" s="613"/>
      <c r="H148" s="613"/>
      <c r="I148" s="613"/>
      <c r="J148" s="613"/>
      <c r="K148" s="613"/>
      <c r="L148" s="613"/>
    </row>
    <row r="149" spans="2:12" ht="12.75" customHeight="1" x14ac:dyDescent="0.25">
      <c r="B149" s="611"/>
      <c r="C149" s="611"/>
      <c r="D149" s="613"/>
      <c r="E149" s="613"/>
      <c r="F149" s="613"/>
      <c r="G149" s="613"/>
      <c r="H149" s="613"/>
      <c r="I149" s="613"/>
      <c r="J149" s="613"/>
      <c r="K149" s="613"/>
      <c r="L149" s="613"/>
    </row>
    <row r="150" spans="2:12" ht="12.75" customHeight="1" x14ac:dyDescent="0.25">
      <c r="B150" s="611"/>
      <c r="C150" s="611"/>
      <c r="D150" s="97"/>
      <c r="E150" s="88"/>
      <c r="F150" s="88"/>
      <c r="G150" s="50"/>
      <c r="H150" s="50"/>
      <c r="I150" s="50"/>
      <c r="J150" s="50"/>
      <c r="K150" s="50"/>
      <c r="L150" s="99"/>
    </row>
    <row r="151" spans="2:12" ht="12.75" customHeight="1" x14ac:dyDescent="0.25">
      <c r="B151" s="611"/>
      <c r="C151" s="611"/>
      <c r="D151" s="97"/>
      <c r="E151" s="88"/>
      <c r="F151" s="88"/>
      <c r="G151" s="50"/>
      <c r="H151" s="50"/>
      <c r="I151" s="50"/>
      <c r="J151" s="50"/>
      <c r="K151" s="50"/>
      <c r="L151" s="99"/>
    </row>
    <row r="152" spans="2:12" ht="12.75" customHeight="1" x14ac:dyDescent="0.25">
      <c r="B152" s="611"/>
      <c r="C152" s="611"/>
      <c r="D152" s="97"/>
      <c r="E152" s="88"/>
      <c r="F152" s="88"/>
      <c r="G152" s="50"/>
      <c r="H152" s="50"/>
      <c r="I152" s="50"/>
      <c r="J152" s="50"/>
      <c r="K152" s="50"/>
      <c r="L152" s="99"/>
    </row>
    <row r="153" spans="2:12" ht="12.75" customHeight="1" x14ac:dyDescent="0.25">
      <c r="B153" s="611"/>
      <c r="C153" s="611"/>
      <c r="D153" s="97"/>
      <c r="E153" s="88"/>
      <c r="F153" s="88"/>
      <c r="G153" s="50"/>
      <c r="H153" s="50"/>
      <c r="I153" s="117" t="s">
        <v>149</v>
      </c>
      <c r="J153" s="614" t="s">
        <v>199</v>
      </c>
      <c r="K153" s="614"/>
      <c r="L153" s="614"/>
    </row>
    <row r="154" spans="2:12" ht="12.75" customHeight="1" x14ac:dyDescent="0.25">
      <c r="B154" s="611"/>
      <c r="C154" s="611"/>
      <c r="D154" s="135"/>
      <c r="E154" s="119"/>
      <c r="F154" s="119"/>
      <c r="G154" s="120"/>
      <c r="H154" s="120"/>
      <c r="I154" s="120"/>
      <c r="J154" s="120"/>
      <c r="K154" s="120"/>
      <c r="L154" s="123"/>
    </row>
  </sheetData>
  <mergeCells count="26">
    <mergeCell ref="J127:K127"/>
    <mergeCell ref="B131:C140"/>
    <mergeCell ref="J139:K139"/>
    <mergeCell ref="B143:C154"/>
    <mergeCell ref="D146:L149"/>
    <mergeCell ref="J153:L153"/>
    <mergeCell ref="B114:C128"/>
    <mergeCell ref="D116:E116"/>
    <mergeCell ref="D118:E118"/>
    <mergeCell ref="D120:E120"/>
    <mergeCell ref="D122:E122"/>
    <mergeCell ref="C71:C100"/>
    <mergeCell ref="J98:K98"/>
    <mergeCell ref="J99:K99"/>
    <mergeCell ref="B103:C111"/>
    <mergeCell ref="D107:L107"/>
    <mergeCell ref="J110:K110"/>
    <mergeCell ref="B5:M5"/>
    <mergeCell ref="B7:M7"/>
    <mergeCell ref="C12:C68"/>
    <mergeCell ref="G12:G13"/>
    <mergeCell ref="H12:H13"/>
    <mergeCell ref="I12:I13"/>
    <mergeCell ref="G14:I14"/>
    <mergeCell ref="G15:I15"/>
    <mergeCell ref="J67:K67"/>
  </mergeCells>
  <printOptions horizontalCentered="1" verticalCentered="1"/>
  <pageMargins left="0.5" right="0.5" top="0.5" bottom="0.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C9:H45"/>
  <sheetViews>
    <sheetView zoomScaleNormal="100" workbookViewId="0"/>
  </sheetViews>
  <sheetFormatPr baseColWidth="10" defaultColWidth="14.44140625" defaultRowHeight="13.2" x14ac:dyDescent="0.25"/>
  <cols>
    <col min="1" max="1" width="11.6640625" customWidth="1"/>
    <col min="2" max="2" width="5" customWidth="1"/>
    <col min="3" max="3" width="19.88671875" customWidth="1"/>
    <col min="4" max="4" width="46.33203125" customWidth="1"/>
    <col min="5" max="5" width="12" customWidth="1"/>
    <col min="6" max="6" width="23.33203125" customWidth="1"/>
    <col min="7" max="7" width="16.6640625" customWidth="1"/>
    <col min="8" max="8" width="13.88671875" customWidth="1"/>
    <col min="9" max="12" width="1.33203125" customWidth="1"/>
    <col min="13" max="13" width="5" customWidth="1"/>
    <col min="14" max="26" width="11.6640625" customWidth="1"/>
  </cols>
  <sheetData>
    <row r="9" spans="3:3" ht="12.75" customHeight="1" x14ac:dyDescent="0.3">
      <c r="C9" s="145" t="e">
        <f>#N/A</f>
        <v>#N/A</v>
      </c>
    </row>
    <row r="10" spans="3:3" ht="12.75" customHeight="1" x14ac:dyDescent="0.25"/>
    <row r="11" spans="3:3" ht="12.75" customHeight="1" x14ac:dyDescent="0.25">
      <c r="C11" s="147" t="s">
        <v>200</v>
      </c>
    </row>
    <row r="12" spans="3:3" ht="12.75" customHeight="1" x14ac:dyDescent="0.25"/>
    <row r="13" spans="3:3" ht="12.75" customHeight="1" x14ac:dyDescent="0.3">
      <c r="C13" s="149" t="e">
        <f>#REF!</f>
        <v>#REF!</v>
      </c>
    </row>
    <row r="14" spans="3:3" ht="12.75" customHeight="1" x14ac:dyDescent="0.25"/>
    <row r="15" spans="3:3" ht="12.75" customHeight="1" x14ac:dyDescent="0.25">
      <c r="C15" s="147" t="s">
        <v>201</v>
      </c>
    </row>
    <row r="17" spans="3:8" ht="12.75" customHeight="1" x14ac:dyDescent="0.25">
      <c r="C17" s="103" t="s">
        <v>202</v>
      </c>
      <c r="D17" s="150" t="s">
        <v>203</v>
      </c>
      <c r="E17" s="150" t="s">
        <v>204</v>
      </c>
      <c r="F17" s="152" t="s">
        <v>205</v>
      </c>
      <c r="G17" s="153" t="s">
        <v>206</v>
      </c>
      <c r="H17" s="103" t="s">
        <v>207</v>
      </c>
    </row>
    <row r="18" spans="3:8" ht="12.75" customHeight="1" x14ac:dyDescent="0.25">
      <c r="C18" s="134"/>
      <c r="D18" s="142"/>
      <c r="E18" s="142"/>
      <c r="F18" s="142"/>
      <c r="G18" s="151"/>
      <c r="H18" s="103"/>
    </row>
    <row r="19" spans="3:8" ht="12.75" customHeight="1" x14ac:dyDescent="0.25">
      <c r="C19" s="134" t="s">
        <v>208</v>
      </c>
      <c r="D19" s="154" t="s">
        <v>209</v>
      </c>
      <c r="E19" s="155">
        <v>2115.5</v>
      </c>
      <c r="F19" s="155">
        <v>846</v>
      </c>
      <c r="G19" s="155">
        <v>998.2</v>
      </c>
      <c r="H19" s="156">
        <f>+F19+G19</f>
        <v>1844.2</v>
      </c>
    </row>
    <row r="20" spans="3:8" ht="12.75" customHeight="1" x14ac:dyDescent="0.25">
      <c r="C20" s="134"/>
      <c r="D20" s="154"/>
      <c r="E20" s="155"/>
      <c r="F20" s="155"/>
      <c r="G20" s="155"/>
      <c r="H20" s="156"/>
    </row>
    <row r="21" spans="3:8" ht="12.75" customHeight="1" x14ac:dyDescent="0.25">
      <c r="C21" s="134" t="s">
        <v>208</v>
      </c>
      <c r="D21" s="154" t="s">
        <v>210</v>
      </c>
      <c r="E21" s="155">
        <v>3900</v>
      </c>
      <c r="F21" s="155">
        <v>3962.7</v>
      </c>
      <c r="G21" s="155">
        <v>4644.2</v>
      </c>
      <c r="H21" s="156">
        <f>+F21+G21</f>
        <v>8606.9</v>
      </c>
    </row>
    <row r="22" spans="3:8" ht="12.75" customHeight="1" x14ac:dyDescent="0.25">
      <c r="C22" s="134"/>
      <c r="D22" s="154"/>
      <c r="E22" s="155"/>
      <c r="F22" s="155"/>
      <c r="G22" s="155"/>
      <c r="H22" s="156"/>
    </row>
    <row r="23" spans="3:8" ht="12.75" customHeight="1" x14ac:dyDescent="0.25">
      <c r="C23" s="134" t="s">
        <v>211</v>
      </c>
      <c r="D23" s="154" t="s">
        <v>210</v>
      </c>
      <c r="E23" s="155"/>
      <c r="F23" s="155">
        <v>7291</v>
      </c>
      <c r="G23" s="155">
        <v>6252.5</v>
      </c>
      <c r="H23" s="156">
        <f>+F23+G23</f>
        <v>13543.5</v>
      </c>
    </row>
    <row r="24" spans="3:8" ht="12.75" customHeight="1" x14ac:dyDescent="0.25">
      <c r="C24" s="134"/>
      <c r="D24" s="154"/>
      <c r="E24" s="155"/>
      <c r="F24" s="155"/>
      <c r="G24" s="155"/>
      <c r="H24" s="156"/>
    </row>
    <row r="25" spans="3:8" ht="12.75" customHeight="1" x14ac:dyDescent="0.25">
      <c r="C25" s="134" t="s">
        <v>208</v>
      </c>
      <c r="D25" s="154" t="s">
        <v>212</v>
      </c>
      <c r="E25" s="155">
        <v>2004.9</v>
      </c>
      <c r="F25" s="155">
        <v>1816.5</v>
      </c>
      <c r="G25" s="155">
        <v>1679.9</v>
      </c>
      <c r="H25" s="156">
        <f>+F25+G25</f>
        <v>3496.4</v>
      </c>
    </row>
    <row r="26" spans="3:8" ht="12.75" customHeight="1" x14ac:dyDescent="0.25">
      <c r="C26" s="134"/>
      <c r="D26" s="154"/>
      <c r="E26" s="155"/>
      <c r="F26" s="155"/>
      <c r="G26" s="155"/>
      <c r="H26" s="156"/>
    </row>
    <row r="27" spans="3:8" ht="12.75" customHeight="1" x14ac:dyDescent="0.25">
      <c r="C27" s="134" t="s">
        <v>211</v>
      </c>
      <c r="D27" s="154" t="s">
        <v>212</v>
      </c>
      <c r="E27" s="155"/>
      <c r="F27" s="155">
        <v>2461.5</v>
      </c>
      <c r="G27" s="155">
        <v>212.5</v>
      </c>
      <c r="H27" s="156">
        <f>+F27+G27</f>
        <v>2674</v>
      </c>
    </row>
    <row r="28" spans="3:8" ht="12.75" customHeight="1" x14ac:dyDescent="0.25">
      <c r="C28" s="134"/>
      <c r="D28" s="154"/>
      <c r="E28" s="155"/>
      <c r="F28" s="155"/>
      <c r="G28" s="155"/>
      <c r="H28" s="156"/>
    </row>
    <row r="29" spans="3:8" ht="12.75" customHeight="1" x14ac:dyDescent="0.25">
      <c r="C29" s="134" t="s">
        <v>208</v>
      </c>
      <c r="D29" s="154" t="s">
        <v>213</v>
      </c>
      <c r="E29" s="155">
        <v>4918</v>
      </c>
      <c r="F29" s="155">
        <v>4864.7</v>
      </c>
      <c r="G29" s="155">
        <v>2188.8000000000002</v>
      </c>
      <c r="H29" s="156">
        <f>+F29+G29</f>
        <v>7053.5</v>
      </c>
    </row>
    <row r="30" spans="3:8" ht="12.75" customHeight="1" x14ac:dyDescent="0.25">
      <c r="C30" s="134"/>
      <c r="D30" s="154"/>
      <c r="E30" s="155"/>
      <c r="F30" s="155"/>
      <c r="G30" s="155"/>
      <c r="H30" s="156"/>
    </row>
    <row r="31" spans="3:8" ht="12.75" customHeight="1" x14ac:dyDescent="0.25">
      <c r="C31" s="134" t="s">
        <v>211</v>
      </c>
      <c r="D31" s="154" t="s">
        <v>213</v>
      </c>
      <c r="E31" s="155"/>
      <c r="F31" s="155">
        <v>1372.5</v>
      </c>
      <c r="G31" s="155">
        <v>0</v>
      </c>
      <c r="H31" s="156">
        <f>+F31+G31</f>
        <v>1372.5</v>
      </c>
    </row>
    <row r="33" spans="3:8" ht="12.75" customHeight="1" x14ac:dyDescent="0.25">
      <c r="C33" s="134" t="s">
        <v>208</v>
      </c>
      <c r="D33" s="154" t="s">
        <v>214</v>
      </c>
      <c r="E33" s="155">
        <v>4927296</v>
      </c>
      <c r="F33" s="155">
        <v>2082</v>
      </c>
      <c r="G33" s="155">
        <v>2456.6</v>
      </c>
      <c r="H33" s="156">
        <f>+F33+G33</f>
        <v>4538.6000000000004</v>
      </c>
    </row>
    <row r="34" spans="3:8" ht="12.75" customHeight="1" x14ac:dyDescent="0.25">
      <c r="C34" s="134"/>
      <c r="D34" s="154"/>
      <c r="E34" s="155"/>
      <c r="F34" s="155"/>
      <c r="G34" s="155"/>
      <c r="H34" s="156"/>
    </row>
    <row r="35" spans="3:8" ht="12.75" customHeight="1" x14ac:dyDescent="0.25">
      <c r="C35" s="134" t="s">
        <v>211</v>
      </c>
      <c r="D35" s="154" t="s">
        <v>214</v>
      </c>
      <c r="E35" s="155"/>
      <c r="F35" s="155">
        <v>15526.7</v>
      </c>
      <c r="G35" s="155">
        <v>10406.700000000001</v>
      </c>
      <c r="H35" s="156">
        <f>+F35+G35</f>
        <v>25933.4</v>
      </c>
    </row>
    <row r="36" spans="3:8" ht="12.75" customHeight="1" x14ac:dyDescent="0.25">
      <c r="C36" s="134"/>
      <c r="D36" s="154"/>
      <c r="E36" s="155"/>
      <c r="F36" s="155"/>
      <c r="G36" s="155"/>
      <c r="H36" s="156"/>
    </row>
    <row r="37" spans="3:8" ht="12.75" customHeight="1" x14ac:dyDescent="0.25">
      <c r="C37" s="134" t="s">
        <v>208</v>
      </c>
      <c r="D37" s="154" t="s">
        <v>215</v>
      </c>
      <c r="E37" s="155"/>
      <c r="F37" s="155">
        <v>497.5</v>
      </c>
      <c r="G37" s="155">
        <v>54.725000000000001</v>
      </c>
      <c r="H37" s="156">
        <f>+F37+G37</f>
        <v>552.22500000000002</v>
      </c>
    </row>
    <row r="38" spans="3:8" ht="12.75" customHeight="1" x14ac:dyDescent="0.25">
      <c r="C38" s="134"/>
      <c r="D38" s="154"/>
      <c r="E38" s="155"/>
      <c r="F38" s="155"/>
      <c r="G38" s="155"/>
      <c r="H38" s="156"/>
    </row>
    <row r="39" spans="3:8" ht="12.75" customHeight="1" x14ac:dyDescent="0.25">
      <c r="C39" s="134" t="s">
        <v>211</v>
      </c>
      <c r="D39" s="154" t="s">
        <v>215</v>
      </c>
      <c r="E39" s="155"/>
      <c r="F39" s="155">
        <v>3009.9</v>
      </c>
      <c r="G39" s="155">
        <v>121.9</v>
      </c>
      <c r="H39" s="156">
        <f>+F39+G39</f>
        <v>3131.8</v>
      </c>
    </row>
    <row r="40" spans="3:8" ht="12.75" customHeight="1" x14ac:dyDescent="0.25">
      <c r="C40" s="134"/>
      <c r="D40" s="154"/>
      <c r="E40" s="155"/>
      <c r="F40" s="155"/>
      <c r="G40" s="155"/>
      <c r="H40" s="156"/>
    </row>
    <row r="41" spans="3:8" ht="12.75" customHeight="1" x14ac:dyDescent="0.25">
      <c r="C41" s="134" t="s">
        <v>211</v>
      </c>
      <c r="D41" s="154" t="s">
        <v>216</v>
      </c>
      <c r="E41" s="155"/>
      <c r="F41" s="155">
        <v>63524.88</v>
      </c>
      <c r="G41" s="155">
        <v>966</v>
      </c>
      <c r="H41" s="156">
        <f>+F41+G41</f>
        <v>64490.879999999997</v>
      </c>
    </row>
    <row r="42" spans="3:8" ht="12.75" customHeight="1" x14ac:dyDescent="0.25">
      <c r="C42" s="134"/>
      <c r="D42" s="154"/>
      <c r="E42" s="155"/>
      <c r="F42" s="155"/>
      <c r="G42" s="155"/>
      <c r="H42" s="156"/>
    </row>
    <row r="43" spans="3:8" ht="12.75" customHeight="1" x14ac:dyDescent="0.25">
      <c r="C43" s="134"/>
      <c r="D43" s="154"/>
      <c r="E43" s="155"/>
      <c r="F43" s="155"/>
      <c r="G43" s="155"/>
      <c r="H43" s="156"/>
    </row>
    <row r="44" spans="3:8" ht="12.75" customHeight="1" x14ac:dyDescent="0.25">
      <c r="C44" s="134"/>
      <c r="D44" s="154"/>
      <c r="E44" s="155"/>
      <c r="F44" s="155"/>
      <c r="G44" s="155"/>
      <c r="H44" s="156"/>
    </row>
    <row r="45" spans="3:8" ht="12.75" customHeight="1" x14ac:dyDescent="0.25">
      <c r="C45" s="134"/>
      <c r="D45" s="154" t="s">
        <v>77</v>
      </c>
      <c r="E45" s="142"/>
      <c r="F45" s="155">
        <f>SUM(F19:F41)</f>
        <v>107255.88</v>
      </c>
      <c r="G45" s="155">
        <f>SUM(G19:G41)</f>
        <v>29982.024999999998</v>
      </c>
      <c r="H45" s="156">
        <f>SUM(H19:H41)</f>
        <v>137237.905</v>
      </c>
    </row>
  </sheetData>
  <printOptions horizontalCentered="1" verticalCentered="1"/>
  <pageMargins left="0.39374999999999999" right="0.39374999999999999" top="0.70833333333333304" bottom="0.59027777777777801" header="0.51180555555555496" footer="0.51180555555555496"/>
  <pageSetup firstPageNumber="0"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5:J93"/>
  <sheetViews>
    <sheetView zoomScaleNormal="100" workbookViewId="0"/>
  </sheetViews>
  <sheetFormatPr baseColWidth="10" defaultColWidth="14.44140625" defaultRowHeight="13.2" x14ac:dyDescent="0.25"/>
  <cols>
    <col min="1" max="1" width="11.6640625" customWidth="1"/>
    <col min="2" max="2" width="3.33203125" customWidth="1"/>
    <col min="3" max="3" width="14" customWidth="1"/>
    <col min="4" max="4" width="11.6640625" customWidth="1"/>
    <col min="5" max="6" width="11.88671875" customWidth="1"/>
    <col min="7" max="7" width="11.6640625" customWidth="1"/>
    <col min="8" max="8" width="15.33203125" customWidth="1"/>
    <col min="9" max="26" width="11.6640625" customWidth="1"/>
  </cols>
  <sheetData>
    <row r="5" spans="2:10" ht="31.5" customHeight="1" x14ac:dyDescent="0.25">
      <c r="B5" s="604" t="e">
        <f>#REF!</f>
        <v>#REF!</v>
      </c>
      <c r="C5" s="604"/>
      <c r="D5" s="604"/>
      <c r="E5" s="604"/>
      <c r="F5" s="604"/>
      <c r="G5" s="604"/>
      <c r="H5" s="604"/>
      <c r="I5" s="604"/>
      <c r="J5" s="604"/>
    </row>
    <row r="6" spans="2:10" ht="12.75" customHeight="1" x14ac:dyDescent="0.25">
      <c r="B6" s="74"/>
      <c r="C6" s="75"/>
      <c r="D6" s="75"/>
      <c r="E6" s="75"/>
      <c r="F6" s="75"/>
      <c r="G6" s="75"/>
      <c r="H6" s="143"/>
      <c r="I6" s="75"/>
      <c r="J6" s="77"/>
    </row>
    <row r="7" spans="2:10" ht="12.75" customHeight="1" x14ac:dyDescent="0.3">
      <c r="B7" s="605" t="e">
        <f>#N/A</f>
        <v>#N/A</v>
      </c>
      <c r="C7" s="605"/>
      <c r="D7" s="605"/>
      <c r="E7" s="605"/>
      <c r="F7" s="605"/>
      <c r="G7" s="605"/>
      <c r="H7" s="605"/>
      <c r="I7" s="605"/>
      <c r="J7" s="605"/>
    </row>
    <row r="8" spans="2:10" ht="12.75" customHeight="1" x14ac:dyDescent="0.3">
      <c r="B8" s="78" t="s">
        <v>217</v>
      </c>
      <c r="C8" s="80"/>
      <c r="D8" s="80"/>
      <c r="E8" s="80"/>
      <c r="F8" s="80"/>
      <c r="G8" s="80"/>
      <c r="H8" s="148"/>
      <c r="I8" s="80"/>
      <c r="J8" s="83"/>
    </row>
    <row r="9" spans="2:10" ht="12.75" customHeight="1" x14ac:dyDescent="0.25">
      <c r="B9" s="144"/>
      <c r="C9" s="158"/>
      <c r="H9" s="142"/>
      <c r="J9" s="146"/>
    </row>
    <row r="10" spans="2:10" ht="12.75" customHeight="1" x14ac:dyDescent="0.3">
      <c r="B10" s="144"/>
      <c r="C10" s="159" t="s">
        <v>218</v>
      </c>
      <c r="D10" s="160" t="s">
        <v>219</v>
      </c>
      <c r="H10" s="142"/>
      <c r="J10" s="146"/>
    </row>
    <row r="11" spans="2:10" ht="12.75" customHeight="1" x14ac:dyDescent="0.25">
      <c r="B11" s="144"/>
      <c r="D11" t="s">
        <v>220</v>
      </c>
      <c r="F11" t="s">
        <v>221</v>
      </c>
      <c r="H11" s="142"/>
      <c r="J11" s="146"/>
    </row>
    <row r="12" spans="2:10" ht="12.75" customHeight="1" x14ac:dyDescent="0.25">
      <c r="B12" s="144"/>
      <c r="D12" s="134" t="s">
        <v>222</v>
      </c>
      <c r="E12" s="134"/>
      <c r="F12" s="134" t="s">
        <v>223</v>
      </c>
      <c r="H12" s="142"/>
      <c r="J12" s="146"/>
    </row>
    <row r="13" spans="2:10" ht="12.75" customHeight="1" x14ac:dyDescent="0.25">
      <c r="B13" s="144"/>
      <c r="D13" s="134" t="s">
        <v>224</v>
      </c>
      <c r="E13" s="134"/>
      <c r="F13" s="134" t="s">
        <v>225</v>
      </c>
      <c r="H13" s="142"/>
      <c r="J13" s="146"/>
    </row>
    <row r="14" spans="2:10" ht="12.75" customHeight="1" x14ac:dyDescent="0.25">
      <c r="B14" s="144"/>
      <c r="H14" s="142"/>
      <c r="J14" s="146"/>
    </row>
    <row r="15" spans="2:10" ht="12.75" customHeight="1" x14ac:dyDescent="0.25">
      <c r="B15" s="144"/>
      <c r="C15" s="616" t="s">
        <v>5</v>
      </c>
      <c r="D15" s="616"/>
      <c r="E15" s="616"/>
      <c r="F15" s="616"/>
      <c r="G15" s="616"/>
      <c r="H15" s="616"/>
      <c r="I15" s="616"/>
      <c r="J15" s="146"/>
    </row>
    <row r="16" spans="2:10" ht="12.75" customHeight="1" x14ac:dyDescent="0.25">
      <c r="B16" s="144"/>
      <c r="C16" s="617" t="s">
        <v>226</v>
      </c>
      <c r="D16" s="617"/>
      <c r="E16" s="617"/>
      <c r="F16" s="617"/>
      <c r="G16" s="617"/>
      <c r="H16" s="617"/>
      <c r="I16" s="617"/>
      <c r="J16" s="146"/>
    </row>
    <row r="18" spans="4:8" ht="12.75" customHeight="1" x14ac:dyDescent="0.25">
      <c r="D18" t="s">
        <v>227</v>
      </c>
      <c r="H18" s="142">
        <v>0</v>
      </c>
    </row>
    <row r="19" spans="4:8" ht="12.75" customHeight="1" x14ac:dyDescent="0.25">
      <c r="E19" s="162"/>
      <c r="H19" s="142"/>
    </row>
    <row r="20" spans="4:8" ht="12.75" customHeight="1" x14ac:dyDescent="0.25">
      <c r="D20" t="s">
        <v>228</v>
      </c>
      <c r="E20" s="162"/>
      <c r="H20" s="142"/>
    </row>
    <row r="21" spans="4:8" ht="12.75" customHeight="1" x14ac:dyDescent="0.25">
      <c r="D21" s="112"/>
      <c r="E21" s="162" t="s">
        <v>229</v>
      </c>
      <c r="G21" s="142">
        <v>42000</v>
      </c>
      <c r="H21" s="142"/>
    </row>
    <row r="22" spans="4:8" ht="12.75" customHeight="1" x14ac:dyDescent="0.25">
      <c r="E22" s="162"/>
      <c r="H22" s="142"/>
    </row>
    <row r="23" spans="4:8" ht="12.75" customHeight="1" x14ac:dyDescent="0.25">
      <c r="D23" t="s">
        <v>230</v>
      </c>
      <c r="E23" s="162"/>
      <c r="H23" s="142">
        <f>G21</f>
        <v>42000</v>
      </c>
    </row>
    <row r="24" spans="4:8" ht="12.75" customHeight="1" x14ac:dyDescent="0.25">
      <c r="E24" s="162"/>
      <c r="H24" s="142"/>
    </row>
    <row r="25" spans="4:8" ht="12.75" customHeight="1" x14ac:dyDescent="0.25">
      <c r="D25" s="103" t="s">
        <v>231</v>
      </c>
      <c r="E25" s="163"/>
      <c r="F25" s="103"/>
      <c r="G25" s="103"/>
      <c r="H25" s="150">
        <f>+H23+H18</f>
        <v>42000</v>
      </c>
    </row>
    <row r="26" spans="4:8" ht="12.75" customHeight="1" x14ac:dyDescent="0.25">
      <c r="E26" s="162"/>
      <c r="H26" s="142"/>
    </row>
    <row r="27" spans="4:8" ht="12.75" customHeight="1" x14ac:dyDescent="0.25">
      <c r="D27" t="s">
        <v>232</v>
      </c>
      <c r="E27" s="162"/>
      <c r="H27" s="142">
        <v>0</v>
      </c>
    </row>
    <row r="28" spans="4:8" ht="12.75" customHeight="1" x14ac:dyDescent="0.25">
      <c r="E28" s="162"/>
      <c r="H28" s="142"/>
    </row>
    <row r="29" spans="4:8" ht="12.75" customHeight="1" x14ac:dyDescent="0.25">
      <c r="D29" t="s">
        <v>233</v>
      </c>
      <c r="E29" s="162"/>
      <c r="H29" s="142">
        <v>0</v>
      </c>
    </row>
    <row r="30" spans="4:8" ht="12.75" customHeight="1" x14ac:dyDescent="0.25">
      <c r="E30" s="162"/>
      <c r="H30" s="142"/>
    </row>
    <row r="31" spans="4:8" ht="12.75" customHeight="1" x14ac:dyDescent="0.25">
      <c r="D31" s="103" t="s">
        <v>135</v>
      </c>
      <c r="E31" s="163"/>
      <c r="F31" s="103"/>
      <c r="G31" s="103"/>
      <c r="H31" s="150">
        <f>H29+H27</f>
        <v>0</v>
      </c>
    </row>
    <row r="33" spans="2:10" ht="12.75" customHeight="1" x14ac:dyDescent="0.25">
      <c r="B33" s="144"/>
      <c r="D33" s="103" t="s">
        <v>234</v>
      </c>
      <c r="E33" s="163"/>
      <c r="F33" s="103"/>
      <c r="G33" s="103"/>
      <c r="H33" s="150">
        <f>H25-H31</f>
        <v>42000</v>
      </c>
      <c r="J33" s="146"/>
    </row>
    <row r="34" spans="2:10" ht="12.75" customHeight="1" x14ac:dyDescent="0.25">
      <c r="B34" s="144"/>
      <c r="E34" s="162"/>
      <c r="H34" s="142"/>
      <c r="J34" s="146"/>
    </row>
    <row r="35" spans="2:10" ht="12.75" customHeight="1" x14ac:dyDescent="0.25">
      <c r="B35" s="144"/>
      <c r="C35" s="103"/>
      <c r="D35" s="616" t="s">
        <v>38</v>
      </c>
      <c r="E35" s="616"/>
      <c r="F35" s="616"/>
      <c r="G35" s="616"/>
      <c r="H35" s="616"/>
      <c r="J35" s="146"/>
    </row>
    <row r="36" spans="2:10" ht="7.5" customHeight="1" x14ac:dyDescent="0.25">
      <c r="B36" s="144"/>
      <c r="D36" s="80"/>
      <c r="E36" s="80"/>
      <c r="F36" s="80"/>
      <c r="G36" s="80"/>
      <c r="H36" s="148"/>
      <c r="J36" s="146"/>
    </row>
    <row r="37" spans="2:10" ht="12.75" customHeight="1" x14ac:dyDescent="0.25">
      <c r="B37" s="144"/>
      <c r="D37" t="s">
        <v>235</v>
      </c>
      <c r="H37" s="142"/>
      <c r="J37" s="146"/>
    </row>
    <row r="38" spans="2:10" ht="12.75" customHeight="1" x14ac:dyDescent="0.25">
      <c r="B38" s="144"/>
      <c r="H38" s="142"/>
      <c r="J38" s="146"/>
    </row>
    <row r="39" spans="2:10" ht="12.75" customHeight="1" x14ac:dyDescent="0.25">
      <c r="B39" s="144"/>
      <c r="C39" s="103" t="s">
        <v>236</v>
      </c>
      <c r="H39" s="142"/>
      <c r="J39" s="146"/>
    </row>
    <row r="40" spans="2:10" ht="10.5" customHeight="1" x14ac:dyDescent="0.25">
      <c r="B40" s="164"/>
      <c r="C40" s="618" t="s">
        <v>202</v>
      </c>
      <c r="D40" s="618"/>
      <c r="E40" s="165" t="s">
        <v>237</v>
      </c>
      <c r="F40" s="165" t="s">
        <v>237</v>
      </c>
      <c r="G40" s="618" t="s">
        <v>238</v>
      </c>
      <c r="H40" s="619" t="s">
        <v>239</v>
      </c>
      <c r="I40" s="620" t="s">
        <v>240</v>
      </c>
      <c r="J40" s="620" t="s">
        <v>122</v>
      </c>
    </row>
    <row r="41" spans="2:10" ht="12.75" customHeight="1" x14ac:dyDescent="0.25">
      <c r="B41" s="164"/>
      <c r="C41" s="618"/>
      <c r="D41" s="618"/>
      <c r="E41" s="166" t="s">
        <v>208</v>
      </c>
      <c r="F41" s="166" t="s">
        <v>241</v>
      </c>
      <c r="G41" s="618"/>
      <c r="H41" s="618"/>
      <c r="I41" s="618"/>
      <c r="J41" s="618"/>
    </row>
    <row r="42" spans="2:10" ht="22.5" customHeight="1" x14ac:dyDescent="0.25">
      <c r="B42" s="621" t="s">
        <v>242</v>
      </c>
      <c r="C42" s="622" t="s">
        <v>243</v>
      </c>
      <c r="D42" s="622"/>
      <c r="E42" s="167">
        <v>42282</v>
      </c>
      <c r="F42" s="168" t="s">
        <v>244</v>
      </c>
      <c r="G42" s="167">
        <v>39000</v>
      </c>
      <c r="H42" s="169" t="str">
        <f>D10</f>
        <v>RAMIRO GONZALEZ GONZALEZ</v>
      </c>
      <c r="I42" s="168" t="s">
        <v>245</v>
      </c>
      <c r="J42" s="170">
        <v>39987</v>
      </c>
    </row>
    <row r="43" spans="2:10" ht="12.75" customHeight="1" x14ac:dyDescent="0.25">
      <c r="B43" s="621"/>
      <c r="C43" s="171" t="s">
        <v>246</v>
      </c>
      <c r="D43" s="172"/>
      <c r="E43" s="172"/>
      <c r="F43" s="172"/>
      <c r="G43" s="172"/>
      <c r="H43" s="173"/>
      <c r="I43" s="172"/>
      <c r="J43" s="174"/>
    </row>
    <row r="44" spans="2:10" ht="22.5" customHeight="1" x14ac:dyDescent="0.25">
      <c r="B44" s="621" t="s">
        <v>247</v>
      </c>
      <c r="C44" s="622" t="s">
        <v>248</v>
      </c>
      <c r="D44" s="622"/>
      <c r="E44" s="167">
        <v>230</v>
      </c>
      <c r="F44" s="168" t="s">
        <v>244</v>
      </c>
      <c r="G44" s="167">
        <v>3000</v>
      </c>
      <c r="H44" s="169" t="str">
        <f>H42</f>
        <v>RAMIRO GONZALEZ GONZALEZ</v>
      </c>
      <c r="I44" s="168" t="s">
        <v>245</v>
      </c>
      <c r="J44" s="170">
        <v>39989</v>
      </c>
    </row>
    <row r="45" spans="2:10" ht="12.75" customHeight="1" x14ac:dyDescent="0.25">
      <c r="B45" s="621"/>
      <c r="C45" s="171" t="s">
        <v>249</v>
      </c>
      <c r="D45" s="172"/>
      <c r="E45" s="172"/>
      <c r="F45" s="172"/>
      <c r="G45" s="172"/>
      <c r="H45" s="173"/>
      <c r="I45" s="172"/>
      <c r="J45" s="174"/>
    </row>
    <row r="46" spans="2:10" ht="12.75" customHeight="1" x14ac:dyDescent="0.25">
      <c r="B46" s="144"/>
      <c r="H46" s="142"/>
      <c r="J46" s="146"/>
    </row>
    <row r="47" spans="2:10" ht="12.75" customHeight="1" x14ac:dyDescent="0.25">
      <c r="B47" s="144"/>
      <c r="C47" s="622" t="s">
        <v>77</v>
      </c>
      <c r="D47" s="622"/>
      <c r="E47" s="167">
        <f>SUM(E42:E44)</f>
        <v>42512</v>
      </c>
      <c r="F47" s="168"/>
      <c r="G47" s="167">
        <f>SUM(G42:G44)</f>
        <v>42000</v>
      </c>
      <c r="H47" s="169"/>
      <c r="I47" s="168"/>
      <c r="J47" s="170"/>
    </row>
    <row r="49" spans="3:10" ht="12.75" customHeight="1" x14ac:dyDescent="0.25">
      <c r="D49" s="623" t="s">
        <v>250</v>
      </c>
      <c r="E49" s="623"/>
      <c r="F49" s="175">
        <v>2</v>
      </c>
      <c r="G49" s="167">
        <v>42000</v>
      </c>
      <c r="H49" s="142"/>
      <c r="J49" s="146"/>
    </row>
    <row r="50" spans="3:10" ht="12.75" customHeight="1" x14ac:dyDescent="0.25">
      <c r="D50" s="623" t="s">
        <v>251</v>
      </c>
      <c r="E50" s="623"/>
      <c r="F50" s="175"/>
      <c r="G50" s="176"/>
      <c r="H50" s="142"/>
      <c r="J50" s="146"/>
    </row>
    <row r="51" spans="3:10" ht="12.75" customHeight="1" x14ac:dyDescent="0.25">
      <c r="D51" s="623" t="s">
        <v>252</v>
      </c>
      <c r="E51" s="623"/>
      <c r="F51" s="175"/>
      <c r="G51" s="176"/>
      <c r="H51" s="142"/>
      <c r="J51" s="146"/>
    </row>
    <row r="52" spans="3:10" ht="12.75" customHeight="1" x14ac:dyDescent="0.25">
      <c r="D52" s="623" t="s">
        <v>253</v>
      </c>
      <c r="E52" s="623"/>
      <c r="F52" s="175"/>
      <c r="G52" s="176"/>
      <c r="H52" s="142"/>
      <c r="J52" s="146"/>
    </row>
    <row r="53" spans="3:10" ht="7.5" customHeight="1" x14ac:dyDescent="0.25">
      <c r="D53" s="162"/>
      <c r="E53" s="162"/>
      <c r="F53" s="177"/>
      <c r="G53" s="162"/>
      <c r="H53" s="142"/>
      <c r="J53" s="146"/>
    </row>
    <row r="54" spans="3:10" ht="12.75" customHeight="1" x14ac:dyDescent="0.25">
      <c r="D54" s="623" t="s">
        <v>254</v>
      </c>
      <c r="E54" s="623"/>
      <c r="F54" s="175">
        <f>SUM(F49:F53)</f>
        <v>2</v>
      </c>
      <c r="G54" s="178">
        <f>SUM(G49:G52)</f>
        <v>42000</v>
      </c>
      <c r="H54" s="142"/>
      <c r="J54" s="146"/>
    </row>
    <row r="55" spans="3:10" ht="12.75" customHeight="1" x14ac:dyDescent="0.25">
      <c r="C55" s="103" t="s">
        <v>255</v>
      </c>
      <c r="H55" s="142"/>
      <c r="J55" s="146"/>
    </row>
    <row r="56" spans="3:10" ht="7.5" customHeight="1" x14ac:dyDescent="0.25">
      <c r="C56" s="103"/>
      <c r="H56" s="142"/>
      <c r="J56" s="146"/>
    </row>
    <row r="57" spans="3:10" ht="12.75" customHeight="1" x14ac:dyDescent="0.25">
      <c r="C57" s="74" t="s">
        <v>256</v>
      </c>
      <c r="D57" s="77"/>
      <c r="E57" s="179">
        <v>40049</v>
      </c>
      <c r="G57" s="74" t="s">
        <v>257</v>
      </c>
      <c r="H57" s="143"/>
      <c r="I57" s="77"/>
      <c r="J57" s="180">
        <v>6</v>
      </c>
    </row>
    <row r="58" spans="3:10" ht="12.75" customHeight="1" x14ac:dyDescent="0.25">
      <c r="C58" s="74" t="s">
        <v>258</v>
      </c>
      <c r="D58" s="77"/>
      <c r="E58" s="180">
        <v>342</v>
      </c>
      <c r="G58" s="181" t="s">
        <v>259</v>
      </c>
      <c r="H58" s="173"/>
      <c r="I58" s="174"/>
      <c r="J58" s="180">
        <v>4</v>
      </c>
    </row>
    <row r="59" spans="3:10" ht="12.75" customHeight="1" x14ac:dyDescent="0.25">
      <c r="C59" s="181" t="s">
        <v>260</v>
      </c>
      <c r="D59" s="174"/>
      <c r="E59" s="180">
        <v>0</v>
      </c>
      <c r="G59" s="157" t="s">
        <v>261</v>
      </c>
      <c r="H59" s="148"/>
      <c r="I59" s="83"/>
      <c r="J59" s="180">
        <v>36</v>
      </c>
    </row>
    <row r="60" spans="3:10" ht="12.75" customHeight="1" x14ac:dyDescent="0.25">
      <c r="C60" s="157" t="s">
        <v>262</v>
      </c>
      <c r="D60" s="83"/>
      <c r="E60" s="180">
        <v>1</v>
      </c>
      <c r="H60" s="142"/>
      <c r="J60" s="146"/>
    </row>
    <row r="61" spans="3:10" ht="12.75" customHeight="1" x14ac:dyDescent="0.25">
      <c r="H61" s="142"/>
      <c r="J61" s="146"/>
    </row>
    <row r="62" spans="3:10" ht="12.75" customHeight="1" x14ac:dyDescent="0.25">
      <c r="C62" s="74" t="s">
        <v>263</v>
      </c>
      <c r="D62" s="77"/>
      <c r="E62" s="182" t="s">
        <v>264</v>
      </c>
      <c r="G62" t="s">
        <v>265</v>
      </c>
      <c r="H62" s="142"/>
      <c r="I62" s="624" t="s">
        <v>266</v>
      </c>
      <c r="J62" s="624"/>
    </row>
    <row r="63" spans="3:10" ht="12.75" customHeight="1" x14ac:dyDescent="0.25">
      <c r="C63" s="181" t="s">
        <v>267</v>
      </c>
      <c r="D63" s="174"/>
      <c r="E63" s="180">
        <v>701</v>
      </c>
      <c r="H63" s="142"/>
      <c r="J63" s="146"/>
    </row>
    <row r="67" spans="2:10" ht="24.75" customHeight="1" x14ac:dyDescent="0.25">
      <c r="B67" s="604" t="e">
        <f>B5</f>
        <v>#REF!</v>
      </c>
      <c r="C67" s="604"/>
      <c r="D67" s="604"/>
      <c r="E67" s="604"/>
      <c r="F67" s="604"/>
      <c r="G67" s="604"/>
      <c r="H67" s="604"/>
      <c r="I67" s="604"/>
      <c r="J67" s="604"/>
    </row>
    <row r="68" spans="2:10" ht="12.75" customHeight="1" x14ac:dyDescent="0.25">
      <c r="B68" s="74"/>
      <c r="C68" s="75"/>
      <c r="D68" s="75"/>
      <c r="E68" s="75"/>
      <c r="F68" s="75"/>
      <c r="G68" s="75"/>
      <c r="H68" s="143"/>
      <c r="I68" s="75"/>
      <c r="J68" s="77"/>
    </row>
    <row r="69" spans="2:10" ht="12.75" customHeight="1" x14ac:dyDescent="0.3">
      <c r="B69" s="605" t="e">
        <f>B7</f>
        <v>#N/A</v>
      </c>
      <c r="C69" s="605"/>
      <c r="D69" s="605"/>
      <c r="E69" s="605"/>
      <c r="F69" s="605"/>
      <c r="G69" s="605"/>
      <c r="H69" s="605"/>
      <c r="I69" s="605"/>
      <c r="J69" s="605"/>
    </row>
    <row r="70" spans="2:10" ht="12.75" customHeight="1" x14ac:dyDescent="0.3">
      <c r="B70" s="78" t="s">
        <v>217</v>
      </c>
      <c r="C70" s="80"/>
      <c r="D70" s="80"/>
      <c r="E70" s="80"/>
      <c r="F70" s="80"/>
      <c r="G70" s="80"/>
      <c r="H70" s="148"/>
      <c r="I70" s="80"/>
      <c r="J70" s="83"/>
    </row>
    <row r="71" spans="2:10" ht="12.75" customHeight="1" x14ac:dyDescent="0.25">
      <c r="B71" s="144"/>
      <c r="C71" s="158"/>
      <c r="H71" s="142"/>
      <c r="J71" s="146"/>
    </row>
    <row r="72" spans="2:10" ht="12.75" customHeight="1" x14ac:dyDescent="0.3">
      <c r="B72" s="144"/>
      <c r="C72" s="159" t="s">
        <v>268</v>
      </c>
      <c r="D72" s="160" t="s">
        <v>269</v>
      </c>
      <c r="H72" s="142"/>
      <c r="J72" s="146"/>
    </row>
    <row r="73" spans="2:10" ht="12.75" customHeight="1" x14ac:dyDescent="0.25">
      <c r="B73" s="144"/>
      <c r="D73" t="s">
        <v>220</v>
      </c>
      <c r="F73" t="s">
        <v>270</v>
      </c>
      <c r="H73" s="142"/>
      <c r="J73" s="146"/>
    </row>
    <row r="74" spans="2:10" ht="12.75" customHeight="1" x14ac:dyDescent="0.25">
      <c r="B74" s="144"/>
      <c r="D74" s="134" t="s">
        <v>222</v>
      </c>
      <c r="E74" s="134"/>
      <c r="F74" s="134" t="s">
        <v>235</v>
      </c>
      <c r="H74" s="142"/>
      <c r="J74" s="146"/>
    </row>
    <row r="75" spans="2:10" ht="12.75" customHeight="1" x14ac:dyDescent="0.25">
      <c r="B75" s="144"/>
      <c r="D75" s="134" t="s">
        <v>224</v>
      </c>
      <c r="E75" s="134"/>
      <c r="F75" s="134" t="s">
        <v>271</v>
      </c>
      <c r="H75" s="142"/>
      <c r="J75" s="146"/>
    </row>
    <row r="76" spans="2:10" ht="12.75" customHeight="1" x14ac:dyDescent="0.25">
      <c r="B76" s="144"/>
      <c r="H76" s="142"/>
      <c r="J76" s="146"/>
    </row>
    <row r="77" spans="2:10" ht="12.75" customHeight="1" x14ac:dyDescent="0.25">
      <c r="B77" s="144"/>
      <c r="C77" s="616" t="s">
        <v>5</v>
      </c>
      <c r="D77" s="616"/>
      <c r="E77" s="616"/>
      <c r="F77" s="616"/>
      <c r="G77" s="616"/>
      <c r="H77" s="616"/>
      <c r="I77" s="616"/>
      <c r="J77" s="146"/>
    </row>
    <row r="78" spans="2:10" ht="12.75" customHeight="1" x14ac:dyDescent="0.25">
      <c r="B78" s="144"/>
      <c r="C78" s="161"/>
      <c r="D78" s="80"/>
      <c r="E78" s="80"/>
      <c r="F78" s="80"/>
      <c r="G78" s="80"/>
      <c r="H78" s="148"/>
      <c r="J78" s="146"/>
    </row>
    <row r="79" spans="2:10" ht="12.75" customHeight="1" x14ac:dyDescent="0.25">
      <c r="B79" s="144"/>
      <c r="D79" t="s">
        <v>235</v>
      </c>
      <c r="H79" s="142"/>
      <c r="J79" s="146"/>
    </row>
    <row r="81" spans="3:10" ht="12.75" customHeight="1" x14ac:dyDescent="0.25">
      <c r="C81" s="103"/>
      <c r="D81" s="616" t="s">
        <v>38</v>
      </c>
      <c r="E81" s="616"/>
      <c r="F81" s="616"/>
      <c r="G81" s="616"/>
      <c r="H81" s="616"/>
      <c r="J81" s="146"/>
    </row>
    <row r="82" spans="3:10" ht="12.75" customHeight="1" x14ac:dyDescent="0.25">
      <c r="D82" s="80"/>
      <c r="E82" s="80"/>
      <c r="F82" s="80"/>
      <c r="G82" s="80"/>
      <c r="H82" s="148"/>
      <c r="J82" s="146"/>
    </row>
    <row r="83" spans="3:10" ht="12.75" customHeight="1" x14ac:dyDescent="0.25">
      <c r="D83" t="s">
        <v>235</v>
      </c>
      <c r="H83" s="142"/>
      <c r="J83" s="146"/>
    </row>
    <row r="84" spans="3:10" ht="12.75" customHeight="1" x14ac:dyDescent="0.25">
      <c r="H84" s="142"/>
      <c r="J84" s="146"/>
    </row>
    <row r="85" spans="3:10" ht="12.75" customHeight="1" x14ac:dyDescent="0.25">
      <c r="C85" s="103" t="s">
        <v>272</v>
      </c>
      <c r="H85" s="142"/>
      <c r="J85" s="146"/>
    </row>
    <row r="86" spans="3:10" ht="12.75" customHeight="1" x14ac:dyDescent="0.25">
      <c r="C86" s="103"/>
      <c r="H86" s="142"/>
      <c r="J86" s="146"/>
    </row>
    <row r="87" spans="3:10" ht="12.75" customHeight="1" x14ac:dyDescent="0.25">
      <c r="C87" s="74" t="s">
        <v>256</v>
      </c>
      <c r="D87" s="77"/>
      <c r="E87" s="179"/>
      <c r="G87" s="74" t="s">
        <v>257</v>
      </c>
      <c r="H87" s="143"/>
      <c r="I87" s="77"/>
      <c r="J87" s="180"/>
    </row>
    <row r="88" spans="3:10" ht="12.75" customHeight="1" x14ac:dyDescent="0.25">
      <c r="C88" s="74" t="s">
        <v>258</v>
      </c>
      <c r="D88" s="77"/>
      <c r="E88" s="180"/>
      <c r="G88" s="181" t="s">
        <v>259</v>
      </c>
      <c r="H88" s="173"/>
      <c r="I88" s="174"/>
      <c r="J88" s="180"/>
    </row>
    <row r="89" spans="3:10" ht="12.75" customHeight="1" x14ac:dyDescent="0.25">
      <c r="C89" s="181" t="s">
        <v>260</v>
      </c>
      <c r="D89" s="174"/>
      <c r="E89" s="180"/>
      <c r="G89" s="157" t="s">
        <v>261</v>
      </c>
      <c r="H89" s="148"/>
      <c r="I89" s="83"/>
      <c r="J89" s="180"/>
    </row>
    <row r="90" spans="3:10" ht="12.75" customHeight="1" x14ac:dyDescent="0.25">
      <c r="C90" s="157" t="s">
        <v>262</v>
      </c>
      <c r="D90" s="83"/>
      <c r="E90" s="180"/>
      <c r="H90" s="142"/>
      <c r="J90" s="146"/>
    </row>
    <row r="91" spans="3:10" ht="12.75" customHeight="1" x14ac:dyDescent="0.25">
      <c r="H91" s="142"/>
      <c r="J91" s="146"/>
    </row>
    <row r="92" spans="3:10" ht="12.75" customHeight="1" x14ac:dyDescent="0.25">
      <c r="C92" s="74" t="s">
        <v>263</v>
      </c>
      <c r="D92" s="77"/>
      <c r="E92" s="182"/>
      <c r="G92" t="s">
        <v>265</v>
      </c>
      <c r="H92" s="142"/>
      <c r="I92" s="624"/>
      <c r="J92" s="624"/>
    </row>
    <row r="93" spans="3:10" ht="12.75" customHeight="1" x14ac:dyDescent="0.25">
      <c r="C93" s="181" t="s">
        <v>267</v>
      </c>
      <c r="D93" s="174"/>
      <c r="E93" s="180"/>
      <c r="H93" s="142"/>
      <c r="J93" s="146"/>
    </row>
  </sheetData>
  <mergeCells count="26">
    <mergeCell ref="I92:J92"/>
    <mergeCell ref="I62:J62"/>
    <mergeCell ref="B67:J67"/>
    <mergeCell ref="B69:J69"/>
    <mergeCell ref="C77:I77"/>
    <mergeCell ref="D81:H81"/>
    <mergeCell ref="D49:E49"/>
    <mergeCell ref="D50:E50"/>
    <mergeCell ref="D51:E51"/>
    <mergeCell ref="D52:E52"/>
    <mergeCell ref="D54:E54"/>
    <mergeCell ref="B42:B43"/>
    <mergeCell ref="C42:D42"/>
    <mergeCell ref="B44:B45"/>
    <mergeCell ref="C44:D44"/>
    <mergeCell ref="C47:D47"/>
    <mergeCell ref="C40:D41"/>
    <mergeCell ref="G40:G41"/>
    <mergeCell ref="H40:H41"/>
    <mergeCell ref="I40:I41"/>
    <mergeCell ref="J40:J41"/>
    <mergeCell ref="B5:J5"/>
    <mergeCell ref="B7:J7"/>
    <mergeCell ref="C15:I15"/>
    <mergeCell ref="C16:I16"/>
    <mergeCell ref="D35:H35"/>
  </mergeCells>
  <printOptions horizontalCentered="1"/>
  <pageMargins left="0.39374999999999999" right="0.39374999999999999" top="0.59027777777777801" bottom="0.39374999999999999"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93"/>
  <sheetViews>
    <sheetView zoomScaleNormal="100" workbookViewId="0"/>
  </sheetViews>
  <sheetFormatPr baseColWidth="10" defaultColWidth="14.44140625" defaultRowHeight="13.2" x14ac:dyDescent="0.25"/>
  <cols>
    <col min="1" max="1" width="8.6640625" customWidth="1"/>
    <col min="2" max="2" width="10" customWidth="1"/>
    <col min="3" max="3" width="10.33203125" customWidth="1"/>
    <col min="4" max="4" width="10.109375" customWidth="1"/>
    <col min="5" max="5" width="10" customWidth="1"/>
    <col min="6" max="6" width="9.6640625" customWidth="1"/>
    <col min="7" max="7" width="9.88671875" customWidth="1"/>
    <col min="8" max="10" width="8.6640625" customWidth="1"/>
    <col min="11" max="11" width="10" customWidth="1"/>
    <col min="12" max="12" width="11.33203125" customWidth="1"/>
    <col min="13" max="13" width="21" customWidth="1"/>
    <col min="14" max="14" width="10.6640625" customWidth="1"/>
    <col min="15" max="34" width="11.33203125" customWidth="1"/>
  </cols>
  <sheetData>
    <row r="1" spans="1:26" ht="12.75" customHeight="1" x14ac:dyDescent="0.3">
      <c r="A1" s="184"/>
      <c r="B1" s="185"/>
      <c r="C1" s="185"/>
      <c r="D1" s="185"/>
      <c r="E1" s="185"/>
      <c r="F1" s="185"/>
      <c r="G1" s="185"/>
      <c r="H1" s="185"/>
      <c r="I1" s="185"/>
      <c r="J1" s="185"/>
      <c r="K1" s="186"/>
      <c r="L1" s="187"/>
      <c r="M1" s="187"/>
      <c r="N1" s="187"/>
      <c r="O1" s="187"/>
      <c r="P1" s="187"/>
      <c r="Q1" s="187"/>
      <c r="R1" s="187"/>
      <c r="S1" s="187"/>
      <c r="T1" s="187"/>
      <c r="U1" s="187"/>
      <c r="V1" s="187"/>
      <c r="W1" s="187"/>
      <c r="X1" s="187"/>
      <c r="Y1" s="187"/>
      <c r="Z1" s="187"/>
    </row>
    <row r="2" spans="1:26" ht="12.75" customHeight="1" x14ac:dyDescent="0.3">
      <c r="A2" s="625" t="e">
        <f>#REF!</f>
        <v>#REF!</v>
      </c>
      <c r="B2" s="625"/>
      <c r="C2" s="625"/>
      <c r="D2" s="625"/>
      <c r="E2" s="625"/>
      <c r="F2" s="625"/>
      <c r="G2" s="625"/>
      <c r="H2" s="625"/>
      <c r="I2" s="625"/>
      <c r="J2" s="625"/>
      <c r="K2" s="625"/>
      <c r="L2" s="187"/>
      <c r="M2" s="187"/>
      <c r="N2" s="187"/>
      <c r="O2" s="187"/>
      <c r="P2" s="187"/>
      <c r="Q2" s="187"/>
      <c r="R2" s="187"/>
      <c r="S2" s="187"/>
      <c r="T2" s="187"/>
      <c r="U2" s="188" t="s">
        <v>273</v>
      </c>
      <c r="V2" s="189"/>
      <c r="W2" s="189"/>
      <c r="X2" s="189"/>
      <c r="Y2" s="190"/>
      <c r="Z2" s="188" t="s">
        <v>274</v>
      </c>
    </row>
    <row r="3" spans="1:26" ht="12.75" customHeight="1" x14ac:dyDescent="0.3">
      <c r="A3" s="191"/>
      <c r="B3" s="187"/>
      <c r="C3" s="187"/>
      <c r="D3" s="187"/>
      <c r="E3" s="187"/>
      <c r="F3" s="187"/>
      <c r="G3" s="187"/>
      <c r="H3" s="187"/>
      <c r="I3" s="187"/>
      <c r="J3" s="187"/>
      <c r="K3" s="192"/>
      <c r="L3" s="187"/>
      <c r="M3" s="187"/>
      <c r="N3" s="187"/>
      <c r="O3" s="187"/>
      <c r="P3" s="187"/>
      <c r="Q3" s="187"/>
      <c r="R3" s="187"/>
      <c r="S3" s="187"/>
      <c r="T3" s="187"/>
      <c r="U3" s="193" t="s">
        <v>275</v>
      </c>
      <c r="V3" s="187"/>
      <c r="W3" s="187"/>
      <c r="X3" s="187"/>
      <c r="Y3" s="187"/>
      <c r="Z3" s="193" t="s">
        <v>276</v>
      </c>
    </row>
    <row r="4" spans="1:26" ht="12.75" customHeight="1" x14ac:dyDescent="0.3">
      <c r="A4" s="626" t="s">
        <v>277</v>
      </c>
      <c r="B4" s="626"/>
      <c r="C4" s="626"/>
      <c r="D4" s="626"/>
      <c r="E4" s="626"/>
      <c r="F4" s="626"/>
      <c r="G4" s="626"/>
      <c r="H4" s="626"/>
      <c r="I4" s="626"/>
      <c r="J4" s="626"/>
      <c r="K4" s="626"/>
      <c r="L4" s="187"/>
      <c r="M4" s="187"/>
      <c r="N4" s="187"/>
      <c r="O4" s="187"/>
      <c r="P4" s="187"/>
      <c r="Q4" s="187"/>
      <c r="R4" s="187"/>
      <c r="S4" s="187"/>
      <c r="T4" s="187"/>
      <c r="U4" s="193" t="s">
        <v>278</v>
      </c>
      <c r="V4" s="187"/>
      <c r="W4" s="187"/>
      <c r="X4" s="187"/>
      <c r="Y4" s="187"/>
      <c r="Z4" s="193" t="s">
        <v>279</v>
      </c>
    </row>
    <row r="5" spans="1:26" ht="12.75" customHeight="1" x14ac:dyDescent="0.3">
      <c r="A5" s="191"/>
      <c r="B5" s="194"/>
      <c r="C5" s="194"/>
      <c r="D5" s="626"/>
      <c r="E5" s="626"/>
      <c r="F5" s="626" t="e">
        <f>#REF!</f>
        <v>#REF!</v>
      </c>
      <c r="G5" s="626"/>
      <c r="H5" s="626" t="e">
        <f>#REF!</f>
        <v>#REF!</v>
      </c>
      <c r="I5" s="626"/>
      <c r="J5" s="626" t="e">
        <f>#REF!</f>
        <v>#REF!</v>
      </c>
      <c r="K5" s="626"/>
      <c r="L5" s="187"/>
      <c r="M5" s="187"/>
      <c r="N5" s="187"/>
      <c r="O5" s="187"/>
      <c r="P5" s="187"/>
      <c r="Q5" s="187"/>
      <c r="R5" s="187"/>
      <c r="S5" s="187"/>
      <c r="T5" s="187"/>
      <c r="U5" s="193" t="s">
        <v>280</v>
      </c>
      <c r="V5" s="187"/>
      <c r="W5" s="187"/>
      <c r="X5" s="187"/>
      <c r="Y5" s="187"/>
      <c r="Z5" s="193" t="s">
        <v>281</v>
      </c>
    </row>
    <row r="6" spans="1:26" ht="12.75" customHeight="1" x14ac:dyDescent="0.3">
      <c r="A6" s="195" t="s">
        <v>282</v>
      </c>
      <c r="B6" s="196"/>
      <c r="C6" s="197"/>
      <c r="D6" s="198"/>
      <c r="E6" s="199"/>
      <c r="F6" s="198"/>
      <c r="G6" s="199"/>
      <c r="H6" s="198"/>
      <c r="I6" s="199"/>
      <c r="J6" s="198"/>
      <c r="K6" s="199"/>
      <c r="L6" s="187"/>
      <c r="M6" s="187"/>
      <c r="N6" s="187"/>
      <c r="O6" s="187"/>
      <c r="P6" s="187"/>
      <c r="Q6" s="187"/>
      <c r="R6" s="187"/>
      <c r="S6" s="187"/>
      <c r="T6" s="187"/>
      <c r="U6" s="193" t="s">
        <v>283</v>
      </c>
      <c r="V6" s="187"/>
      <c r="W6" s="187"/>
      <c r="X6" s="187"/>
      <c r="Y6" s="187"/>
      <c r="Z6" s="193" t="s">
        <v>281</v>
      </c>
    </row>
    <row r="7" spans="1:26" ht="12.75" customHeight="1" x14ac:dyDescent="0.3">
      <c r="A7" s="200" t="s">
        <v>284</v>
      </c>
      <c r="B7" s="194"/>
      <c r="C7" s="194"/>
      <c r="D7" s="627" t="s">
        <v>285</v>
      </c>
      <c r="E7" s="627"/>
      <c r="F7" s="627">
        <v>0</v>
      </c>
      <c r="G7" s="627"/>
      <c r="H7" s="627" t="e">
        <f>#REF!/(#REF!+#REF!)</f>
        <v>#REF!</v>
      </c>
      <c r="I7" s="627"/>
      <c r="J7" s="627" t="e">
        <f>#REF!/(#REF!+#REF!)</f>
        <v>#REF!</v>
      </c>
      <c r="K7" s="627"/>
      <c r="L7" s="187"/>
      <c r="M7" s="187"/>
      <c r="N7" s="187"/>
      <c r="O7" s="187"/>
      <c r="P7" s="187"/>
      <c r="Q7" s="187"/>
      <c r="R7" s="187"/>
      <c r="S7" s="187"/>
      <c r="T7" s="187"/>
      <c r="U7" s="193" t="s">
        <v>286</v>
      </c>
      <c r="V7" s="187"/>
      <c r="W7" s="187"/>
      <c r="X7" s="187"/>
      <c r="Y7" s="187"/>
      <c r="Z7" s="193" t="s">
        <v>281</v>
      </c>
    </row>
    <row r="8" spans="1:26" ht="12.75" customHeight="1" x14ac:dyDescent="0.3">
      <c r="A8" s="201" t="s">
        <v>287</v>
      </c>
      <c r="B8" s="194"/>
      <c r="C8" s="194"/>
      <c r="D8" s="627" t="s">
        <v>285</v>
      </c>
      <c r="E8" s="627"/>
      <c r="F8" s="627">
        <v>0</v>
      </c>
      <c r="G8" s="627"/>
      <c r="H8" s="627" t="e">
        <f>#REF!/#REF!</f>
        <v>#REF!</v>
      </c>
      <c r="I8" s="627"/>
      <c r="J8" s="627" t="e">
        <f>#REF!/#REF!</f>
        <v>#REF!</v>
      </c>
      <c r="K8" s="627"/>
      <c r="L8" s="187"/>
      <c r="M8" s="187"/>
      <c r="N8" s="187"/>
      <c r="O8" s="187"/>
      <c r="P8" s="187"/>
      <c r="Q8" s="187"/>
      <c r="R8" s="187"/>
      <c r="S8" s="187"/>
      <c r="T8" s="187"/>
      <c r="U8" s="193" t="s">
        <v>288</v>
      </c>
      <c r="V8" s="187"/>
      <c r="W8" s="187"/>
      <c r="X8" s="187"/>
      <c r="Y8" s="187"/>
      <c r="Z8" s="193" t="s">
        <v>276</v>
      </c>
    </row>
    <row r="9" spans="1:26" ht="12.75" customHeight="1" x14ac:dyDescent="0.3">
      <c r="A9" s="201" t="s">
        <v>289</v>
      </c>
      <c r="B9" s="194"/>
      <c r="C9" s="194"/>
      <c r="D9" s="627" t="s">
        <v>285</v>
      </c>
      <c r="E9" s="627"/>
      <c r="F9" s="627">
        <v>0</v>
      </c>
      <c r="G9" s="627"/>
      <c r="H9" s="627" t="e">
        <f>#REF!/#REF!</f>
        <v>#REF!</v>
      </c>
      <c r="I9" s="627"/>
      <c r="J9" s="627" t="e">
        <f>#REF!/#REF!</f>
        <v>#REF!</v>
      </c>
      <c r="K9" s="627"/>
      <c r="L9" s="187"/>
      <c r="M9" s="187"/>
      <c r="N9" s="187"/>
      <c r="O9" s="187"/>
      <c r="P9" s="187"/>
      <c r="Q9" s="187"/>
      <c r="R9" s="187"/>
      <c r="S9" s="187"/>
      <c r="T9" s="187"/>
      <c r="U9" s="193" t="s">
        <v>290</v>
      </c>
      <c r="V9" s="187"/>
      <c r="W9" s="187"/>
      <c r="X9" s="187"/>
      <c r="Y9" s="187"/>
      <c r="Z9" s="193" t="s">
        <v>279</v>
      </c>
    </row>
    <row r="10" spans="1:26" ht="12.75" customHeight="1" x14ac:dyDescent="0.3">
      <c r="A10" s="201" t="s">
        <v>291</v>
      </c>
      <c r="B10" s="194"/>
      <c r="C10" s="194"/>
      <c r="D10" s="627" t="s">
        <v>285</v>
      </c>
      <c r="E10" s="627"/>
      <c r="F10" s="627" t="e">
        <f>#REF!</f>
        <v>#REF!</v>
      </c>
      <c r="G10" s="627"/>
      <c r="H10" s="627" t="e">
        <f>#REF!</f>
        <v>#REF!</v>
      </c>
      <c r="I10" s="627"/>
      <c r="J10" s="627" t="e">
        <f>#REF!</f>
        <v>#REF!</v>
      </c>
      <c r="K10" s="627"/>
      <c r="L10" s="187"/>
      <c r="M10" s="187" t="s">
        <v>292</v>
      </c>
      <c r="N10" s="187" t="e">
        <f>#N/A</f>
        <v>#N/A</v>
      </c>
      <c r="O10" s="187"/>
      <c r="P10" s="187"/>
      <c r="Q10" s="187"/>
      <c r="R10" s="187"/>
      <c r="S10" s="187"/>
      <c r="T10" s="187"/>
      <c r="U10" s="193" t="s">
        <v>293</v>
      </c>
      <c r="V10" s="187"/>
      <c r="W10" s="187"/>
      <c r="X10" s="187"/>
      <c r="Y10" s="187"/>
      <c r="Z10" s="193" t="s">
        <v>294</v>
      </c>
    </row>
    <row r="11" spans="1:26" ht="12.75" customHeight="1" x14ac:dyDescent="0.3">
      <c r="A11" s="201" t="s">
        <v>295</v>
      </c>
      <c r="B11" s="194"/>
      <c r="C11" s="194"/>
      <c r="D11" s="627" t="s">
        <v>285</v>
      </c>
      <c r="E11" s="627"/>
      <c r="F11" s="627" t="e">
        <f>#REF!</f>
        <v>#REF!</v>
      </c>
      <c r="G11" s="627"/>
      <c r="H11" s="627" t="e">
        <f>#REF!</f>
        <v>#REF!</v>
      </c>
      <c r="I11" s="627"/>
      <c r="J11" s="627" t="e">
        <f>#REF!</f>
        <v>#REF!</v>
      </c>
      <c r="K11" s="627"/>
      <c r="L11" s="187"/>
      <c r="M11" s="187"/>
      <c r="N11" s="187" t="s">
        <v>296</v>
      </c>
      <c r="O11" s="187"/>
      <c r="P11" s="187"/>
      <c r="Q11" s="187"/>
      <c r="R11" s="187"/>
      <c r="S11" s="187"/>
      <c r="T11" s="187"/>
      <c r="U11" s="193" t="s">
        <v>297</v>
      </c>
      <c r="V11" s="187"/>
      <c r="W11" s="187"/>
      <c r="X11" s="187"/>
      <c r="Y11" s="187"/>
      <c r="Z11" s="193" t="s">
        <v>281</v>
      </c>
    </row>
    <row r="12" spans="1:26" ht="12.75" customHeight="1" x14ac:dyDescent="0.3">
      <c r="A12" s="191"/>
      <c r="B12" s="194"/>
      <c r="C12" s="194"/>
      <c r="D12" s="202"/>
      <c r="E12" s="203"/>
      <c r="F12" s="202"/>
      <c r="G12" s="203"/>
      <c r="H12" s="202"/>
      <c r="I12" s="203"/>
      <c r="J12" s="202"/>
      <c r="K12" s="203"/>
      <c r="L12" s="187"/>
      <c r="M12" s="187"/>
      <c r="N12" s="187"/>
      <c r="O12" s="187"/>
      <c r="P12" s="187"/>
      <c r="Q12" s="187"/>
      <c r="R12" s="187"/>
      <c r="S12" s="187"/>
      <c r="T12" s="187"/>
      <c r="U12" s="193" t="s">
        <v>298</v>
      </c>
      <c r="V12" s="187"/>
      <c r="W12" s="187"/>
      <c r="X12" s="187"/>
      <c r="Y12" s="187"/>
      <c r="Z12" s="193" t="s">
        <v>281</v>
      </c>
    </row>
    <row r="13" spans="1:26" ht="12.75" customHeight="1" x14ac:dyDescent="0.3">
      <c r="A13" s="195" t="s">
        <v>299</v>
      </c>
      <c r="B13" s="196"/>
      <c r="C13" s="197"/>
      <c r="D13" s="204"/>
      <c r="E13" s="205"/>
      <c r="F13" s="204"/>
      <c r="G13" s="205"/>
      <c r="H13" s="204"/>
      <c r="I13" s="205"/>
      <c r="J13" s="204"/>
      <c r="K13" s="205"/>
      <c r="L13" s="187"/>
      <c r="M13" s="187"/>
      <c r="N13" s="187"/>
      <c r="O13" s="187"/>
      <c r="P13" s="187"/>
      <c r="Q13" s="187"/>
      <c r="R13" s="187"/>
      <c r="S13" s="187"/>
      <c r="T13" s="187"/>
      <c r="U13" s="193" t="s">
        <v>300</v>
      </c>
      <c r="V13" s="187"/>
      <c r="W13" s="187"/>
      <c r="X13" s="187"/>
      <c r="Y13" s="187"/>
      <c r="Z13" s="193" t="s">
        <v>276</v>
      </c>
    </row>
    <row r="14" spans="1:26" ht="12.75" customHeight="1" x14ac:dyDescent="0.3">
      <c r="A14" s="191" t="s">
        <v>301</v>
      </c>
      <c r="B14" s="187"/>
      <c r="C14" s="192"/>
      <c r="D14" s="628">
        <v>0</v>
      </c>
      <c r="E14" s="628"/>
      <c r="F14" s="628" t="e">
        <f>#REF!</f>
        <v>#REF!</v>
      </c>
      <c r="G14" s="628"/>
      <c r="H14" s="628" t="e">
        <f>#REF!</f>
        <v>#REF!</v>
      </c>
      <c r="I14" s="628"/>
      <c r="J14" s="628" t="e">
        <f>#REF!</f>
        <v>#REF!</v>
      </c>
      <c r="K14" s="628"/>
      <c r="L14" s="187"/>
      <c r="M14" s="187"/>
      <c r="N14" s="187"/>
      <c r="O14" s="187"/>
      <c r="P14" s="187"/>
      <c r="Q14" s="187"/>
      <c r="R14" s="187"/>
      <c r="S14" s="187"/>
      <c r="T14" s="187"/>
      <c r="U14" s="193" t="s">
        <v>302</v>
      </c>
      <c r="V14" s="187"/>
      <c r="W14" s="187"/>
      <c r="X14" s="187"/>
      <c r="Y14" s="187"/>
      <c r="Z14" s="193" t="s">
        <v>281</v>
      </c>
    </row>
    <row r="15" spans="1:26" ht="12.75" customHeight="1" x14ac:dyDescent="0.3">
      <c r="A15" s="191" t="s">
        <v>303</v>
      </c>
      <c r="B15" s="187"/>
      <c r="C15" s="192"/>
      <c r="D15" s="628">
        <v>0</v>
      </c>
      <c r="E15" s="628"/>
      <c r="F15" s="628" t="e">
        <f>#REF!</f>
        <v>#REF!</v>
      </c>
      <c r="G15" s="628"/>
      <c r="H15" s="628" t="e">
        <f>#REF!</f>
        <v>#REF!</v>
      </c>
      <c r="I15" s="628"/>
      <c r="J15" s="628" t="e">
        <f>#REF!</f>
        <v>#REF!</v>
      </c>
      <c r="K15" s="628"/>
      <c r="L15" s="187"/>
      <c r="M15" s="187"/>
      <c r="N15" s="187"/>
      <c r="O15" s="187"/>
      <c r="P15" s="187"/>
      <c r="Q15" s="187"/>
      <c r="R15" s="187"/>
      <c r="S15" s="187"/>
      <c r="T15" s="187"/>
      <c r="U15" s="193" t="s">
        <v>304</v>
      </c>
      <c r="V15" s="187"/>
      <c r="W15" s="187"/>
      <c r="X15" s="187"/>
      <c r="Y15" s="187"/>
      <c r="Z15" s="193" t="s">
        <v>281</v>
      </c>
    </row>
    <row r="16" spans="1:26" ht="12.75" customHeight="1" x14ac:dyDescent="0.3">
      <c r="A16" s="191" t="s">
        <v>305</v>
      </c>
      <c r="B16" s="187"/>
      <c r="C16" s="192"/>
      <c r="D16" s="628">
        <v>0</v>
      </c>
      <c r="E16" s="628"/>
      <c r="F16" s="629" t="e">
        <f>#REF!</f>
        <v>#REF!</v>
      </c>
      <c r="G16" s="629"/>
      <c r="H16" s="629" t="e">
        <f>#REF!</f>
        <v>#REF!</v>
      </c>
      <c r="I16" s="629"/>
      <c r="J16" s="629" t="e">
        <f>#REF!</f>
        <v>#REF!</v>
      </c>
      <c r="K16" s="629"/>
      <c r="L16" s="187"/>
      <c r="M16" s="187"/>
      <c r="N16" s="187"/>
      <c r="O16" s="187"/>
      <c r="P16" s="187"/>
      <c r="Q16" s="187"/>
      <c r="R16" s="187"/>
      <c r="S16" s="187"/>
      <c r="T16" s="187"/>
      <c r="U16" s="193" t="s">
        <v>306</v>
      </c>
      <c r="V16" s="187"/>
      <c r="W16" s="187"/>
      <c r="X16" s="187"/>
      <c r="Y16" s="187"/>
      <c r="Z16" s="193" t="s">
        <v>281</v>
      </c>
    </row>
    <row r="17" spans="1:26" ht="12.75" customHeight="1" x14ac:dyDescent="0.3">
      <c r="A17" s="191"/>
      <c r="B17" s="187"/>
      <c r="C17" s="192"/>
      <c r="D17" s="206"/>
      <c r="E17" s="207"/>
      <c r="F17" s="206"/>
      <c r="G17" s="207"/>
      <c r="H17" s="206"/>
      <c r="I17" s="207"/>
      <c r="J17" s="206"/>
      <c r="K17" s="207"/>
      <c r="L17" s="187"/>
      <c r="M17" s="187"/>
      <c r="N17" s="187"/>
      <c r="O17" s="187"/>
      <c r="P17" s="187"/>
      <c r="Q17" s="187"/>
      <c r="R17" s="187"/>
      <c r="S17" s="187"/>
      <c r="T17" s="187"/>
      <c r="U17" s="193" t="s">
        <v>307</v>
      </c>
      <c r="V17" s="187"/>
      <c r="W17" s="187"/>
      <c r="X17" s="187"/>
      <c r="Y17" s="187"/>
      <c r="Z17" s="193" t="s">
        <v>281</v>
      </c>
    </row>
    <row r="18" spans="1:26" ht="12.75" customHeight="1" x14ac:dyDescent="0.3">
      <c r="A18" s="208" t="s">
        <v>308</v>
      </c>
      <c r="B18" s="209"/>
      <c r="C18" s="210"/>
      <c r="D18" s="211"/>
      <c r="E18" s="212"/>
      <c r="F18" s="211"/>
      <c r="G18" s="212"/>
      <c r="H18" s="211"/>
      <c r="I18" s="212"/>
      <c r="J18" s="211"/>
      <c r="K18" s="212"/>
      <c r="L18" s="187"/>
      <c r="M18" s="187"/>
      <c r="N18" s="187"/>
      <c r="O18" s="187"/>
      <c r="P18" s="187"/>
      <c r="Q18" s="187"/>
      <c r="R18" s="187"/>
      <c r="S18" s="187"/>
      <c r="T18" s="187"/>
      <c r="U18" s="193" t="s">
        <v>309</v>
      </c>
      <c r="V18" s="187"/>
      <c r="W18" s="187"/>
      <c r="X18" s="187"/>
      <c r="Y18" s="187"/>
      <c r="Z18" s="193" t="s">
        <v>276</v>
      </c>
    </row>
    <row r="19" spans="1:26" ht="12.75" customHeight="1" x14ac:dyDescent="0.3">
      <c r="A19" s="191" t="s">
        <v>310</v>
      </c>
      <c r="B19" s="187"/>
      <c r="C19" s="192"/>
      <c r="D19" s="628">
        <v>0</v>
      </c>
      <c r="E19" s="628"/>
      <c r="F19" s="628" t="e">
        <f>#REF!</f>
        <v>#REF!</v>
      </c>
      <c r="G19" s="628"/>
      <c r="H19" s="628" t="e">
        <f>#REF!</f>
        <v>#REF!</v>
      </c>
      <c r="I19" s="628"/>
      <c r="J19" s="628" t="e">
        <f>#REF!</f>
        <v>#REF!</v>
      </c>
      <c r="K19" s="628"/>
      <c r="L19" s="187"/>
      <c r="M19" s="187"/>
      <c r="N19" s="187"/>
      <c r="O19" s="187"/>
      <c r="P19" s="187"/>
      <c r="Q19" s="187"/>
      <c r="R19" s="187"/>
      <c r="S19" s="187"/>
      <c r="T19" s="187"/>
      <c r="U19" s="193" t="s">
        <v>311</v>
      </c>
      <c r="V19" s="187"/>
      <c r="W19" s="187"/>
      <c r="X19" s="187"/>
      <c r="Y19" s="187"/>
      <c r="Z19" s="193" t="s">
        <v>281</v>
      </c>
    </row>
    <row r="20" spans="1:26" ht="12.75" customHeight="1" x14ac:dyDescent="0.3">
      <c r="A20" s="191" t="s">
        <v>312</v>
      </c>
      <c r="B20" s="187"/>
      <c r="C20" s="192"/>
      <c r="D20" s="628">
        <v>0</v>
      </c>
      <c r="E20" s="628"/>
      <c r="F20" s="628" t="e">
        <f>#REF!</f>
        <v>#REF!</v>
      </c>
      <c r="G20" s="628"/>
      <c r="H20" s="628" t="e">
        <f>#REF!</f>
        <v>#REF!</v>
      </c>
      <c r="I20" s="628"/>
      <c r="J20" s="628" t="e">
        <f>#REF!</f>
        <v>#REF!</v>
      </c>
      <c r="K20" s="628"/>
      <c r="L20" s="187"/>
      <c r="M20" s="187"/>
      <c r="N20" s="187"/>
      <c r="O20" s="187"/>
      <c r="P20" s="187"/>
      <c r="Q20" s="187"/>
      <c r="R20" s="187"/>
      <c r="S20" s="187"/>
      <c r="T20" s="187"/>
      <c r="U20" s="193" t="s">
        <v>313</v>
      </c>
      <c r="V20" s="187"/>
      <c r="W20" s="187"/>
      <c r="X20" s="187"/>
      <c r="Y20" s="187"/>
      <c r="Z20" s="193" t="s">
        <v>281</v>
      </c>
    </row>
    <row r="21" spans="1:26" ht="12.75" customHeight="1" x14ac:dyDescent="0.3">
      <c r="A21" s="201" t="s">
        <v>314</v>
      </c>
      <c r="B21" s="187"/>
      <c r="C21" s="192"/>
      <c r="D21" s="628">
        <v>0</v>
      </c>
      <c r="E21" s="628"/>
      <c r="F21" s="628" t="e">
        <f>#REF!</f>
        <v>#REF!</v>
      </c>
      <c r="G21" s="628"/>
      <c r="H21" s="628" t="e">
        <f>#REF!</f>
        <v>#REF!</v>
      </c>
      <c r="I21" s="628"/>
      <c r="J21" s="628" t="e">
        <f>#REF!</f>
        <v>#REF!</v>
      </c>
      <c r="K21" s="628"/>
      <c r="L21" s="187"/>
      <c r="M21" s="187"/>
      <c r="N21" s="187"/>
      <c r="O21" s="187"/>
      <c r="P21" s="187"/>
      <c r="Q21" s="187"/>
      <c r="R21" s="187"/>
      <c r="S21" s="187"/>
      <c r="T21" s="187"/>
      <c r="U21" s="193" t="s">
        <v>315</v>
      </c>
      <c r="V21" s="187"/>
      <c r="W21" s="187"/>
      <c r="X21" s="187"/>
      <c r="Y21" s="187"/>
      <c r="Z21" s="193" t="s">
        <v>281</v>
      </c>
    </row>
    <row r="22" spans="1:26" ht="12.75" customHeight="1" x14ac:dyDescent="0.3">
      <c r="A22" s="201"/>
      <c r="B22" s="187"/>
      <c r="C22" s="192"/>
      <c r="D22" s="206"/>
      <c r="E22" s="207"/>
      <c r="F22" s="206"/>
      <c r="G22" s="207"/>
      <c r="H22" s="206"/>
      <c r="I22" s="207"/>
      <c r="J22" s="206"/>
      <c r="K22" s="207"/>
      <c r="L22" s="187"/>
      <c r="M22" s="187"/>
      <c r="N22" s="187"/>
      <c r="O22" s="187"/>
      <c r="P22" s="187"/>
      <c r="Q22" s="187"/>
      <c r="R22" s="187"/>
      <c r="S22" s="187"/>
      <c r="T22" s="187"/>
      <c r="U22" s="193" t="s">
        <v>316</v>
      </c>
      <c r="V22" s="187"/>
      <c r="W22" s="187"/>
      <c r="X22" s="187"/>
      <c r="Y22" s="187"/>
      <c r="Z22" s="193" t="s">
        <v>294</v>
      </c>
    </row>
    <row r="23" spans="1:26" ht="12.75" customHeight="1" x14ac:dyDescent="0.3">
      <c r="A23" s="213" t="s">
        <v>317</v>
      </c>
      <c r="B23" s="196"/>
      <c r="C23" s="197"/>
      <c r="D23" s="211"/>
      <c r="E23" s="212"/>
      <c r="F23" s="211"/>
      <c r="G23" s="212"/>
      <c r="H23" s="211"/>
      <c r="I23" s="212"/>
      <c r="J23" s="211"/>
      <c r="K23" s="212"/>
      <c r="L23" s="187"/>
      <c r="M23" s="187"/>
      <c r="N23" s="187"/>
      <c r="O23" s="187"/>
      <c r="P23" s="187"/>
      <c r="Q23" s="187"/>
      <c r="R23" s="187"/>
      <c r="S23" s="187"/>
      <c r="T23" s="187"/>
      <c r="U23" s="193" t="s">
        <v>318</v>
      </c>
      <c r="V23" s="187"/>
      <c r="W23" s="187"/>
      <c r="X23" s="187"/>
      <c r="Y23" s="187"/>
      <c r="Z23" s="193" t="s">
        <v>276</v>
      </c>
    </row>
    <row r="24" spans="1:26" ht="12.75" customHeight="1" x14ac:dyDescent="0.3">
      <c r="A24" s="191" t="s">
        <v>319</v>
      </c>
      <c r="B24" s="187"/>
      <c r="C24" s="192"/>
      <c r="D24" s="628">
        <v>0</v>
      </c>
      <c r="E24" s="628"/>
      <c r="F24" s="628" t="e">
        <f>#REF!</f>
        <v>#REF!</v>
      </c>
      <c r="G24" s="628"/>
      <c r="H24" s="628" t="e">
        <f>#REF!</f>
        <v>#REF!</v>
      </c>
      <c r="I24" s="628"/>
      <c r="J24" s="628" t="e">
        <f>#REF!</f>
        <v>#REF!</v>
      </c>
      <c r="K24" s="628"/>
      <c r="L24" s="187"/>
      <c r="M24" s="187"/>
      <c r="N24" s="187"/>
      <c r="O24" s="187"/>
      <c r="P24" s="187"/>
      <c r="Q24" s="187"/>
      <c r="R24" s="187"/>
      <c r="S24" s="187"/>
      <c r="T24" s="187"/>
      <c r="U24" s="193" t="s">
        <v>320</v>
      </c>
      <c r="V24" s="187"/>
      <c r="W24" s="187"/>
      <c r="X24" s="187"/>
      <c r="Y24" s="187"/>
      <c r="Z24" s="193" t="s">
        <v>276</v>
      </c>
    </row>
    <row r="25" spans="1:26" ht="12.75" customHeight="1" x14ac:dyDescent="0.3">
      <c r="A25" s="191" t="s">
        <v>321</v>
      </c>
      <c r="B25" s="187"/>
      <c r="C25" s="192"/>
      <c r="D25" s="628">
        <v>0</v>
      </c>
      <c r="E25" s="628"/>
      <c r="F25" s="628" t="e">
        <f>#REF!</f>
        <v>#REF!</v>
      </c>
      <c r="G25" s="628"/>
      <c r="H25" s="628" t="e">
        <f>#REF!</f>
        <v>#REF!</v>
      </c>
      <c r="I25" s="628"/>
      <c r="J25" s="628" t="e">
        <f>#REF!</f>
        <v>#REF!</v>
      </c>
      <c r="K25" s="628"/>
      <c r="L25" s="187"/>
      <c r="M25" s="187"/>
      <c r="N25" s="187"/>
      <c r="O25" s="187"/>
      <c r="P25" s="187"/>
      <c r="Q25" s="187"/>
      <c r="R25" s="187"/>
      <c r="S25" s="187"/>
      <c r="T25" s="187"/>
      <c r="U25" s="193" t="s">
        <v>322</v>
      </c>
      <c r="V25" s="187"/>
      <c r="W25" s="187"/>
      <c r="X25" s="187"/>
      <c r="Y25" s="187"/>
      <c r="Z25" s="193" t="s">
        <v>276</v>
      </c>
    </row>
    <row r="26" spans="1:26" ht="12.75" customHeight="1" x14ac:dyDescent="0.3">
      <c r="A26" s="191" t="s">
        <v>323</v>
      </c>
      <c r="B26" s="187"/>
      <c r="C26" s="192"/>
      <c r="D26" s="628">
        <v>0</v>
      </c>
      <c r="E26" s="628"/>
      <c r="F26" s="628" t="e">
        <f>#REF!</f>
        <v>#REF!</v>
      </c>
      <c r="G26" s="628"/>
      <c r="H26" s="628" t="e">
        <f>#REF!</f>
        <v>#REF!</v>
      </c>
      <c r="I26" s="628"/>
      <c r="J26" s="628" t="e">
        <f>#REF!</f>
        <v>#REF!</v>
      </c>
      <c r="K26" s="628"/>
      <c r="L26" s="187"/>
      <c r="M26" s="187"/>
      <c r="N26" s="187"/>
      <c r="O26" s="187"/>
      <c r="P26" s="187"/>
      <c r="Q26" s="187"/>
      <c r="R26" s="187"/>
      <c r="S26" s="187"/>
      <c r="T26" s="187"/>
      <c r="U26" s="193" t="s">
        <v>324</v>
      </c>
      <c r="V26" s="187"/>
      <c r="W26" s="187"/>
      <c r="X26" s="187"/>
      <c r="Y26" s="187"/>
      <c r="Z26" s="193" t="s">
        <v>294</v>
      </c>
    </row>
    <row r="27" spans="1:26" ht="12.75" customHeight="1" x14ac:dyDescent="0.25">
      <c r="A27" s="191" t="s">
        <v>325</v>
      </c>
      <c r="B27" s="187"/>
      <c r="C27" s="192"/>
      <c r="D27" s="628">
        <v>0</v>
      </c>
      <c r="E27" s="628"/>
      <c r="F27" s="628" t="e">
        <f>IF(#REF!=0,0,#REF!/#REF!)</f>
        <v>#REF!</v>
      </c>
      <c r="G27" s="628"/>
      <c r="H27" s="628" t="e">
        <f>IF(#REF!=0,0,#REF!/#REF!)</f>
        <v>#REF!</v>
      </c>
      <c r="I27" s="628"/>
      <c r="J27" s="628" t="e">
        <f>IF(#REF!=0,0,#REF!/#REF!)</f>
        <v>#REF!</v>
      </c>
      <c r="K27" s="628"/>
      <c r="L27" s="187"/>
      <c r="M27" s="187"/>
      <c r="N27" s="187"/>
      <c r="O27" s="187"/>
      <c r="P27" s="187"/>
      <c r="Q27" s="187"/>
      <c r="R27" s="187"/>
      <c r="S27" s="187"/>
      <c r="T27" s="187"/>
      <c r="U27" s="187"/>
      <c r="V27" s="187"/>
      <c r="W27" s="187"/>
      <c r="X27" s="187"/>
      <c r="Y27" s="187"/>
      <c r="Z27" s="187"/>
    </row>
    <row r="28" spans="1:26" ht="12.75" customHeight="1" x14ac:dyDescent="0.25">
      <c r="A28" s="191" t="s">
        <v>326</v>
      </c>
      <c r="B28" s="187"/>
      <c r="C28" s="192"/>
      <c r="D28" s="628">
        <v>0</v>
      </c>
      <c r="E28" s="628"/>
      <c r="F28" s="628" t="e">
        <f>#REF!</f>
        <v>#REF!</v>
      </c>
      <c r="G28" s="628"/>
      <c r="H28" s="628" t="e">
        <f>#REF!</f>
        <v>#REF!</v>
      </c>
      <c r="I28" s="628"/>
      <c r="J28" s="628" t="e">
        <f>#REF!</f>
        <v>#REF!</v>
      </c>
      <c r="K28" s="628"/>
      <c r="L28" s="187"/>
      <c r="M28" s="187"/>
      <c r="N28" s="187"/>
      <c r="O28" s="187"/>
      <c r="P28" s="187"/>
      <c r="Q28" s="187"/>
      <c r="R28" s="187"/>
      <c r="S28" s="187"/>
      <c r="T28" s="187"/>
      <c r="U28" s="187"/>
      <c r="V28" s="187"/>
      <c r="W28" s="187"/>
      <c r="X28" s="187"/>
      <c r="Y28" s="187"/>
      <c r="Z28" s="187"/>
    </row>
    <row r="29" spans="1:26" ht="12.75" customHeight="1" x14ac:dyDescent="0.25">
      <c r="A29" s="191" t="s">
        <v>327</v>
      </c>
      <c r="B29" s="187"/>
      <c r="C29" s="192"/>
      <c r="D29" s="628">
        <v>0</v>
      </c>
      <c r="E29" s="628"/>
      <c r="F29" s="628" t="e">
        <f>#REF!</f>
        <v>#REF!</v>
      </c>
      <c r="G29" s="628"/>
      <c r="H29" s="628" t="e">
        <f>#REF!</f>
        <v>#REF!</v>
      </c>
      <c r="I29" s="628"/>
      <c r="J29" s="628" t="e">
        <f>#REF!</f>
        <v>#REF!</v>
      </c>
      <c r="K29" s="628"/>
      <c r="L29" s="187"/>
      <c r="M29" s="187"/>
      <c r="N29" s="187"/>
      <c r="O29" s="187"/>
      <c r="P29" s="187"/>
      <c r="Q29" s="187"/>
      <c r="R29" s="187"/>
      <c r="S29" s="187"/>
      <c r="T29" s="187"/>
      <c r="U29" s="187"/>
      <c r="V29" s="187"/>
      <c r="W29" s="187"/>
      <c r="X29" s="187"/>
      <c r="Y29" s="187"/>
      <c r="Z29" s="187"/>
    </row>
    <row r="30" spans="1:26" ht="12.75" customHeight="1" x14ac:dyDescent="0.25">
      <c r="A30" s="191" t="s">
        <v>328</v>
      </c>
      <c r="B30" s="187"/>
      <c r="C30" s="192"/>
      <c r="D30" s="628">
        <v>0</v>
      </c>
      <c r="E30" s="628"/>
      <c r="F30" s="628" t="e">
        <f>F28+F29</f>
        <v>#REF!</v>
      </c>
      <c r="G30" s="628"/>
      <c r="H30" s="628" t="e">
        <f>H28+H29</f>
        <v>#REF!</v>
      </c>
      <c r="I30" s="628"/>
      <c r="J30" s="628" t="e">
        <f>J28+J29</f>
        <v>#REF!</v>
      </c>
      <c r="K30" s="628"/>
      <c r="L30" s="187"/>
      <c r="M30" s="187"/>
      <c r="N30" s="187"/>
      <c r="O30" s="187"/>
      <c r="P30" s="187"/>
      <c r="Q30" s="187"/>
      <c r="R30" s="187"/>
      <c r="S30" s="187"/>
      <c r="T30" s="187"/>
      <c r="U30" s="187"/>
      <c r="V30" s="187"/>
      <c r="W30" s="187"/>
      <c r="X30" s="187"/>
      <c r="Y30" s="187"/>
      <c r="Z30" s="187"/>
    </row>
    <row r="31" spans="1:26" ht="12.75" customHeight="1" x14ac:dyDescent="0.25">
      <c r="A31" s="214" t="s">
        <v>329</v>
      </c>
      <c r="B31" s="215"/>
      <c r="C31" s="216"/>
      <c r="D31" s="633">
        <v>0</v>
      </c>
      <c r="E31" s="633"/>
      <c r="F31" s="633" t="e">
        <f>#REF!</f>
        <v>#REF!</v>
      </c>
      <c r="G31" s="633"/>
      <c r="H31" s="633" t="e">
        <f>#REF!</f>
        <v>#REF!</v>
      </c>
      <c r="I31" s="633"/>
      <c r="J31" s="633" t="e">
        <f>#REF!</f>
        <v>#REF!</v>
      </c>
      <c r="K31" s="633"/>
      <c r="L31" s="187"/>
      <c r="M31" s="187"/>
      <c r="N31" s="187"/>
      <c r="O31" s="187"/>
      <c r="P31" s="187"/>
      <c r="Q31" s="187"/>
      <c r="R31" s="187"/>
      <c r="S31" s="187"/>
      <c r="T31" s="187"/>
      <c r="U31" s="187"/>
      <c r="V31" s="187"/>
      <c r="W31" s="187"/>
      <c r="X31" s="187"/>
      <c r="Y31" s="187"/>
      <c r="Z31" s="187"/>
    </row>
    <row r="32" spans="1:26" ht="12.75" customHeight="1" x14ac:dyDescent="0.25">
      <c r="A32" s="217"/>
      <c r="B32" s="634" t="s">
        <v>330</v>
      </c>
      <c r="C32" s="634"/>
      <c r="D32" s="634"/>
      <c r="E32" s="218" t="s">
        <v>331</v>
      </c>
      <c r="F32" s="218" t="s">
        <v>331</v>
      </c>
      <c r="G32" s="219" t="s">
        <v>331</v>
      </c>
      <c r="H32" s="219" t="s">
        <v>332</v>
      </c>
      <c r="I32" s="187"/>
      <c r="J32" s="220"/>
      <c r="K32" s="221"/>
      <c r="L32" s="187"/>
      <c r="M32" s="187"/>
      <c r="N32" s="187"/>
      <c r="O32" s="187"/>
      <c r="P32" s="187"/>
      <c r="Q32" s="187"/>
      <c r="R32" s="187"/>
      <c r="S32" s="187"/>
      <c r="T32" s="187"/>
      <c r="U32" s="187"/>
      <c r="V32" s="187"/>
      <c r="W32" s="187"/>
      <c r="X32" s="187"/>
      <c r="Y32" s="187"/>
      <c r="Z32" s="187"/>
    </row>
    <row r="33" spans="1:16" ht="12.75" customHeight="1" x14ac:dyDescent="0.25">
      <c r="A33" s="217"/>
      <c r="B33" s="219" t="s">
        <v>333</v>
      </c>
      <c r="C33" s="219" t="s">
        <v>333</v>
      </c>
      <c r="D33" s="219" t="s">
        <v>333</v>
      </c>
      <c r="E33" s="218" t="s">
        <v>334</v>
      </c>
      <c r="F33" s="218" t="s">
        <v>335</v>
      </c>
      <c r="G33" s="219" t="s">
        <v>336</v>
      </c>
      <c r="H33" s="222">
        <v>5.0000000000000001E-3</v>
      </c>
      <c r="I33" s="187"/>
      <c r="J33" s="220"/>
      <c r="K33" s="221"/>
      <c r="L33" s="187"/>
      <c r="M33" s="187"/>
      <c r="N33" s="187"/>
      <c r="O33" s="187"/>
      <c r="P33" s="187"/>
    </row>
    <row r="34" spans="1:16" ht="12.75" customHeight="1" x14ac:dyDescent="0.25">
      <c r="A34" s="217"/>
      <c r="B34" s="219" t="s">
        <v>337</v>
      </c>
      <c r="C34" s="219" t="s">
        <v>338</v>
      </c>
      <c r="D34" s="219" t="s">
        <v>339</v>
      </c>
      <c r="E34" s="218" t="s">
        <v>340</v>
      </c>
      <c r="F34" s="218" t="s">
        <v>341</v>
      </c>
      <c r="G34" s="219" t="s">
        <v>342</v>
      </c>
      <c r="H34" s="222">
        <v>9.9000000000000008E-3</v>
      </c>
      <c r="I34" s="187"/>
      <c r="J34" s="220"/>
      <c r="K34" s="221"/>
      <c r="L34" s="187"/>
      <c r="M34" s="187"/>
      <c r="N34" s="187"/>
      <c r="O34" s="187"/>
      <c r="P34" s="187"/>
    </row>
    <row r="35" spans="1:16" ht="12.75" customHeight="1" x14ac:dyDescent="0.25">
      <c r="A35" s="217"/>
      <c r="B35" s="223">
        <v>0</v>
      </c>
      <c r="C35" s="224" t="e">
        <f>K80</f>
        <v>#REF!</v>
      </c>
      <c r="D35" s="224">
        <f>VLOOKUP(D36,$O$41:$P$49,2)</f>
        <v>5</v>
      </c>
      <c r="E35" s="224">
        <f>VLOOKUP(E36,$O$41:$P$49,2)</f>
        <v>7</v>
      </c>
      <c r="F35" s="224" t="e">
        <f>HLOOKUP(E35,C49:K58,C35+1)</f>
        <v>#REF!</v>
      </c>
      <c r="G35" s="219" t="s">
        <v>343</v>
      </c>
      <c r="H35" s="222">
        <v>4.99E-2</v>
      </c>
      <c r="I35" s="187"/>
      <c r="J35" s="220"/>
      <c r="K35" s="221"/>
      <c r="L35" s="187"/>
      <c r="M35" s="187"/>
      <c r="N35" s="187"/>
      <c r="O35" s="187"/>
      <c r="P35" s="187"/>
    </row>
    <row r="36" spans="1:16" ht="12.75" customHeight="1" x14ac:dyDescent="0.25">
      <c r="A36" s="217"/>
      <c r="B36" s="225"/>
      <c r="C36" s="226" t="e">
        <f>VLOOKUP(C35,$P$85:$Q$93,2)</f>
        <v>#REF!</v>
      </c>
      <c r="D36" s="226" t="s">
        <v>344</v>
      </c>
      <c r="E36" s="226" t="str">
        <f>VLOOKUP(Pre_calif!K46,M41:O49,3)</f>
        <v>C2</v>
      </c>
      <c r="F36" s="227" t="e">
        <f>VLOOKUP(F35,$P$85:$Q$93,2)</f>
        <v>#REF!</v>
      </c>
      <c r="G36" s="219" t="s">
        <v>345</v>
      </c>
      <c r="H36" s="222">
        <v>9.9900000000000003E-2</v>
      </c>
      <c r="I36" s="187"/>
      <c r="J36" s="220"/>
      <c r="K36" s="221"/>
      <c r="L36" s="187"/>
      <c r="M36" s="187"/>
      <c r="N36" s="187"/>
      <c r="O36" s="187"/>
      <c r="P36" s="187"/>
    </row>
    <row r="37" spans="1:16" ht="12.75" customHeight="1" x14ac:dyDescent="0.25">
      <c r="A37" s="217"/>
      <c r="B37" s="225"/>
      <c r="C37" s="228"/>
      <c r="D37" s="229"/>
      <c r="E37" s="225"/>
      <c r="F37" s="230" t="e">
        <f>(VLOOKUP(F35,$P$85:$R$93,3))</f>
        <v>#REF!</v>
      </c>
      <c r="G37" s="219" t="s">
        <v>346</v>
      </c>
      <c r="H37" s="222">
        <v>0.19989999999999999</v>
      </c>
      <c r="I37" s="187"/>
      <c r="J37" s="220"/>
      <c r="K37" s="221"/>
      <c r="L37" s="187"/>
      <c r="M37" s="187"/>
      <c r="N37" s="187"/>
      <c r="O37" s="187"/>
      <c r="P37" s="187"/>
    </row>
    <row r="38" spans="1:16" ht="12.75" customHeight="1" x14ac:dyDescent="0.25">
      <c r="A38" s="217"/>
      <c r="B38" s="225"/>
      <c r="C38" s="225"/>
      <c r="D38" s="228"/>
      <c r="E38" s="231"/>
      <c r="F38" s="231"/>
      <c r="G38" s="219" t="s">
        <v>347</v>
      </c>
      <c r="H38" s="222">
        <v>0.39989999999999998</v>
      </c>
      <c r="I38" s="187"/>
      <c r="J38" s="220"/>
      <c r="K38" s="221"/>
      <c r="L38" s="187"/>
      <c r="M38" s="187"/>
      <c r="N38" s="187"/>
      <c r="O38" s="187"/>
      <c r="P38" s="187"/>
    </row>
    <row r="39" spans="1:16" ht="12.75" customHeight="1" x14ac:dyDescent="0.25">
      <c r="A39" s="232"/>
      <c r="B39" s="233"/>
      <c r="C39" s="233"/>
      <c r="D39" s="233"/>
      <c r="E39" s="234"/>
      <c r="F39" s="234"/>
      <c r="G39" s="235" t="s">
        <v>348</v>
      </c>
      <c r="H39" s="236">
        <v>0.59989999999999999</v>
      </c>
      <c r="I39" s="237"/>
      <c r="J39" s="237"/>
      <c r="K39" s="238"/>
      <c r="L39" s="187"/>
      <c r="M39" s="187"/>
      <c r="N39" s="187"/>
      <c r="O39" s="187"/>
      <c r="P39" s="187"/>
    </row>
    <row r="40" spans="1:16" ht="12.75" customHeight="1" x14ac:dyDescent="0.25">
      <c r="A40" s="232"/>
      <c r="B40" s="237"/>
      <c r="C40" s="237"/>
      <c r="D40" s="237"/>
      <c r="E40" s="237"/>
      <c r="F40" s="237"/>
      <c r="G40" s="235" t="s">
        <v>349</v>
      </c>
      <c r="H40" s="236">
        <v>0.89990000000000003</v>
      </c>
      <c r="I40" s="237"/>
      <c r="J40" s="237"/>
      <c r="K40" s="238"/>
      <c r="L40" s="187"/>
      <c r="M40" s="187"/>
      <c r="N40" s="187"/>
      <c r="O40" s="187"/>
      <c r="P40" s="187"/>
    </row>
    <row r="41" spans="1:16" ht="12.75" customHeight="1" x14ac:dyDescent="0.25">
      <c r="A41" s="232"/>
      <c r="B41" s="237"/>
      <c r="C41" s="237"/>
      <c r="D41" s="237"/>
      <c r="E41" s="237"/>
      <c r="F41" s="237"/>
      <c r="G41" s="235" t="s">
        <v>350</v>
      </c>
      <c r="H41" s="236">
        <v>1</v>
      </c>
      <c r="I41" s="237"/>
      <c r="J41" s="237"/>
      <c r="K41" s="238"/>
      <c r="L41" s="187"/>
      <c r="M41" s="187">
        <v>0</v>
      </c>
      <c r="N41" s="187">
        <v>0</v>
      </c>
      <c r="O41" s="239" t="s">
        <v>351</v>
      </c>
      <c r="P41" s="142">
        <v>1</v>
      </c>
    </row>
    <row r="42" spans="1:16" ht="12.75" customHeight="1" x14ac:dyDescent="0.25">
      <c r="A42" s="232"/>
      <c r="B42" s="234"/>
      <c r="C42" s="630" t="s">
        <v>352</v>
      </c>
      <c r="D42" s="630"/>
      <c r="E42" s="630"/>
      <c r="F42" s="630"/>
      <c r="G42" s="630"/>
      <c r="H42" s="630"/>
      <c r="I42" s="630"/>
      <c r="J42" s="630"/>
      <c r="K42" s="630"/>
      <c r="L42" s="241"/>
      <c r="M42" s="142">
        <v>1</v>
      </c>
      <c r="N42" s="142">
        <v>14</v>
      </c>
      <c r="O42" s="239" t="s">
        <v>353</v>
      </c>
      <c r="P42" s="142">
        <v>2</v>
      </c>
    </row>
    <row r="43" spans="1:16" ht="12.75" customHeight="1" x14ac:dyDescent="0.25">
      <c r="A43" s="232"/>
      <c r="B43" s="235"/>
      <c r="C43" s="235" t="s">
        <v>336</v>
      </c>
      <c r="D43" s="235" t="s">
        <v>342</v>
      </c>
      <c r="E43" s="235" t="s">
        <v>343</v>
      </c>
      <c r="F43" s="235" t="s">
        <v>345</v>
      </c>
      <c r="G43" s="235" t="s">
        <v>346</v>
      </c>
      <c r="H43" s="235" t="s">
        <v>347</v>
      </c>
      <c r="I43" s="235" t="s">
        <v>348</v>
      </c>
      <c r="J43" s="235" t="s">
        <v>349</v>
      </c>
      <c r="K43" s="240" t="s">
        <v>350</v>
      </c>
      <c r="L43" s="187"/>
      <c r="M43" s="142">
        <v>15</v>
      </c>
      <c r="N43" s="142">
        <v>29</v>
      </c>
      <c r="O43" s="239" t="s">
        <v>354</v>
      </c>
      <c r="P43" s="142">
        <v>3</v>
      </c>
    </row>
    <row r="44" spans="1:16" ht="12.75" customHeight="1" x14ac:dyDescent="0.25">
      <c r="A44" s="232"/>
      <c r="B44" s="235" t="s">
        <v>355</v>
      </c>
      <c r="C44" s="235">
        <v>0</v>
      </c>
      <c r="D44" s="235" t="s">
        <v>356</v>
      </c>
      <c r="E44" s="235" t="s">
        <v>357</v>
      </c>
      <c r="F44" s="235" t="s">
        <v>358</v>
      </c>
      <c r="G44" s="235" t="s">
        <v>359</v>
      </c>
      <c r="H44" s="235" t="s">
        <v>360</v>
      </c>
      <c r="I44" s="235" t="s">
        <v>361</v>
      </c>
      <c r="J44" s="235" t="s">
        <v>362</v>
      </c>
      <c r="K44" s="240" t="s">
        <v>363</v>
      </c>
      <c r="L44" s="187"/>
      <c r="M44" s="142">
        <v>30</v>
      </c>
      <c r="N44" s="142">
        <v>44</v>
      </c>
      <c r="O44" s="239" t="s">
        <v>364</v>
      </c>
      <c r="P44" s="142">
        <v>4</v>
      </c>
    </row>
    <row r="45" spans="1:16" ht="12.75" customHeight="1" x14ac:dyDescent="0.25">
      <c r="A45" s="232"/>
      <c r="B45" s="235"/>
      <c r="C45" s="233"/>
      <c r="D45" s="233"/>
      <c r="E45" s="233"/>
      <c r="F45" s="233"/>
      <c r="G45" s="233"/>
      <c r="H45" s="233"/>
      <c r="I45" s="233"/>
      <c r="J45" s="237"/>
      <c r="K45" s="238"/>
      <c r="L45" s="187"/>
      <c r="M45" s="142">
        <v>45</v>
      </c>
      <c r="N45" s="142">
        <v>59</v>
      </c>
      <c r="O45" s="239" t="s">
        <v>344</v>
      </c>
      <c r="P45" s="142">
        <v>5</v>
      </c>
    </row>
    <row r="46" spans="1:16" ht="12.75" customHeight="1" x14ac:dyDescent="0.25">
      <c r="A46" s="232"/>
      <c r="B46" s="631" t="s">
        <v>365</v>
      </c>
      <c r="C46" s="631"/>
      <c r="D46" s="631"/>
      <c r="E46" s="631"/>
      <c r="F46" s="631"/>
      <c r="G46" s="631"/>
      <c r="H46" s="631"/>
      <c r="I46" s="631"/>
      <c r="J46" s="631"/>
      <c r="K46" s="631"/>
      <c r="L46" s="187"/>
      <c r="M46" s="142">
        <v>60</v>
      </c>
      <c r="N46" s="142">
        <v>89</v>
      </c>
      <c r="O46" s="239" t="s">
        <v>366</v>
      </c>
      <c r="P46" s="142">
        <v>6</v>
      </c>
    </row>
    <row r="47" spans="1:16" ht="12.75" customHeight="1" x14ac:dyDescent="0.25">
      <c r="A47" s="232"/>
      <c r="B47" s="242" t="s">
        <v>331</v>
      </c>
      <c r="C47" s="632" t="s">
        <v>367</v>
      </c>
      <c r="D47" s="632"/>
      <c r="E47" s="632"/>
      <c r="F47" s="632"/>
      <c r="G47" s="632"/>
      <c r="H47" s="632"/>
      <c r="I47" s="632"/>
      <c r="J47" s="632"/>
      <c r="K47" s="632"/>
      <c r="L47" s="187"/>
      <c r="M47" s="142">
        <v>90</v>
      </c>
      <c r="N47" s="142">
        <v>179</v>
      </c>
      <c r="O47" s="239" t="s">
        <v>368</v>
      </c>
      <c r="P47" s="142">
        <v>7</v>
      </c>
    </row>
    <row r="48" spans="1:16" ht="12.75" customHeight="1" x14ac:dyDescent="0.25">
      <c r="A48" s="232"/>
      <c r="B48" s="242" t="s">
        <v>335</v>
      </c>
      <c r="C48" s="223" t="s">
        <v>336</v>
      </c>
      <c r="D48" s="223" t="s">
        <v>342</v>
      </c>
      <c r="E48" s="223" t="s">
        <v>343</v>
      </c>
      <c r="F48" s="223" t="s">
        <v>345</v>
      </c>
      <c r="G48" s="223" t="s">
        <v>346</v>
      </c>
      <c r="H48" s="223" t="s">
        <v>347</v>
      </c>
      <c r="I48" s="223" t="s">
        <v>348</v>
      </c>
      <c r="J48" s="223" t="s">
        <v>349</v>
      </c>
      <c r="K48" s="243" t="s">
        <v>350</v>
      </c>
      <c r="L48" s="187"/>
      <c r="M48" s="142">
        <v>180</v>
      </c>
      <c r="N48" s="142">
        <v>365</v>
      </c>
      <c r="O48" s="239" t="s">
        <v>369</v>
      </c>
      <c r="P48" s="142">
        <v>8</v>
      </c>
    </row>
    <row r="49" spans="1:34" ht="12.75" customHeight="1" x14ac:dyDescent="0.25">
      <c r="A49" s="232"/>
      <c r="B49" s="244"/>
      <c r="C49" s="235">
        <v>1</v>
      </c>
      <c r="D49" s="235">
        <v>2</v>
      </c>
      <c r="E49" s="235">
        <v>3</v>
      </c>
      <c r="F49" s="235">
        <v>4</v>
      </c>
      <c r="G49" s="235">
        <v>5</v>
      </c>
      <c r="H49" s="235">
        <v>6</v>
      </c>
      <c r="I49" s="235">
        <v>7</v>
      </c>
      <c r="J49" s="235">
        <v>8</v>
      </c>
      <c r="K49" s="245">
        <v>9</v>
      </c>
      <c r="L49" s="187"/>
      <c r="M49" s="142">
        <v>366</v>
      </c>
      <c r="N49" s="142">
        <v>10000000</v>
      </c>
      <c r="O49" s="239" t="s">
        <v>370</v>
      </c>
      <c r="P49" s="142">
        <v>9</v>
      </c>
      <c r="Q49" s="187"/>
      <c r="R49" s="187"/>
      <c r="S49" s="187"/>
      <c r="T49" s="187"/>
      <c r="U49" s="187"/>
      <c r="V49" s="187"/>
      <c r="W49" s="187"/>
      <c r="X49" s="187"/>
      <c r="Y49" s="187"/>
      <c r="Z49" s="187"/>
      <c r="AA49" s="187"/>
      <c r="AB49" s="187"/>
      <c r="AC49" s="187"/>
      <c r="AD49" s="187"/>
      <c r="AE49" s="187"/>
      <c r="AF49" s="187"/>
      <c r="AG49" s="187"/>
      <c r="AH49" s="187"/>
    </row>
    <row r="50" spans="1:34" ht="12.75" customHeight="1" x14ac:dyDescent="0.25">
      <c r="A50" s="232">
        <v>1</v>
      </c>
      <c r="B50" s="246" t="s">
        <v>336</v>
      </c>
      <c r="C50" s="235">
        <v>1</v>
      </c>
      <c r="D50" s="235">
        <v>1</v>
      </c>
      <c r="E50" s="235">
        <v>2</v>
      </c>
      <c r="F50" s="235">
        <v>3</v>
      </c>
      <c r="G50" s="235">
        <v>4</v>
      </c>
      <c r="H50" s="235">
        <v>5</v>
      </c>
      <c r="I50" s="235">
        <v>7</v>
      </c>
      <c r="J50" s="235">
        <v>8</v>
      </c>
      <c r="K50" s="245">
        <v>9</v>
      </c>
      <c r="L50" s="187"/>
      <c r="M50" s="187"/>
      <c r="N50" s="187"/>
      <c r="O50" s="187"/>
      <c r="P50" s="187"/>
      <c r="Q50" s="187"/>
      <c r="R50" s="187"/>
      <c r="S50" s="187"/>
      <c r="T50" s="187"/>
      <c r="U50" s="187"/>
      <c r="V50" s="187"/>
      <c r="W50" s="187"/>
      <c r="X50" s="187"/>
      <c r="Y50" s="187"/>
      <c r="Z50" s="187"/>
      <c r="AA50" s="187"/>
      <c r="AB50" s="187"/>
      <c r="AC50" s="187"/>
      <c r="AD50" s="187"/>
      <c r="AE50" s="187"/>
      <c r="AF50" s="187"/>
      <c r="AG50" s="187"/>
      <c r="AH50" s="187"/>
    </row>
    <row r="51" spans="1:34" ht="12.75" customHeight="1" x14ac:dyDescent="0.25">
      <c r="A51" s="232">
        <v>2</v>
      </c>
      <c r="B51" s="246" t="s">
        <v>342</v>
      </c>
      <c r="C51" s="235">
        <v>1</v>
      </c>
      <c r="D51" s="235">
        <v>2</v>
      </c>
      <c r="E51" s="235">
        <v>2</v>
      </c>
      <c r="F51" s="235">
        <v>3</v>
      </c>
      <c r="G51" s="235">
        <v>4</v>
      </c>
      <c r="H51" s="235">
        <v>5</v>
      </c>
      <c r="I51" s="235">
        <v>7</v>
      </c>
      <c r="J51" s="235">
        <v>8</v>
      </c>
      <c r="K51" s="245">
        <v>9</v>
      </c>
      <c r="L51" s="187"/>
      <c r="M51" s="187"/>
      <c r="N51" s="187"/>
      <c r="O51" s="187"/>
      <c r="P51" s="187"/>
      <c r="Q51" s="187"/>
      <c r="R51" s="187"/>
      <c r="S51" s="187"/>
      <c r="T51" s="187"/>
      <c r="U51" s="187"/>
      <c r="V51" s="187"/>
      <c r="W51" s="187"/>
      <c r="X51" s="187"/>
      <c r="Y51" s="187"/>
      <c r="Z51" s="187"/>
      <c r="AA51" s="187"/>
      <c r="AB51" s="187"/>
      <c r="AC51" s="187"/>
      <c r="AD51" s="187"/>
      <c r="AE51" s="187"/>
      <c r="AF51" s="187"/>
      <c r="AG51" s="187"/>
      <c r="AH51" s="187"/>
    </row>
    <row r="52" spans="1:34" ht="12.75" customHeight="1" x14ac:dyDescent="0.25">
      <c r="A52" s="232">
        <v>3</v>
      </c>
      <c r="B52" s="246" t="s">
        <v>343</v>
      </c>
      <c r="C52" s="235">
        <v>2</v>
      </c>
      <c r="D52" s="235">
        <v>3</v>
      </c>
      <c r="E52" s="235">
        <v>3</v>
      </c>
      <c r="F52" s="235">
        <v>3</v>
      </c>
      <c r="G52" s="235">
        <v>4</v>
      </c>
      <c r="H52" s="235">
        <v>5</v>
      </c>
      <c r="I52" s="235">
        <v>7</v>
      </c>
      <c r="J52" s="235">
        <v>8</v>
      </c>
      <c r="K52" s="245">
        <v>9</v>
      </c>
      <c r="L52" s="187"/>
      <c r="M52" s="187"/>
      <c r="N52" s="187"/>
      <c r="O52" s="187"/>
      <c r="P52" s="187"/>
      <c r="Q52" s="187"/>
      <c r="R52" s="187"/>
      <c r="S52" s="187"/>
      <c r="T52" s="187"/>
      <c r="U52" s="187"/>
      <c r="V52" s="187"/>
      <c r="W52" s="187"/>
      <c r="X52" s="187"/>
      <c r="Y52" s="187"/>
      <c r="Z52" s="187"/>
      <c r="AA52" s="187"/>
      <c r="AB52" s="187"/>
      <c r="AC52" s="187"/>
      <c r="AD52" s="187"/>
      <c r="AE52" s="187"/>
      <c r="AF52" s="187"/>
      <c r="AG52" s="187"/>
      <c r="AH52" s="187"/>
    </row>
    <row r="53" spans="1:34" ht="12.75" customHeight="1" x14ac:dyDescent="0.25">
      <c r="A53" s="232">
        <v>4</v>
      </c>
      <c r="B53" s="246" t="s">
        <v>345</v>
      </c>
      <c r="C53" s="235">
        <v>3</v>
      </c>
      <c r="D53" s="235">
        <v>4</v>
      </c>
      <c r="E53" s="235">
        <v>4</v>
      </c>
      <c r="F53" s="235">
        <v>4</v>
      </c>
      <c r="G53" s="235">
        <v>4</v>
      </c>
      <c r="H53" s="235">
        <v>5</v>
      </c>
      <c r="I53" s="235">
        <v>7</v>
      </c>
      <c r="J53" s="235">
        <v>8</v>
      </c>
      <c r="K53" s="245">
        <v>9</v>
      </c>
      <c r="L53" s="187"/>
      <c r="M53" s="187"/>
      <c r="N53" s="187"/>
      <c r="O53" s="187"/>
      <c r="P53" s="187"/>
      <c r="Q53" s="187"/>
      <c r="R53" s="187"/>
      <c r="S53" s="187"/>
      <c r="T53" s="187"/>
      <c r="U53" s="187"/>
      <c r="V53" s="187"/>
      <c r="W53" s="187"/>
      <c r="X53" s="187"/>
      <c r="Y53" s="187"/>
      <c r="Z53" s="187"/>
      <c r="AA53" s="187"/>
      <c r="AB53" s="187"/>
      <c r="AC53" s="187"/>
      <c r="AD53" s="187"/>
      <c r="AE53" s="187"/>
      <c r="AF53" s="187"/>
      <c r="AG53" s="187"/>
      <c r="AH53" s="187"/>
    </row>
    <row r="54" spans="1:34" ht="12.75" customHeight="1" x14ac:dyDescent="0.25">
      <c r="A54" s="232">
        <v>5</v>
      </c>
      <c r="B54" s="246" t="s">
        <v>346</v>
      </c>
      <c r="C54" s="235">
        <v>4</v>
      </c>
      <c r="D54" s="235">
        <v>5</v>
      </c>
      <c r="E54" s="235">
        <v>5</v>
      </c>
      <c r="F54" s="235">
        <v>5</v>
      </c>
      <c r="G54" s="235">
        <v>5</v>
      </c>
      <c r="H54" s="235">
        <v>5</v>
      </c>
      <c r="I54" s="235">
        <v>7</v>
      </c>
      <c r="J54" s="235">
        <v>8</v>
      </c>
      <c r="K54" s="245">
        <v>9</v>
      </c>
      <c r="L54" s="187"/>
      <c r="M54" s="187"/>
      <c r="N54" s="187"/>
      <c r="O54" s="187"/>
      <c r="P54" s="187"/>
      <c r="Q54" s="187"/>
      <c r="R54" s="187"/>
      <c r="S54" s="187"/>
      <c r="T54" s="187"/>
      <c r="U54" s="187"/>
      <c r="V54" s="187"/>
      <c r="W54" s="187"/>
      <c r="X54" s="187"/>
      <c r="Y54" s="187"/>
      <c r="Z54" s="187"/>
      <c r="AA54" s="187"/>
      <c r="AB54" s="187"/>
      <c r="AC54" s="187"/>
      <c r="AD54" s="187"/>
      <c r="AE54" s="187"/>
      <c r="AF54" s="187"/>
      <c r="AG54" s="187"/>
      <c r="AH54" s="187"/>
    </row>
    <row r="55" spans="1:34" ht="12.75" customHeight="1" x14ac:dyDescent="0.25">
      <c r="A55" s="232">
        <v>6</v>
      </c>
      <c r="B55" s="246" t="s">
        <v>347</v>
      </c>
      <c r="C55" s="235">
        <v>5</v>
      </c>
      <c r="D55" s="235">
        <v>6</v>
      </c>
      <c r="E55" s="235">
        <v>6</v>
      </c>
      <c r="F55" s="235">
        <v>6</v>
      </c>
      <c r="G55" s="235">
        <v>6</v>
      </c>
      <c r="H55" s="235">
        <v>6</v>
      </c>
      <c r="I55" s="235">
        <v>7</v>
      </c>
      <c r="J55" s="235">
        <v>8</v>
      </c>
      <c r="K55" s="245">
        <v>9</v>
      </c>
      <c r="L55" s="187"/>
      <c r="M55" s="187"/>
      <c r="N55" s="187"/>
      <c r="O55" s="187"/>
      <c r="P55" s="187"/>
      <c r="Q55" s="187"/>
      <c r="R55" s="187"/>
      <c r="S55" s="187"/>
      <c r="T55" s="187"/>
      <c r="U55" s="187"/>
      <c r="V55" s="187"/>
      <c r="W55" s="187"/>
      <c r="X55" s="187"/>
      <c r="Y55" s="187"/>
      <c r="Z55" s="187"/>
      <c r="AA55" s="187"/>
      <c r="AB55" s="187"/>
      <c r="AC55" s="187"/>
      <c r="AD55" s="187"/>
      <c r="AE55" s="187"/>
      <c r="AF55" s="187"/>
      <c r="AG55" s="187"/>
      <c r="AH55" s="187"/>
    </row>
    <row r="56" spans="1:34" ht="12.75" customHeight="1" x14ac:dyDescent="0.25">
      <c r="A56" s="232">
        <v>7</v>
      </c>
      <c r="B56" s="246" t="s">
        <v>348</v>
      </c>
      <c r="C56" s="235">
        <v>7</v>
      </c>
      <c r="D56" s="235">
        <v>7</v>
      </c>
      <c r="E56" s="235">
        <v>7</v>
      </c>
      <c r="F56" s="235">
        <v>7</v>
      </c>
      <c r="G56" s="235">
        <v>7</v>
      </c>
      <c r="H56" s="235">
        <v>7</v>
      </c>
      <c r="I56" s="235">
        <v>7</v>
      </c>
      <c r="J56" s="235">
        <v>8</v>
      </c>
      <c r="K56" s="245">
        <v>9</v>
      </c>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row>
    <row r="57" spans="1:34" ht="12.75" customHeight="1" x14ac:dyDescent="0.25">
      <c r="A57" s="232">
        <v>8</v>
      </c>
      <c r="B57" s="246" t="s">
        <v>349</v>
      </c>
      <c r="C57" s="235">
        <v>8</v>
      </c>
      <c r="D57" s="235">
        <v>8</v>
      </c>
      <c r="E57" s="235">
        <v>8</v>
      </c>
      <c r="F57" s="235">
        <v>8</v>
      </c>
      <c r="G57" s="235">
        <v>8</v>
      </c>
      <c r="H57" s="235">
        <v>8</v>
      </c>
      <c r="I57" s="235">
        <v>8</v>
      </c>
      <c r="J57" s="235">
        <v>8</v>
      </c>
      <c r="K57" s="245">
        <v>9</v>
      </c>
      <c r="L57" s="187"/>
      <c r="M57" s="187"/>
      <c r="N57" s="187"/>
      <c r="O57" s="187"/>
      <c r="P57" s="187"/>
      <c r="Q57" s="187"/>
      <c r="R57" s="187"/>
      <c r="S57" s="187"/>
      <c r="T57" s="187"/>
      <c r="U57" s="187"/>
      <c r="V57" s="187"/>
      <c r="W57" s="187"/>
      <c r="X57" s="187"/>
      <c r="Y57" s="187"/>
      <c r="Z57" s="187"/>
      <c r="AA57" s="187"/>
      <c r="AB57" s="187"/>
      <c r="AC57" s="187"/>
      <c r="AD57" s="187"/>
      <c r="AE57" s="187"/>
      <c r="AF57" s="187"/>
      <c r="AG57" s="187"/>
      <c r="AH57" s="187"/>
    </row>
    <row r="58" spans="1:34" ht="12.75" customHeight="1" x14ac:dyDescent="0.25">
      <c r="A58" s="247">
        <v>9</v>
      </c>
      <c r="B58" s="248" t="s">
        <v>350</v>
      </c>
      <c r="C58" s="249">
        <v>9</v>
      </c>
      <c r="D58" s="249">
        <v>9</v>
      </c>
      <c r="E58" s="249">
        <v>9</v>
      </c>
      <c r="F58" s="249">
        <v>9</v>
      </c>
      <c r="G58" s="249">
        <v>9</v>
      </c>
      <c r="H58" s="249">
        <v>9</v>
      </c>
      <c r="I58" s="249">
        <v>9</v>
      </c>
      <c r="J58" s="249">
        <v>9</v>
      </c>
      <c r="K58" s="250">
        <v>9</v>
      </c>
      <c r="L58" s="187"/>
      <c r="M58" s="187"/>
      <c r="N58" s="187"/>
      <c r="O58" s="187"/>
      <c r="P58" s="187"/>
      <c r="Q58" s="187"/>
      <c r="R58" s="187"/>
      <c r="S58" s="187"/>
      <c r="T58" s="187"/>
      <c r="U58" s="187"/>
      <c r="V58" s="187"/>
      <c r="W58" s="187"/>
      <c r="X58" s="187"/>
      <c r="Y58" s="187"/>
      <c r="Z58" s="187"/>
      <c r="AA58" s="187"/>
      <c r="AB58" s="187"/>
      <c r="AC58" s="187"/>
      <c r="AD58" s="187"/>
      <c r="AE58" s="187"/>
      <c r="AF58" s="187"/>
      <c r="AG58" s="187"/>
      <c r="AH58" s="187"/>
    </row>
    <row r="59" spans="1:34" ht="12.75" customHeight="1" x14ac:dyDescent="0.25">
      <c r="A59" s="220"/>
      <c r="B59" s="218"/>
      <c r="C59" s="218"/>
      <c r="D59" s="218"/>
      <c r="E59" s="218"/>
      <c r="F59" s="218"/>
      <c r="G59" s="218"/>
      <c r="H59" s="218"/>
      <c r="I59" s="218"/>
      <c r="J59" s="218"/>
      <c r="K59" s="218"/>
      <c r="L59" s="187"/>
      <c r="M59" s="187"/>
      <c r="N59" s="187"/>
      <c r="O59" s="187"/>
      <c r="P59" s="187"/>
      <c r="Q59" s="187"/>
      <c r="R59" s="187"/>
      <c r="S59" s="187"/>
      <c r="T59" s="187"/>
      <c r="U59" s="187"/>
      <c r="V59" s="187"/>
      <c r="W59" s="187"/>
      <c r="X59" s="187"/>
      <c r="Y59" s="187"/>
      <c r="Z59" s="187"/>
      <c r="AA59" s="187"/>
      <c r="AB59" s="187"/>
      <c r="AC59" s="187"/>
      <c r="AD59" s="187"/>
      <c r="AE59" s="187"/>
      <c r="AF59" s="187"/>
      <c r="AG59" s="187"/>
      <c r="AH59" s="187"/>
    </row>
    <row r="60" spans="1:34" ht="12.75" customHeight="1" x14ac:dyDescent="0.25">
      <c r="A60" s="220"/>
      <c r="B60" s="218"/>
      <c r="C60" s="218"/>
      <c r="D60" s="218"/>
      <c r="E60" s="218"/>
      <c r="F60" s="218"/>
      <c r="G60" s="218"/>
      <c r="H60" s="218"/>
      <c r="I60" s="218"/>
      <c r="J60" s="218"/>
      <c r="K60" s="218"/>
      <c r="L60" s="187"/>
      <c r="M60" s="187"/>
      <c r="N60" s="187"/>
      <c r="O60" s="187"/>
      <c r="P60" s="187"/>
      <c r="Q60" s="187"/>
      <c r="R60" s="187"/>
      <c r="S60" s="187"/>
      <c r="T60" s="187"/>
      <c r="U60" s="187"/>
      <c r="V60" s="187"/>
      <c r="W60" s="187"/>
      <c r="X60" s="187"/>
      <c r="Y60" s="187"/>
      <c r="Z60" s="187"/>
      <c r="AA60" s="187"/>
      <c r="AB60" s="187"/>
      <c r="AC60" s="187"/>
      <c r="AD60" s="187"/>
      <c r="AE60" s="187"/>
      <c r="AF60" s="187"/>
      <c r="AG60" s="187"/>
      <c r="AH60" s="187"/>
    </row>
    <row r="61" spans="1:34" ht="12.75" customHeight="1" x14ac:dyDescent="0.25">
      <c r="A61" s="220"/>
      <c r="B61" s="218"/>
      <c r="C61" s="218"/>
      <c r="D61" s="218"/>
      <c r="E61" s="218"/>
      <c r="F61" s="218"/>
      <c r="G61" s="218"/>
      <c r="H61" s="218"/>
      <c r="I61" s="218"/>
      <c r="J61" s="218"/>
      <c r="K61" s="218"/>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row>
    <row r="62" spans="1:34" ht="12.75" customHeight="1" x14ac:dyDescent="0.25">
      <c r="A62" s="220"/>
      <c r="B62" s="218"/>
      <c r="C62" s="218"/>
      <c r="D62" s="218"/>
      <c r="E62" s="218"/>
      <c r="F62" s="218"/>
      <c r="G62" s="218"/>
      <c r="H62" s="218"/>
      <c r="I62" s="218"/>
      <c r="J62" s="218"/>
      <c r="K62" s="218"/>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row>
    <row r="63" spans="1:34" ht="12.75" customHeight="1" x14ac:dyDescent="0.25">
      <c r="A63" s="251" t="e">
        <f>A2</f>
        <v>#REF!</v>
      </c>
      <c r="B63" s="220"/>
      <c r="C63" s="220"/>
      <c r="D63" s="220"/>
      <c r="E63" s="252"/>
      <c r="F63" s="252"/>
      <c r="G63" s="252"/>
      <c r="H63" s="252"/>
      <c r="I63" s="252"/>
      <c r="J63" s="252"/>
      <c r="K63" s="220"/>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row>
    <row r="64" spans="1:34" ht="12.75" customHeight="1" x14ac:dyDescent="0.25">
      <c r="A64" s="187"/>
      <c r="B64" s="187"/>
      <c r="C64" s="239" t="s">
        <v>351</v>
      </c>
      <c r="D64" s="239" t="s">
        <v>353</v>
      </c>
      <c r="E64" s="239" t="s">
        <v>354</v>
      </c>
      <c r="F64" s="239" t="s">
        <v>364</v>
      </c>
      <c r="G64" s="239" t="s">
        <v>344</v>
      </c>
      <c r="H64" s="239" t="s">
        <v>366</v>
      </c>
      <c r="I64" s="239" t="s">
        <v>368</v>
      </c>
      <c r="J64" s="239" t="s">
        <v>369</v>
      </c>
      <c r="K64" s="239" t="s">
        <v>370</v>
      </c>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row>
    <row r="65" spans="1:34" ht="12.75" customHeight="1" x14ac:dyDescent="0.25">
      <c r="A65" s="253" t="s">
        <v>371</v>
      </c>
      <c r="B65" s="254"/>
      <c r="C65" s="239" t="s">
        <v>372</v>
      </c>
      <c r="D65" s="239" t="s">
        <v>373</v>
      </c>
      <c r="E65" s="239" t="s">
        <v>374</v>
      </c>
      <c r="F65" s="255" t="s">
        <v>375</v>
      </c>
      <c r="G65" s="255" t="s">
        <v>376</v>
      </c>
      <c r="H65" s="239" t="s">
        <v>377</v>
      </c>
      <c r="I65" s="239" t="s">
        <v>378</v>
      </c>
      <c r="J65" s="239">
        <v>9</v>
      </c>
      <c r="K65" s="239">
        <v>9</v>
      </c>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row>
    <row r="66" spans="1:34" ht="12.75" customHeight="1" x14ac:dyDescent="0.25">
      <c r="A66" s="187"/>
      <c r="B66" s="187"/>
      <c r="C66" s="187"/>
      <c r="D66" s="187"/>
      <c r="E66" s="187"/>
      <c r="F66" s="187"/>
      <c r="G66" s="187"/>
      <c r="H66" s="187"/>
      <c r="I66" s="187"/>
      <c r="J66" s="187"/>
      <c r="K66" s="187"/>
      <c r="L66" s="256" t="s">
        <v>379</v>
      </c>
      <c r="M66" s="187"/>
      <c r="N66" s="187"/>
      <c r="O66" s="256" t="s">
        <v>380</v>
      </c>
      <c r="P66" s="187"/>
      <c r="Q66" s="256"/>
      <c r="R66" s="256"/>
      <c r="S66" s="187"/>
      <c r="T66" s="187"/>
      <c r="U66" s="187"/>
      <c r="V66" s="187"/>
      <c r="W66" s="187"/>
      <c r="X66" s="187"/>
      <c r="Y66" s="187"/>
      <c r="Z66" s="187"/>
      <c r="AA66" s="187"/>
      <c r="AB66" s="187"/>
      <c r="AC66" s="187"/>
      <c r="AD66" s="187"/>
      <c r="AE66" s="187"/>
      <c r="AF66" s="187"/>
      <c r="AG66" s="257"/>
      <c r="AH66" s="258"/>
    </row>
    <row r="67" spans="1:34" ht="12.75" customHeight="1" x14ac:dyDescent="0.25">
      <c r="A67" s="187"/>
      <c r="B67" s="187"/>
      <c r="C67" s="187"/>
      <c r="D67" s="187"/>
      <c r="E67" s="259">
        <f>D5</f>
        <v>0</v>
      </c>
      <c r="F67" s="258"/>
      <c r="G67" s="259" t="e">
        <f>F5</f>
        <v>#REF!</v>
      </c>
      <c r="H67" s="258"/>
      <c r="I67" s="259" t="e">
        <f>H5</f>
        <v>#REF!</v>
      </c>
      <c r="J67" s="258"/>
      <c r="K67" s="259" t="e">
        <f>J5</f>
        <v>#REF!</v>
      </c>
      <c r="L67" s="256" t="s">
        <v>381</v>
      </c>
      <c r="M67" s="256" t="s">
        <v>382</v>
      </c>
      <c r="N67" s="187"/>
      <c r="O67" s="256" t="s">
        <v>383</v>
      </c>
      <c r="P67" s="187"/>
      <c r="Q67" s="260"/>
      <c r="R67" s="260"/>
      <c r="S67" s="187"/>
      <c r="T67" s="187"/>
      <c r="U67" s="187"/>
      <c r="V67" s="187"/>
      <c r="W67" s="187"/>
      <c r="X67" s="187"/>
      <c r="Y67" s="187"/>
      <c r="Z67" s="187"/>
      <c r="AA67" s="187"/>
      <c r="AB67" s="187"/>
      <c r="AC67" s="187"/>
      <c r="AD67" s="187"/>
      <c r="AE67" s="187"/>
      <c r="AF67" s="187"/>
      <c r="AG67" s="187"/>
      <c r="AH67" s="187"/>
    </row>
    <row r="68" spans="1:34" ht="12.75" customHeight="1" x14ac:dyDescent="0.25">
      <c r="A68" s="261" t="s">
        <v>384</v>
      </c>
      <c r="B68" s="262"/>
      <c r="C68" s="263"/>
      <c r="D68" s="264"/>
      <c r="E68" s="265">
        <f>HLOOKUP(D68,$P68:$AE$75,8)</f>
        <v>7</v>
      </c>
      <c r="F68" s="264" t="e">
        <f>(#REF!+#REF!)/#REF!</f>
        <v>#REF!</v>
      </c>
      <c r="G68" s="265" t="e">
        <f>HLOOKUP(F68,$P68:$AE$75,8)</f>
        <v>#REF!</v>
      </c>
      <c r="H68" s="264" t="e">
        <f>(#REF!+#REF!)/#REF!</f>
        <v>#REF!</v>
      </c>
      <c r="I68" s="265" t="e">
        <f>HLOOKUP(H68,$P68:$AE$75,8)</f>
        <v>#REF!</v>
      </c>
      <c r="J68" s="264" t="e">
        <f>IF(#REF!=0,0,(#REF!+#REF!)/#REF!)-1</f>
        <v>#REF!</v>
      </c>
      <c r="K68" s="265" t="e">
        <f>HLOOKUP(J68,$P68:$AE$75,8)</f>
        <v>#REF!</v>
      </c>
      <c r="L68" s="258">
        <v>1</v>
      </c>
      <c r="M68" s="187" t="s">
        <v>384</v>
      </c>
      <c r="N68" s="187"/>
      <c r="O68" s="266">
        <v>0.2</v>
      </c>
      <c r="P68" s="267">
        <v>-2000</v>
      </c>
      <c r="Q68" s="267">
        <v>-1</v>
      </c>
      <c r="R68" s="268">
        <f t="shared" ref="R68:R73" si="0">(Q68+S68)/2</f>
        <v>-0.53</v>
      </c>
      <c r="S68" s="267">
        <v>-0.06</v>
      </c>
      <c r="T68" s="268">
        <f t="shared" ref="T68:T73" si="1">(S68+U68)/2</f>
        <v>0.35499999999999998</v>
      </c>
      <c r="U68" s="268">
        <v>0.77</v>
      </c>
      <c r="V68" s="268">
        <f t="shared" ref="V68:V73" si="2">(U68+W68)/2</f>
        <v>1.04</v>
      </c>
      <c r="W68" s="268">
        <v>1.31</v>
      </c>
      <c r="X68" s="268">
        <f t="shared" ref="X68:X73" si="3">(W68+Y68)/2</f>
        <v>1.8049999999999999</v>
      </c>
      <c r="Y68" s="268">
        <v>2.2999999999999998</v>
      </c>
      <c r="Z68" s="268">
        <f t="shared" ref="Z68:Z73" si="4">(Y68+AA68)/2</f>
        <v>3.355</v>
      </c>
      <c r="AA68" s="268">
        <v>4.41</v>
      </c>
      <c r="AB68" s="268">
        <f t="shared" ref="AB68:AB73" si="5">(AA68+AC68)/2</f>
        <v>6.86</v>
      </c>
      <c r="AC68" s="268">
        <v>9.31</v>
      </c>
      <c r="AD68" s="268">
        <f t="shared" ref="AD68:AD73" si="6">(AC68+AE68)/2</f>
        <v>13.004999999999999</v>
      </c>
      <c r="AE68" s="268">
        <v>16.7</v>
      </c>
      <c r="AF68" s="187"/>
      <c r="AG68" s="187"/>
      <c r="AH68" s="187"/>
    </row>
    <row r="69" spans="1:34" ht="12.75" customHeight="1" x14ac:dyDescent="0.25">
      <c r="A69" s="261" t="s">
        <v>385</v>
      </c>
      <c r="B69" s="262"/>
      <c r="C69" s="263"/>
      <c r="D69" s="264"/>
      <c r="E69" s="265">
        <f>HLOOKUP(D69,$P69:$AE$75,7)</f>
        <v>7.5</v>
      </c>
      <c r="F69" s="269" t="e">
        <f>(+#REF!+#REF!+#REF!)/#REF!</f>
        <v>#REF!</v>
      </c>
      <c r="G69" s="265" t="e">
        <f>HLOOKUP(F69,$P69:$AE$75,7)</f>
        <v>#REF!</v>
      </c>
      <c r="H69" s="269" t="e">
        <f>(+#REF!+#REF!+#REF!)/#REF!</f>
        <v>#REF!</v>
      </c>
      <c r="I69" s="265" t="e">
        <f>HLOOKUP(H69,$P69:$AE$75,7)</f>
        <v>#REF!</v>
      </c>
      <c r="J69" s="269" t="e">
        <f>IF(#REF!=0,0,(+#REF!+#REF!+#REF!)/#REF!)-1</f>
        <v>#REF!</v>
      </c>
      <c r="K69" s="265" t="e">
        <f>HLOOKUP(J69,$P69:$AE$75,7)</f>
        <v>#REF!</v>
      </c>
      <c r="L69" s="258">
        <f>+L68+1</f>
        <v>2</v>
      </c>
      <c r="M69" s="187" t="s">
        <v>385</v>
      </c>
      <c r="N69" s="187"/>
      <c r="O69" s="266">
        <v>0.2</v>
      </c>
      <c r="P69" s="270">
        <v>-2000</v>
      </c>
      <c r="Q69" s="270">
        <v>-0.56999999999999995</v>
      </c>
      <c r="R69" s="271">
        <f t="shared" si="0"/>
        <v>0</v>
      </c>
      <c r="S69" s="270">
        <v>0.56999999999999995</v>
      </c>
      <c r="T69" s="271">
        <f t="shared" si="1"/>
        <v>1.04</v>
      </c>
      <c r="U69" s="271">
        <v>1.51</v>
      </c>
      <c r="V69" s="271">
        <f t="shared" si="2"/>
        <v>1.9350000000000001</v>
      </c>
      <c r="W69" s="271">
        <v>2.36</v>
      </c>
      <c r="X69" s="271">
        <f t="shared" si="3"/>
        <v>3.1899999999999995</v>
      </c>
      <c r="Y69" s="271">
        <v>4.0199999999999996</v>
      </c>
      <c r="Z69" s="271">
        <f t="shared" si="4"/>
        <v>5.22</v>
      </c>
      <c r="AA69" s="271">
        <v>6.42</v>
      </c>
      <c r="AB69" s="271">
        <f t="shared" si="5"/>
        <v>9.5449999999999999</v>
      </c>
      <c r="AC69" s="271">
        <v>12.67</v>
      </c>
      <c r="AD69" s="271">
        <f t="shared" si="6"/>
        <v>16.395</v>
      </c>
      <c r="AE69" s="271">
        <v>20.12</v>
      </c>
      <c r="AF69" s="187"/>
      <c r="AG69" s="187"/>
      <c r="AH69" s="187"/>
    </row>
    <row r="70" spans="1:34" ht="12.75" customHeight="1" x14ac:dyDescent="0.25">
      <c r="A70" s="261" t="s">
        <v>386</v>
      </c>
      <c r="B70" s="262"/>
      <c r="C70" s="263"/>
      <c r="D70" s="269"/>
      <c r="E70" s="265">
        <f>HLOOKUP(D70,$P70:$AE$75,6)</f>
        <v>7.5</v>
      </c>
      <c r="F70" s="269" t="e">
        <f>IF((#REF!+#REF!+#REF!+#REF!)&gt;0,((#REF!+#REF!)/(#REF!+#REF!+#REF!+#REF!))*100,((#REF!+#REF!)/(#REF!*0.05))*100)</f>
        <v>#REF!</v>
      </c>
      <c r="G70" s="265" t="e">
        <f>HLOOKUP(F70,$P70:$AE$75,6)</f>
        <v>#REF!</v>
      </c>
      <c r="H70" s="269" t="e">
        <f>IF((#REF!+#REF!+#REF!+#REF!)&gt;0,((#REF!+#REF!)/(#REF!+#REF!+#REF!+#REF!))*100,((#REF!+#REF!)/(#REF!*0.05))*100)</f>
        <v>#REF!</v>
      </c>
      <c r="I70" s="265" t="e">
        <f>HLOOKUP(H70,$P70:$AE$75,6)</f>
        <v>#REF!</v>
      </c>
      <c r="J70" s="269" t="e">
        <f>IF((#REF!+#REF!+#REF!+#REF!)&gt;0,((#REF!+#REF!)/(#REF!+#REF!+#REF!+#REF!))*100,((#REF!+#REF!)/(#REF!*0.05))*100)</f>
        <v>#REF!</v>
      </c>
      <c r="K70" s="265" t="e">
        <f>HLOOKUP(J70,$P70:$AE$75,6)</f>
        <v>#REF!</v>
      </c>
      <c r="L70" s="258">
        <f>+L69+1</f>
        <v>3</v>
      </c>
      <c r="M70" s="187" t="s">
        <v>386</v>
      </c>
      <c r="N70" s="187"/>
      <c r="O70" s="266">
        <v>0.1333</v>
      </c>
      <c r="P70" s="270">
        <v>-2000</v>
      </c>
      <c r="Q70" s="270">
        <v>-4.8</v>
      </c>
      <c r="R70" s="271">
        <f t="shared" si="0"/>
        <v>0</v>
      </c>
      <c r="S70" s="270">
        <v>4.8</v>
      </c>
      <c r="T70" s="271">
        <f t="shared" si="1"/>
        <v>7</v>
      </c>
      <c r="U70" s="271">
        <v>9.1999999999999993</v>
      </c>
      <c r="V70" s="271">
        <f t="shared" si="2"/>
        <v>12.65</v>
      </c>
      <c r="W70" s="271">
        <v>16.100000000000001</v>
      </c>
      <c r="X70" s="271">
        <f t="shared" si="3"/>
        <v>21.9</v>
      </c>
      <c r="Y70" s="271">
        <v>27.7</v>
      </c>
      <c r="Z70" s="271">
        <f t="shared" si="4"/>
        <v>35.4</v>
      </c>
      <c r="AA70" s="271">
        <v>43.1</v>
      </c>
      <c r="AB70" s="271">
        <f t="shared" si="5"/>
        <v>57.900000000000006</v>
      </c>
      <c r="AC70" s="271">
        <v>72.7</v>
      </c>
      <c r="AD70" s="271">
        <f t="shared" si="6"/>
        <v>100.6</v>
      </c>
      <c r="AE70" s="271">
        <v>128.5</v>
      </c>
      <c r="AF70" s="187"/>
      <c r="AG70" s="187"/>
      <c r="AH70" s="251"/>
    </row>
    <row r="71" spans="1:34" ht="12.75" customHeight="1" x14ac:dyDescent="0.25">
      <c r="A71" s="261" t="s">
        <v>387</v>
      </c>
      <c r="B71" s="262"/>
      <c r="C71" s="263"/>
      <c r="D71" s="269"/>
      <c r="E71" s="265">
        <f>HLOOKUP(D71,$P71:$AE$75,5)</f>
        <v>5</v>
      </c>
      <c r="F71" s="269" t="s">
        <v>388</v>
      </c>
      <c r="G71" s="265" t="e">
        <f>HLOOKUP(F71,$P71:$AE$75,5)</f>
        <v>#N/A</v>
      </c>
      <c r="H71" s="269" t="e">
        <f>IF((#REF!+#REF!+#REF!+#REF!)&gt;0,((#REF!-#REF!)/(#REF!+#REF!+#REF!+#REF!))*100,((#REF!-#REF!)/(#REF!*0.05))*100)</f>
        <v>#REF!</v>
      </c>
      <c r="I71" s="265" t="e">
        <f>HLOOKUP(H71,$P71:$AE$75,5)</f>
        <v>#REF!</v>
      </c>
      <c r="J71" s="269" t="e">
        <f>IF((#REF!+#REF!+#REF!+#REF!)&gt;0,((#REF!-#REF!)/(#REF!+#REF!+#REF!+#REF!))*100,((#REF!-#REF!)/(#REF!*0.05))*100)</f>
        <v>#REF!</v>
      </c>
      <c r="K71" s="265" t="e">
        <f>HLOOKUP(J71,$P71:$AE$75,5)</f>
        <v>#REF!</v>
      </c>
      <c r="L71" s="258">
        <f>+L70+1</f>
        <v>4</v>
      </c>
      <c r="M71" s="187" t="s">
        <v>389</v>
      </c>
      <c r="N71" s="187"/>
      <c r="O71" s="266">
        <v>0.1333</v>
      </c>
      <c r="P71" s="270">
        <v>-5000</v>
      </c>
      <c r="Q71" s="270">
        <v>-3.9</v>
      </c>
      <c r="R71" s="271">
        <f t="shared" si="0"/>
        <v>-3.3</v>
      </c>
      <c r="S71" s="270">
        <v>-2.7</v>
      </c>
      <c r="T71" s="271">
        <f t="shared" si="1"/>
        <v>-2.2999999999999998</v>
      </c>
      <c r="U71" s="271">
        <v>-1.9</v>
      </c>
      <c r="V71" s="271">
        <f t="shared" si="2"/>
        <v>-0.29999999999999993</v>
      </c>
      <c r="W71" s="271">
        <v>1.3</v>
      </c>
      <c r="X71" s="271">
        <f t="shared" si="3"/>
        <v>2.6999999999999997</v>
      </c>
      <c r="Y71" s="271">
        <v>4.0999999999999996</v>
      </c>
      <c r="Z71" s="271">
        <f t="shared" si="4"/>
        <v>8.6999999999999993</v>
      </c>
      <c r="AA71" s="271">
        <v>13.3</v>
      </c>
      <c r="AB71" s="271">
        <f t="shared" si="5"/>
        <v>21.950000000000003</v>
      </c>
      <c r="AC71" s="271">
        <v>30.6</v>
      </c>
      <c r="AD71" s="271">
        <f t="shared" si="6"/>
        <v>32.700000000000003</v>
      </c>
      <c r="AE71" s="271">
        <v>34.799999999999997</v>
      </c>
      <c r="AF71" s="187"/>
      <c r="AG71" s="272"/>
      <c r="AH71" s="256"/>
    </row>
    <row r="72" spans="1:34" ht="12.75" customHeight="1" x14ac:dyDescent="0.25">
      <c r="A72" s="261" t="s">
        <v>390</v>
      </c>
      <c r="B72" s="262"/>
      <c r="C72" s="263"/>
      <c r="D72" s="264"/>
      <c r="E72" s="265">
        <f>HLOOKUP(D72,$P72:$AE$75,4)</f>
        <v>7</v>
      </c>
      <c r="F72" s="264" t="e">
        <f>((#REF!+#REF!)/(#REF!+#REF!+#REF!+#REF!+#REF!))*100</f>
        <v>#REF!</v>
      </c>
      <c r="G72" s="265" t="e">
        <f>HLOOKUP(F72,$P72:$AE$75,4)</f>
        <v>#REF!</v>
      </c>
      <c r="H72" s="264" t="e">
        <f>((#REF!+#REF!)/((#REF!+#REF!+#REF!+#REF!+#REF!+#REF!+#REF!+#REF!+#REF!+#REF!)/2))*100</f>
        <v>#REF!</v>
      </c>
      <c r="I72" s="265" t="e">
        <f>HLOOKUP(H72,$P72:$AE$75,4)</f>
        <v>#REF!</v>
      </c>
      <c r="J72" s="264" t="e">
        <f>((#REF!+#REF!)/((#REF!+#REF!+#REF!+#REF!+#REF!+#REF!+#REF!+#REF!+#REF!+#REF!)/2))*100</f>
        <v>#REF!</v>
      </c>
      <c r="K72" s="265" t="e">
        <f>HLOOKUP(J72,$P72:$AE$75,4)</f>
        <v>#REF!</v>
      </c>
      <c r="L72" s="258">
        <f>+L71+1</f>
        <v>5</v>
      </c>
      <c r="M72" s="187" t="s">
        <v>390</v>
      </c>
      <c r="N72" s="187"/>
      <c r="O72" s="266">
        <v>6.6699999999999995E-2</v>
      </c>
      <c r="P72" s="270">
        <v>-2000</v>
      </c>
      <c r="Q72" s="270">
        <v>-4</v>
      </c>
      <c r="R72" s="271">
        <f t="shared" si="0"/>
        <v>-2.2000000000000002</v>
      </c>
      <c r="S72" s="270">
        <v>-0.4</v>
      </c>
      <c r="T72" s="271">
        <f t="shared" si="1"/>
        <v>2.8499999999999996</v>
      </c>
      <c r="U72" s="271">
        <v>6.1</v>
      </c>
      <c r="V72" s="271">
        <f t="shared" si="2"/>
        <v>7.95</v>
      </c>
      <c r="W72" s="271">
        <v>9.8000000000000007</v>
      </c>
      <c r="X72" s="271">
        <f t="shared" si="3"/>
        <v>9.9</v>
      </c>
      <c r="Y72" s="271">
        <v>10</v>
      </c>
      <c r="Z72" s="271">
        <f t="shared" si="4"/>
        <v>12.45</v>
      </c>
      <c r="AA72" s="271">
        <v>14.9</v>
      </c>
      <c r="AB72" s="271">
        <f t="shared" si="5"/>
        <v>17.05</v>
      </c>
      <c r="AC72" s="271">
        <v>19.2</v>
      </c>
      <c r="AD72" s="271">
        <f t="shared" si="6"/>
        <v>23.7</v>
      </c>
      <c r="AE72" s="271">
        <v>28.2</v>
      </c>
      <c r="AF72" s="187"/>
      <c r="AG72" s="273"/>
      <c r="AH72" s="274"/>
    </row>
    <row r="73" spans="1:34" ht="12.75" customHeight="1" x14ac:dyDescent="0.25">
      <c r="A73" s="214" t="s">
        <v>391</v>
      </c>
      <c r="B73" s="215"/>
      <c r="C73" s="216"/>
      <c r="D73" s="264"/>
      <c r="E73" s="265">
        <f>HLOOKUP(D73,$P73:$AE$75,3)</f>
        <v>9</v>
      </c>
      <c r="F73" s="275" t="e">
        <f>#REF!</f>
        <v>#REF!</v>
      </c>
      <c r="G73" s="265" t="e">
        <f>HLOOKUP(F73,$P73:$AE$75,3)</f>
        <v>#REF!</v>
      </c>
      <c r="H73" s="275" t="e">
        <f>#REF!</f>
        <v>#REF!</v>
      </c>
      <c r="I73" s="265" t="e">
        <f>HLOOKUP(H73,$P73:$AE$75,3)</f>
        <v>#REF!</v>
      </c>
      <c r="J73" s="275" t="e">
        <f>#REF!</f>
        <v>#REF!</v>
      </c>
      <c r="K73" s="265" t="e">
        <f>HLOOKUP(J73,$P73:$AE$75,3)</f>
        <v>#REF!</v>
      </c>
      <c r="L73" s="258">
        <f>+L72+1</f>
        <v>6</v>
      </c>
      <c r="M73" s="187" t="s">
        <v>391</v>
      </c>
      <c r="N73" s="187"/>
      <c r="O73" s="266">
        <v>6.6699999999999995E-2</v>
      </c>
      <c r="P73" s="270">
        <v>-21</v>
      </c>
      <c r="Q73" s="270">
        <v>7.0000000000000007E-2</v>
      </c>
      <c r="R73" s="271">
        <f t="shared" si="0"/>
        <v>0.08</v>
      </c>
      <c r="S73" s="270">
        <v>0.09</v>
      </c>
      <c r="T73" s="271">
        <f t="shared" si="1"/>
        <v>9.35E-2</v>
      </c>
      <c r="U73" s="271">
        <v>9.7000000000000003E-2</v>
      </c>
      <c r="V73" s="271">
        <f t="shared" si="2"/>
        <v>0.1</v>
      </c>
      <c r="W73" s="271">
        <v>0.10299999999999999</v>
      </c>
      <c r="X73" s="271">
        <f t="shared" si="3"/>
        <v>0.11299999999999999</v>
      </c>
      <c r="Y73" s="271">
        <v>0.123</v>
      </c>
      <c r="Z73" s="271">
        <f t="shared" si="4"/>
        <v>0.13100000000000001</v>
      </c>
      <c r="AA73" s="271">
        <v>0.13900000000000001</v>
      </c>
      <c r="AB73" s="271">
        <f t="shared" si="5"/>
        <v>0.14950000000000002</v>
      </c>
      <c r="AC73" s="271">
        <v>0.16</v>
      </c>
      <c r="AD73" s="271">
        <f t="shared" si="6"/>
        <v>0.188</v>
      </c>
      <c r="AE73" s="271">
        <v>0.216</v>
      </c>
      <c r="AF73" s="187"/>
      <c r="AG73" s="273"/>
      <c r="AH73" s="274"/>
    </row>
    <row r="74" spans="1:34" ht="12.75" customHeight="1" x14ac:dyDescent="0.25">
      <c r="A74" s="191"/>
      <c r="B74" s="187"/>
      <c r="C74" s="187"/>
      <c r="D74" s="258"/>
      <c r="E74" s="258"/>
      <c r="F74" s="258"/>
      <c r="G74" s="258"/>
      <c r="H74" s="258"/>
      <c r="I74" s="258"/>
      <c r="J74" s="258"/>
      <c r="K74" s="207"/>
      <c r="L74" s="258"/>
      <c r="M74" s="260"/>
      <c r="N74" s="187"/>
      <c r="O74" s="266"/>
      <c r="P74" s="276" t="s">
        <v>369</v>
      </c>
      <c r="Q74" s="276" t="s">
        <v>369</v>
      </c>
      <c r="R74" s="276" t="str">
        <f>S74</f>
        <v>CCC</v>
      </c>
      <c r="S74" s="276" t="s">
        <v>392</v>
      </c>
      <c r="T74" s="277" t="str">
        <f>U74</f>
        <v>B</v>
      </c>
      <c r="U74" s="277" t="s">
        <v>393</v>
      </c>
      <c r="V74" s="277" t="str">
        <f>W74</f>
        <v>BB</v>
      </c>
      <c r="W74" s="277" t="s">
        <v>394</v>
      </c>
      <c r="X74" s="277" t="str">
        <f>Y74</f>
        <v>BBB</v>
      </c>
      <c r="Y74" s="277" t="s">
        <v>395</v>
      </c>
      <c r="Z74" s="277" t="str">
        <f>AA74</f>
        <v>A</v>
      </c>
      <c r="AA74" s="277" t="s">
        <v>396</v>
      </c>
      <c r="AB74" s="277" t="str">
        <f>AC74</f>
        <v>AA</v>
      </c>
      <c r="AC74" s="277" t="s">
        <v>397</v>
      </c>
      <c r="AD74" s="277" t="str">
        <f>AE74</f>
        <v>AAA</v>
      </c>
      <c r="AE74" s="277" t="s">
        <v>398</v>
      </c>
      <c r="AF74" s="187"/>
      <c r="AG74" s="273"/>
      <c r="AH74" s="274"/>
    </row>
    <row r="75" spans="1:34" ht="12.75" customHeight="1" x14ac:dyDescent="0.25">
      <c r="A75" s="191"/>
      <c r="B75" s="187"/>
      <c r="C75" s="187"/>
      <c r="D75" s="258"/>
      <c r="E75" s="258"/>
      <c r="F75" s="258"/>
      <c r="G75" s="258"/>
      <c r="H75" s="258"/>
      <c r="I75" s="258"/>
      <c r="J75" s="258"/>
      <c r="K75" s="207"/>
      <c r="L75" s="187"/>
      <c r="M75" s="187"/>
      <c r="N75" s="187"/>
      <c r="O75" s="266"/>
      <c r="P75" s="276">
        <v>9</v>
      </c>
      <c r="Q75" s="276">
        <v>8</v>
      </c>
      <c r="R75" s="276">
        <v>7.5</v>
      </c>
      <c r="S75" s="276">
        <v>7</v>
      </c>
      <c r="T75" s="277">
        <f>U75</f>
        <v>6</v>
      </c>
      <c r="U75" s="277">
        <v>6</v>
      </c>
      <c r="V75" s="277">
        <f>W75</f>
        <v>5</v>
      </c>
      <c r="W75" s="277">
        <v>5</v>
      </c>
      <c r="X75" s="277">
        <f>Y75</f>
        <v>4</v>
      </c>
      <c r="Y75" s="277">
        <v>4</v>
      </c>
      <c r="Z75" s="277">
        <f>AA75</f>
        <v>3</v>
      </c>
      <c r="AA75" s="277">
        <v>3</v>
      </c>
      <c r="AB75" s="277">
        <f>AC75</f>
        <v>2</v>
      </c>
      <c r="AC75" s="277">
        <v>2</v>
      </c>
      <c r="AD75" s="277">
        <f>AE75</f>
        <v>1</v>
      </c>
      <c r="AE75" s="277">
        <v>1</v>
      </c>
      <c r="AF75" s="187"/>
      <c r="AG75" s="273"/>
      <c r="AH75" s="274"/>
    </row>
    <row r="76" spans="1:34" ht="12.75" customHeight="1" x14ac:dyDescent="0.25">
      <c r="A76" s="191"/>
      <c r="B76" s="187"/>
      <c r="C76" s="187"/>
      <c r="D76" s="258"/>
      <c r="E76" s="259">
        <f>D5</f>
        <v>0</v>
      </c>
      <c r="F76" s="258"/>
      <c r="G76" s="259" t="e">
        <f>F5</f>
        <v>#REF!</v>
      </c>
      <c r="H76" s="258"/>
      <c r="I76" s="259" t="e">
        <f>H5</f>
        <v>#REF!</v>
      </c>
      <c r="J76" s="258"/>
      <c r="K76" s="259" t="e">
        <f>J5</f>
        <v>#REF!</v>
      </c>
      <c r="L76" s="187"/>
      <c r="M76" s="187"/>
      <c r="N76" s="187"/>
      <c r="O76" s="266"/>
      <c r="P76" s="187"/>
      <c r="Q76" s="187"/>
      <c r="R76" s="231"/>
      <c r="S76" s="231"/>
      <c r="T76" s="231"/>
      <c r="U76" s="231"/>
      <c r="V76" s="231"/>
      <c r="W76" s="231"/>
      <c r="X76" s="231"/>
      <c r="Y76" s="231"/>
      <c r="Z76" s="231"/>
      <c r="AA76" s="231"/>
      <c r="AB76" s="231"/>
      <c r="AC76" s="231"/>
      <c r="AD76" s="231"/>
      <c r="AE76" s="231"/>
      <c r="AF76" s="187"/>
      <c r="AG76" s="273"/>
      <c r="AH76" s="273"/>
    </row>
    <row r="77" spans="1:34" ht="12.75" customHeight="1" x14ac:dyDescent="0.25">
      <c r="A77" s="261" t="s">
        <v>399</v>
      </c>
      <c r="B77" s="262"/>
      <c r="C77" s="263"/>
      <c r="D77" s="264"/>
      <c r="E77" s="265">
        <f>HLOOKUP(D77,$R77:$AH$80,4)</f>
        <v>1</v>
      </c>
      <c r="F77" s="264" t="e">
        <f>+((#REF!+#REF!)/(#REF!+#REF!+#REF!))*100</f>
        <v>#REF!</v>
      </c>
      <c r="G77" s="265" t="e">
        <f>HLOOKUP(F77,$R77:$AH$80,4)</f>
        <v>#REF!</v>
      </c>
      <c r="H77" s="264" t="e">
        <f>+((#REF!+#REF!)/(#REF!+#REF!+#REF!))*100</f>
        <v>#REF!</v>
      </c>
      <c r="I77" s="265" t="e">
        <f>HLOOKUP(H77,$R77:$AH$80,4)</f>
        <v>#REF!</v>
      </c>
      <c r="J77" s="264" t="e">
        <f>+((#REF!+#REF!)/(#REF!+#REF!+#REF!))*100</f>
        <v>#REF!</v>
      </c>
      <c r="K77" s="265" t="e">
        <f>HLOOKUP(J77,$R77:$AH$80,4)</f>
        <v>#REF!</v>
      </c>
      <c r="L77" s="258">
        <v>8</v>
      </c>
      <c r="M77" s="187" t="s">
        <v>399</v>
      </c>
      <c r="N77" s="187"/>
      <c r="O77" s="266">
        <v>6.6699999999999995E-2</v>
      </c>
      <c r="P77" s="187"/>
      <c r="Q77" s="260"/>
      <c r="R77" s="267">
        <v>-52000</v>
      </c>
      <c r="S77" s="267">
        <v>11.1</v>
      </c>
      <c r="T77" s="268">
        <f>(S77+U77)/2</f>
        <v>14.05</v>
      </c>
      <c r="U77" s="268">
        <v>17</v>
      </c>
      <c r="V77" s="268">
        <f>(U77+W77)/2</f>
        <v>23.35</v>
      </c>
      <c r="W77" s="268">
        <v>29.7</v>
      </c>
      <c r="X77" s="268">
        <f>(W77+Y77)/2</f>
        <v>35.049999999999997</v>
      </c>
      <c r="Y77" s="268">
        <v>40.4</v>
      </c>
      <c r="Z77" s="268">
        <f>(Y77+AA77)/2</f>
        <v>46.7</v>
      </c>
      <c r="AA77" s="268">
        <v>53</v>
      </c>
      <c r="AB77" s="268">
        <f>(AA77+AC77)/2</f>
        <v>54.9</v>
      </c>
      <c r="AC77" s="268">
        <v>56.8</v>
      </c>
      <c r="AD77" s="268">
        <f>(AC77+AE77)/2</f>
        <v>65.8</v>
      </c>
      <c r="AE77" s="268">
        <v>74.8</v>
      </c>
      <c r="AF77" s="268">
        <f>(AE77+AG77)/2</f>
        <v>87.4</v>
      </c>
      <c r="AG77" s="268">
        <v>100</v>
      </c>
      <c r="AH77" s="267">
        <v>150</v>
      </c>
    </row>
    <row r="78" spans="1:34" ht="12.75" customHeight="1" x14ac:dyDescent="0.25">
      <c r="A78" s="214" t="s">
        <v>400</v>
      </c>
      <c r="B78" s="215"/>
      <c r="C78" s="216"/>
      <c r="D78" s="264"/>
      <c r="E78" s="265">
        <f>HLOOKUP(D78,$R78:$AH$80,3)</f>
        <v>1</v>
      </c>
      <c r="F78" s="264" t="e">
        <f>+((#REF!+#REF!+#REF!+#REF!)/(#REF!+#REF!+#REF!+#REF!+#REF!))*100</f>
        <v>#REF!</v>
      </c>
      <c r="G78" s="265" t="e">
        <f>HLOOKUP(F78,$R78:$AH$80,3)</f>
        <v>#REF!</v>
      </c>
      <c r="H78" s="264" t="e">
        <f>+((#REF!+#REF!+#REF!+#REF!)/(#REF!+#REF!+#REF!+#REF!+#REF!))*100</f>
        <v>#REF!</v>
      </c>
      <c r="I78" s="265" t="e">
        <f>HLOOKUP(H78,$R78:$AH$80,3)</f>
        <v>#REF!</v>
      </c>
      <c r="J78" s="264" t="e">
        <f>+((#REF!+#REF!+#REF!+#REF!)/(#REF!+#REF!+#REF!+#REF!+#REF!))*100</f>
        <v>#REF!</v>
      </c>
      <c r="K78" s="265" t="e">
        <f>HLOOKUP(J78,$R78:$AH$80,3)</f>
        <v>#REF!</v>
      </c>
      <c r="L78" s="258">
        <v>7</v>
      </c>
      <c r="M78" s="187" t="s">
        <v>400</v>
      </c>
      <c r="N78" s="187"/>
      <c r="O78" s="266">
        <v>0.1333</v>
      </c>
      <c r="P78" s="187"/>
      <c r="Q78" s="260"/>
      <c r="R78" s="267">
        <v>-52000</v>
      </c>
      <c r="S78" s="267">
        <v>21.9</v>
      </c>
      <c r="T78" s="268">
        <f>(S78+U78)/2</f>
        <v>24.15</v>
      </c>
      <c r="U78" s="268">
        <v>26.4</v>
      </c>
      <c r="V78" s="268">
        <f>(U78+W78)/2</f>
        <v>31.8</v>
      </c>
      <c r="W78" s="268">
        <v>37.200000000000003</v>
      </c>
      <c r="X78" s="268">
        <f>(W78+Y78)/2</f>
        <v>41.85</v>
      </c>
      <c r="Y78" s="268">
        <v>46.5</v>
      </c>
      <c r="Z78" s="268">
        <f>(Y78+AA78)/2</f>
        <v>53.1</v>
      </c>
      <c r="AA78" s="268">
        <v>59.7</v>
      </c>
      <c r="AB78" s="268">
        <f>(AA78+AC78)/2</f>
        <v>62.800000000000004</v>
      </c>
      <c r="AC78" s="268">
        <v>65.900000000000006</v>
      </c>
      <c r="AD78" s="268">
        <f>(AC78+AE78)/2</f>
        <v>75.25</v>
      </c>
      <c r="AE78" s="268">
        <v>84.6</v>
      </c>
      <c r="AF78" s="268">
        <f>(AE78+AG78)/2</f>
        <v>92.3</v>
      </c>
      <c r="AG78" s="268">
        <v>100</v>
      </c>
      <c r="AH78" s="267">
        <v>180</v>
      </c>
    </row>
    <row r="79" spans="1:34" ht="12.75" customHeight="1" x14ac:dyDescent="0.25">
      <c r="A79" s="278" t="s">
        <v>401</v>
      </c>
      <c r="B79" s="279"/>
      <c r="C79" s="279"/>
      <c r="D79" s="280"/>
      <c r="E79" s="281">
        <f>SUMPRODUCT(E68:E78,$O$68:$O$78)</f>
        <v>5.83345</v>
      </c>
      <c r="F79" s="187"/>
      <c r="G79" s="281" t="e">
        <f>SUMPRODUCT(G68:G78,$O$68:$O$78)</f>
        <v>#REF!</v>
      </c>
      <c r="H79" s="187"/>
      <c r="I79" s="281" t="e">
        <f>SUMPRODUCT(I68:I78,$O$68:$O$78)</f>
        <v>#REF!</v>
      </c>
      <c r="J79" s="187"/>
      <c r="K79" s="281" t="e">
        <f>SUMPRODUCT(K68:K78,$O$68:$O$78)</f>
        <v>#REF!</v>
      </c>
      <c r="L79" s="187"/>
      <c r="M79" s="187"/>
      <c r="N79" s="256" t="s">
        <v>77</v>
      </c>
      <c r="O79" s="282">
        <f>SUM(O68:O78)</f>
        <v>0.99999999999999989</v>
      </c>
      <c r="P79" s="187"/>
      <c r="Q79" s="187"/>
      <c r="R79" s="276" t="str">
        <f>S79</f>
        <v>AAA</v>
      </c>
      <c r="S79" s="276" t="s">
        <v>398</v>
      </c>
      <c r="T79" s="277" t="str">
        <f>U79</f>
        <v>AA</v>
      </c>
      <c r="U79" s="277" t="s">
        <v>397</v>
      </c>
      <c r="V79" s="277" t="str">
        <f>W79</f>
        <v>A</v>
      </c>
      <c r="W79" s="277" t="s">
        <v>396</v>
      </c>
      <c r="X79" s="277" t="str">
        <f>Y79</f>
        <v>BBB</v>
      </c>
      <c r="Y79" s="277" t="s">
        <v>395</v>
      </c>
      <c r="Z79" s="277" t="str">
        <f>AA79</f>
        <v>BB</v>
      </c>
      <c r="AA79" s="277" t="s">
        <v>394</v>
      </c>
      <c r="AB79" s="277" t="str">
        <f>AC79</f>
        <v>B</v>
      </c>
      <c r="AC79" s="277" t="s">
        <v>393</v>
      </c>
      <c r="AD79" s="277" t="str">
        <f>AE79</f>
        <v>CCC</v>
      </c>
      <c r="AE79" s="277" t="s">
        <v>392</v>
      </c>
      <c r="AF79" s="277" t="s">
        <v>369</v>
      </c>
      <c r="AG79" s="277" t="s">
        <v>369</v>
      </c>
      <c r="AH79" s="276" t="s">
        <v>370</v>
      </c>
    </row>
    <row r="80" spans="1:34" ht="12.75" customHeight="1" x14ac:dyDescent="0.25">
      <c r="A80" s="187"/>
      <c r="B80" s="187"/>
      <c r="C80" s="187"/>
      <c r="D80" s="187"/>
      <c r="E80" s="265">
        <f>VLOOKUP(E$79,$N$85:$Q$93,3)</f>
        <v>2</v>
      </c>
      <c r="F80" s="187"/>
      <c r="G80" s="265" t="e">
        <f>VLOOKUP(G$79,$N$85:$Q$93,3)</f>
        <v>#REF!</v>
      </c>
      <c r="H80" s="187"/>
      <c r="I80" s="265" t="e">
        <f>VLOOKUP(I$79,$N$85:$Q$93,3)</f>
        <v>#REF!</v>
      </c>
      <c r="J80" s="187"/>
      <c r="K80" s="265" t="e">
        <f>VLOOKUP(K$79,$N$85:$Q$93,3)</f>
        <v>#REF!</v>
      </c>
      <c r="L80" s="231"/>
      <c r="M80" s="187"/>
      <c r="N80" s="187"/>
      <c r="O80" s="187"/>
      <c r="P80" s="187"/>
      <c r="Q80" s="187"/>
      <c r="R80" s="276">
        <f>S80</f>
        <v>1</v>
      </c>
      <c r="S80" s="276">
        <v>1</v>
      </c>
      <c r="T80" s="277">
        <f>U80</f>
        <v>2</v>
      </c>
      <c r="U80" s="277">
        <v>2</v>
      </c>
      <c r="V80" s="277">
        <f>W80</f>
        <v>3</v>
      </c>
      <c r="W80" s="277">
        <v>3</v>
      </c>
      <c r="X80" s="277">
        <f>Y80</f>
        <v>4</v>
      </c>
      <c r="Y80" s="277">
        <v>4</v>
      </c>
      <c r="Z80" s="277">
        <f>AA80</f>
        <v>5</v>
      </c>
      <c r="AA80" s="277">
        <v>5</v>
      </c>
      <c r="AB80" s="277">
        <f>AC80</f>
        <v>6</v>
      </c>
      <c r="AC80" s="277">
        <v>6</v>
      </c>
      <c r="AD80" s="277">
        <f>AE80</f>
        <v>7</v>
      </c>
      <c r="AE80" s="277">
        <v>7</v>
      </c>
      <c r="AF80" s="277">
        <v>8</v>
      </c>
      <c r="AG80" s="277">
        <v>8.5</v>
      </c>
      <c r="AH80" s="283">
        <v>9</v>
      </c>
    </row>
    <row r="85" spans="14:18" ht="12.75" customHeight="1" x14ac:dyDescent="0.25">
      <c r="N85" s="239">
        <v>1</v>
      </c>
      <c r="O85" s="239">
        <v>4.99</v>
      </c>
      <c r="P85" s="239">
        <v>1</v>
      </c>
      <c r="Q85" s="239" t="s">
        <v>351</v>
      </c>
      <c r="R85" s="284">
        <v>5.0000000000000001E-3</v>
      </c>
    </row>
    <row r="86" spans="14:18" ht="12.75" customHeight="1" x14ac:dyDescent="0.25">
      <c r="N86" s="239">
        <v>5</v>
      </c>
      <c r="O86" s="239">
        <v>5.99</v>
      </c>
      <c r="P86" s="239">
        <v>2</v>
      </c>
      <c r="Q86" s="239" t="s">
        <v>353</v>
      </c>
      <c r="R86" s="284">
        <v>9.9000000000000008E-3</v>
      </c>
    </row>
    <row r="87" spans="14:18" ht="12.75" customHeight="1" x14ac:dyDescent="0.25">
      <c r="N87" s="239">
        <v>6</v>
      </c>
      <c r="O87" s="239">
        <v>6.33</v>
      </c>
      <c r="P87" s="239">
        <v>3</v>
      </c>
      <c r="Q87" s="239" t="s">
        <v>354</v>
      </c>
      <c r="R87" s="284">
        <v>4.99E-2</v>
      </c>
    </row>
    <row r="88" spans="14:18" ht="12.75" customHeight="1" x14ac:dyDescent="0.25">
      <c r="N88" s="255">
        <v>6.34</v>
      </c>
      <c r="O88" s="255">
        <v>6.66</v>
      </c>
      <c r="P88" s="239">
        <v>4</v>
      </c>
      <c r="Q88" s="239" t="s">
        <v>364</v>
      </c>
      <c r="R88" s="284">
        <v>9.9900000000000003E-2</v>
      </c>
    </row>
    <row r="89" spans="14:18" ht="12.75" customHeight="1" x14ac:dyDescent="0.25">
      <c r="N89" s="255">
        <v>6.67</v>
      </c>
      <c r="O89" s="255">
        <v>6.99</v>
      </c>
      <c r="P89" s="239">
        <v>5</v>
      </c>
      <c r="Q89" s="239" t="s">
        <v>344</v>
      </c>
      <c r="R89" s="284">
        <v>0.19989999999999999</v>
      </c>
    </row>
    <row r="90" spans="14:18" ht="12.75" customHeight="1" x14ac:dyDescent="0.25">
      <c r="N90" s="239">
        <v>7</v>
      </c>
      <c r="O90" s="239">
        <v>7.99</v>
      </c>
      <c r="P90" s="239">
        <v>6</v>
      </c>
      <c r="Q90" s="239" t="s">
        <v>366</v>
      </c>
      <c r="R90" s="284">
        <v>0.39989999999999998</v>
      </c>
    </row>
    <row r="91" spans="14:18" ht="12.75" customHeight="1" x14ac:dyDescent="0.25">
      <c r="N91" s="239">
        <v>8</v>
      </c>
      <c r="O91" s="239">
        <v>8.99</v>
      </c>
      <c r="P91" s="239">
        <v>7</v>
      </c>
      <c r="Q91" s="239" t="s">
        <v>368</v>
      </c>
      <c r="R91" s="284">
        <v>0.59989999999999999</v>
      </c>
    </row>
    <row r="92" spans="14:18" ht="12.75" customHeight="1" x14ac:dyDescent="0.25">
      <c r="N92" s="239">
        <v>9</v>
      </c>
      <c r="O92" s="239">
        <v>9</v>
      </c>
      <c r="P92" s="239">
        <v>8</v>
      </c>
      <c r="Q92" s="239" t="s">
        <v>369</v>
      </c>
      <c r="R92" s="284">
        <v>0.89990000000000003</v>
      </c>
    </row>
    <row r="93" spans="14:18" ht="12.75" customHeight="1" x14ac:dyDescent="0.25">
      <c r="N93" s="239">
        <v>9</v>
      </c>
      <c r="O93" s="239">
        <v>9</v>
      </c>
      <c r="P93" s="239">
        <v>9</v>
      </c>
      <c r="Q93" s="239" t="s">
        <v>370</v>
      </c>
      <c r="R93" s="284">
        <v>1</v>
      </c>
    </row>
  </sheetData>
  <mergeCells count="86">
    <mergeCell ref="C42:K42"/>
    <mergeCell ref="B46:K46"/>
    <mergeCell ref="C47:K47"/>
    <mergeCell ref="D31:E31"/>
    <mergeCell ref="F31:G31"/>
    <mergeCell ref="H31:I31"/>
    <mergeCell ref="J31:K31"/>
    <mergeCell ref="B32:D32"/>
    <mergeCell ref="D29:E29"/>
    <mergeCell ref="F29:G29"/>
    <mergeCell ref="H29:I29"/>
    <mergeCell ref="J29:K29"/>
    <mergeCell ref="D30:E30"/>
    <mergeCell ref="F30:G30"/>
    <mergeCell ref="H30:I30"/>
    <mergeCell ref="J30:K30"/>
    <mergeCell ref="D27:E27"/>
    <mergeCell ref="F27:G27"/>
    <mergeCell ref="H27:I27"/>
    <mergeCell ref="J27:K27"/>
    <mergeCell ref="D28:E28"/>
    <mergeCell ref="F28:G28"/>
    <mergeCell ref="H28:I28"/>
    <mergeCell ref="J28:K28"/>
    <mergeCell ref="D25:E25"/>
    <mergeCell ref="F25:G25"/>
    <mergeCell ref="H25:I25"/>
    <mergeCell ref="J25:K25"/>
    <mergeCell ref="D26:E26"/>
    <mergeCell ref="F26:G26"/>
    <mergeCell ref="H26:I26"/>
    <mergeCell ref="J26:K26"/>
    <mergeCell ref="D21:E21"/>
    <mergeCell ref="F21:G21"/>
    <mergeCell ref="H21:I21"/>
    <mergeCell ref="J21:K21"/>
    <mergeCell ref="D24:E24"/>
    <mergeCell ref="F24:G24"/>
    <mergeCell ref="H24:I24"/>
    <mergeCell ref="J24:K24"/>
    <mergeCell ref="D19:E19"/>
    <mergeCell ref="F19:G19"/>
    <mergeCell ref="H19:I19"/>
    <mergeCell ref="J19:K19"/>
    <mergeCell ref="D20:E20"/>
    <mergeCell ref="F20:G20"/>
    <mergeCell ref="H20:I20"/>
    <mergeCell ref="J20:K20"/>
    <mergeCell ref="D15:E15"/>
    <mergeCell ref="F15:G15"/>
    <mergeCell ref="H15:I15"/>
    <mergeCell ref="J15:K15"/>
    <mergeCell ref="D16:E16"/>
    <mergeCell ref="F16:G16"/>
    <mergeCell ref="H16:I16"/>
    <mergeCell ref="J16:K16"/>
    <mergeCell ref="D11:E11"/>
    <mergeCell ref="F11:G11"/>
    <mergeCell ref="H11:I11"/>
    <mergeCell ref="J11:K11"/>
    <mergeCell ref="D14:E14"/>
    <mergeCell ref="F14:G14"/>
    <mergeCell ref="H14:I14"/>
    <mergeCell ref="J14:K14"/>
    <mergeCell ref="D9:E9"/>
    <mergeCell ref="F9:G9"/>
    <mergeCell ref="H9:I9"/>
    <mergeCell ref="J9:K9"/>
    <mergeCell ref="D10:E10"/>
    <mergeCell ref="F10:G10"/>
    <mergeCell ref="H10:I10"/>
    <mergeCell ref="J10:K10"/>
    <mergeCell ref="D7:E7"/>
    <mergeCell ref="F7:G7"/>
    <mergeCell ref="H7:I7"/>
    <mergeCell ref="J7:K7"/>
    <mergeCell ref="D8:E8"/>
    <mergeCell ref="F8:G8"/>
    <mergeCell ref="H8:I8"/>
    <mergeCell ref="J8:K8"/>
    <mergeCell ref="A2:K2"/>
    <mergeCell ref="A4:K4"/>
    <mergeCell ref="D5:E5"/>
    <mergeCell ref="F5:G5"/>
    <mergeCell ref="H5:I5"/>
    <mergeCell ref="J5:K5"/>
  </mergeCells>
  <printOptions horizontalCentered="1" verticalCentered="1"/>
  <pageMargins left="0.74791666666666701" right="0.74791666666666701" top="0.98402777777777795" bottom="0.98402777777777795" header="0.51180555555555496" footer="0.51180555555555496"/>
  <pageSetup firstPageNumber="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D10:L54"/>
  <sheetViews>
    <sheetView zoomScaleNormal="100" workbookViewId="0"/>
  </sheetViews>
  <sheetFormatPr baseColWidth="10" defaultColWidth="14.44140625" defaultRowHeight="13.2" x14ac:dyDescent="0.25"/>
  <cols>
    <col min="1" max="2" width="11.6640625" customWidth="1"/>
    <col min="3" max="3" width="28" customWidth="1"/>
    <col min="4" max="4" width="11.6640625" customWidth="1"/>
    <col min="5" max="5" width="8.109375" customWidth="1"/>
    <col min="6" max="6" width="30.88671875" customWidth="1"/>
    <col min="7" max="7" width="11.88671875" customWidth="1"/>
    <col min="8" max="8" width="5.33203125" customWidth="1"/>
    <col min="9" max="9" width="19.88671875" customWidth="1"/>
    <col min="10" max="10" width="25.88671875" customWidth="1"/>
    <col min="11" max="11" width="11.6640625" customWidth="1"/>
    <col min="12" max="12" width="15" customWidth="1"/>
    <col min="13" max="26" width="11.6640625" customWidth="1"/>
  </cols>
  <sheetData>
    <row r="10" spans="4:12" ht="12.75" customHeight="1" x14ac:dyDescent="0.3">
      <c r="D10" s="635" t="s">
        <v>402</v>
      </c>
      <c r="E10" s="635"/>
      <c r="F10" s="635"/>
      <c r="G10" s="635"/>
      <c r="H10" s="635"/>
      <c r="I10" s="635"/>
      <c r="J10" s="635"/>
      <c r="K10" s="635"/>
      <c r="L10" s="635"/>
    </row>
    <row r="13" spans="4:12" ht="12.75" customHeight="1" x14ac:dyDescent="0.25">
      <c r="E13" s="27" t="s">
        <v>403</v>
      </c>
      <c r="G13" t="e">
        <f>+#REF!</f>
        <v>#REF!</v>
      </c>
    </row>
    <row r="14" spans="4:12" ht="12.75" customHeight="1" x14ac:dyDescent="0.25">
      <c r="E14" s="27" t="s">
        <v>404</v>
      </c>
      <c r="G14" s="636" t="e">
        <f>#N/A</f>
        <v>#N/A</v>
      </c>
      <c r="H14" s="636"/>
      <c r="I14" s="636"/>
    </row>
    <row r="15" spans="4:12" ht="12.75" customHeight="1" x14ac:dyDescent="0.25">
      <c r="E15" s="27" t="s">
        <v>405</v>
      </c>
      <c r="G15" t="e">
        <f>#N/A</f>
        <v>#N/A</v>
      </c>
    </row>
    <row r="17" spans="4:12" ht="12.75" customHeight="1" x14ac:dyDescent="0.35">
      <c r="D17" s="80"/>
      <c r="E17" s="285" t="s">
        <v>406</v>
      </c>
      <c r="F17" s="286"/>
      <c r="G17" s="287" t="e">
        <f>L27</f>
        <v>#REF!</v>
      </c>
      <c r="H17" s="80"/>
      <c r="I17" s="80"/>
      <c r="J17" s="80"/>
      <c r="K17" s="80"/>
      <c r="L17" s="80"/>
    </row>
    <row r="18" spans="4:12" ht="12.75" customHeight="1" x14ac:dyDescent="0.25">
      <c r="E18" s="27"/>
    </row>
    <row r="19" spans="4:12" ht="12.75" customHeight="1" x14ac:dyDescent="0.25">
      <c r="E19" s="27" t="s">
        <v>407</v>
      </c>
      <c r="G19" t="str">
        <f>+sectores!L13</f>
        <v>INDUSTRIA MANUFACTURERA</v>
      </c>
    </row>
    <row r="20" spans="4:12" ht="12.75" customHeight="1" x14ac:dyDescent="0.25">
      <c r="E20" s="27" t="s">
        <v>408</v>
      </c>
      <c r="G20" s="187" t="e">
        <f>+CALIF!N10</f>
        <v>#N/A</v>
      </c>
    </row>
    <row r="21" spans="4:12" ht="12.75" customHeight="1" x14ac:dyDescent="0.25">
      <c r="D21" s="80"/>
      <c r="E21" s="80"/>
      <c r="F21" s="80"/>
      <c r="G21" s="80"/>
      <c r="H21" s="80"/>
      <c r="I21" s="80"/>
      <c r="J21" s="80"/>
      <c r="K21" s="80"/>
      <c r="L21" s="80"/>
    </row>
    <row r="24" spans="4:12" ht="12.75" customHeight="1" x14ac:dyDescent="0.25">
      <c r="D24" s="257" t="s">
        <v>333</v>
      </c>
      <c r="E24" s="637" t="s">
        <v>333</v>
      </c>
      <c r="F24" s="637"/>
      <c r="G24" s="637"/>
      <c r="H24" s="637"/>
      <c r="I24" s="257" t="s">
        <v>333</v>
      </c>
      <c r="J24" s="638" t="s">
        <v>334</v>
      </c>
      <c r="K24" s="638"/>
      <c r="L24" s="21" t="s">
        <v>331</v>
      </c>
    </row>
    <row r="25" spans="4:12" ht="12.75" customHeight="1" x14ac:dyDescent="0.25">
      <c r="D25" s="257" t="s">
        <v>337</v>
      </c>
      <c r="E25" s="637" t="s">
        <v>338</v>
      </c>
      <c r="F25" s="637"/>
      <c r="G25" s="637"/>
      <c r="H25" s="637"/>
      <c r="I25" s="257" t="s">
        <v>339</v>
      </c>
      <c r="J25" s="638" t="s">
        <v>340</v>
      </c>
      <c r="K25" s="638"/>
      <c r="L25" s="288" t="s">
        <v>341</v>
      </c>
    </row>
    <row r="26" spans="4:12" ht="12.75" customHeight="1" x14ac:dyDescent="0.25">
      <c r="D26" s="224"/>
      <c r="E26" s="289"/>
      <c r="F26" s="290"/>
      <c r="G26" s="290"/>
      <c r="H26" s="77"/>
      <c r="I26" s="224"/>
      <c r="J26" s="289"/>
      <c r="K26" s="77"/>
      <c r="L26" s="224"/>
    </row>
    <row r="27" spans="4:12" ht="12.75" customHeight="1" x14ac:dyDescent="0.25">
      <c r="D27" s="291" t="s">
        <v>66</v>
      </c>
      <c r="E27" s="639" t="e">
        <f>CALIF!C36</f>
        <v>#REF!</v>
      </c>
      <c r="F27" s="639"/>
      <c r="G27" s="639"/>
      <c r="H27" s="639"/>
      <c r="I27" s="291" t="str">
        <f>VLOOKUP(G19,sectores!L7:M17,2)</f>
        <v>C1</v>
      </c>
      <c r="J27" s="639" t="str">
        <f>CALIF!E36</f>
        <v>C2</v>
      </c>
      <c r="K27" s="639"/>
      <c r="L27" s="291" t="e">
        <f>CALIF!F36</f>
        <v>#REF!</v>
      </c>
    </row>
    <row r="33" spans="5:11" ht="12.75" customHeight="1" x14ac:dyDescent="0.25">
      <c r="E33" s="292" t="s">
        <v>409</v>
      </c>
      <c r="F33" s="640" t="s">
        <v>410</v>
      </c>
      <c r="G33" s="640"/>
      <c r="J33" s="640" t="s">
        <v>411</v>
      </c>
      <c r="K33" s="640"/>
    </row>
    <row r="34" spans="5:11" ht="12.75" customHeight="1" x14ac:dyDescent="0.25">
      <c r="E34" s="258"/>
      <c r="J34" t="s">
        <v>412</v>
      </c>
      <c r="K34" s="294" t="e">
        <f>#N/A</f>
        <v>#N/A</v>
      </c>
    </row>
    <row r="35" spans="5:11" ht="12.75" customHeight="1" x14ac:dyDescent="0.25">
      <c r="E35" s="266">
        <f>CALIF!O68</f>
        <v>0.2</v>
      </c>
      <c r="F35" s="187" t="s">
        <v>384</v>
      </c>
      <c r="G35" s="187" t="e">
        <f>CALIF!J68</f>
        <v>#REF!</v>
      </c>
      <c r="H35" s="187" t="e">
        <f>CALIF!K68*CALIF!O68</f>
        <v>#REF!</v>
      </c>
      <c r="J35" t="s">
        <v>413</v>
      </c>
      <c r="K35">
        <v>120</v>
      </c>
    </row>
    <row r="36" spans="5:11" ht="12.75" customHeight="1" x14ac:dyDescent="0.25">
      <c r="E36" s="266">
        <f>CALIF!O69</f>
        <v>0.2</v>
      </c>
      <c r="F36" s="187" t="s">
        <v>385</v>
      </c>
      <c r="G36" s="187" t="e">
        <f>CALIF!J69</f>
        <v>#REF!</v>
      </c>
      <c r="H36" s="187" t="e">
        <f>CALIF!K69*CALIF!O69</f>
        <v>#REF!</v>
      </c>
      <c r="J36" t="s">
        <v>414</v>
      </c>
      <c r="K36">
        <v>0</v>
      </c>
    </row>
    <row r="37" spans="5:11" ht="12.75" customHeight="1" x14ac:dyDescent="0.25">
      <c r="E37" s="266">
        <f>CALIF!O70</f>
        <v>0.1333</v>
      </c>
      <c r="F37" s="187" t="s">
        <v>386</v>
      </c>
      <c r="G37" s="187" t="e">
        <f>CALIF!J70</f>
        <v>#REF!</v>
      </c>
      <c r="H37" s="187" t="e">
        <f>CALIF!K70*CALIF!O70</f>
        <v>#REF!</v>
      </c>
      <c r="J37" t="s">
        <v>415</v>
      </c>
      <c r="K37">
        <v>0</v>
      </c>
    </row>
    <row r="38" spans="5:11" ht="12.75" customHeight="1" x14ac:dyDescent="0.25">
      <c r="E38" s="266">
        <f>CALIF!O71</f>
        <v>0.1333</v>
      </c>
      <c r="F38" s="187" t="s">
        <v>389</v>
      </c>
      <c r="G38" s="187" t="e">
        <f>CALIF!J71</f>
        <v>#REF!</v>
      </c>
      <c r="H38" s="187" t="e">
        <f>CALIF!K71*CALIF!O71</f>
        <v>#REF!</v>
      </c>
    </row>
    <row r="39" spans="5:11" ht="12.75" customHeight="1" x14ac:dyDescent="0.25">
      <c r="E39" s="266">
        <f>CALIF!O72</f>
        <v>6.6699999999999995E-2</v>
      </c>
      <c r="F39" s="187" t="s">
        <v>390</v>
      </c>
      <c r="G39" s="187" t="e">
        <f>CALIF!J72</f>
        <v>#REF!</v>
      </c>
      <c r="H39" s="187" t="e">
        <f>CALIF!K72*CALIF!O72</f>
        <v>#REF!</v>
      </c>
      <c r="J39" s="640" t="s">
        <v>416</v>
      </c>
      <c r="K39" s="640"/>
    </row>
    <row r="40" spans="5:11" ht="12.75" customHeight="1" x14ac:dyDescent="0.25">
      <c r="E40" s="266">
        <f>CALIF!O73</f>
        <v>6.6699999999999995E-2</v>
      </c>
      <c r="F40" s="187" t="s">
        <v>391</v>
      </c>
      <c r="G40" s="295" t="e">
        <f>CALIF!J73</f>
        <v>#REF!</v>
      </c>
      <c r="H40" s="187" t="e">
        <f>CALIF!K73*CALIF!O73</f>
        <v>#REF!</v>
      </c>
      <c r="J40" t="s">
        <v>412</v>
      </c>
      <c r="K40">
        <v>0</v>
      </c>
    </row>
    <row r="41" spans="5:11" ht="12.75" customHeight="1" x14ac:dyDescent="0.25">
      <c r="E41" s="266">
        <f>CALIF!O77</f>
        <v>6.6699999999999995E-2</v>
      </c>
      <c r="F41" s="187" t="s">
        <v>399</v>
      </c>
      <c r="G41" s="187" t="e">
        <f>CALIF!J77</f>
        <v>#REF!</v>
      </c>
      <c r="H41" s="187" t="e">
        <f>CALIF!K77*CALIF!O77</f>
        <v>#REF!</v>
      </c>
      <c r="J41" t="s">
        <v>413</v>
      </c>
      <c r="K41">
        <v>0</v>
      </c>
    </row>
    <row r="42" spans="5:11" ht="12.75" customHeight="1" x14ac:dyDescent="0.25">
      <c r="E42" s="266">
        <f>CALIF!O78</f>
        <v>0.1333</v>
      </c>
      <c r="F42" s="187" t="s">
        <v>400</v>
      </c>
      <c r="G42" s="187" t="e">
        <f>CALIF!J78</f>
        <v>#REF!</v>
      </c>
      <c r="H42" s="187" t="e">
        <f>CALIF!K78*CALIF!O78</f>
        <v>#REF!</v>
      </c>
      <c r="J42" t="s">
        <v>414</v>
      </c>
      <c r="K42">
        <v>0</v>
      </c>
    </row>
    <row r="43" spans="5:11" ht="12.75" customHeight="1" x14ac:dyDescent="0.25">
      <c r="H43" s="187"/>
      <c r="J43" t="s">
        <v>415</v>
      </c>
      <c r="K43">
        <v>0</v>
      </c>
    </row>
    <row r="44" spans="5:11" ht="12.75" customHeight="1" x14ac:dyDescent="0.25">
      <c r="E44" s="266">
        <f>SUM(E32:E43)</f>
        <v>0.99999999999999989</v>
      </c>
      <c r="F44" s="181" t="s">
        <v>417</v>
      </c>
      <c r="G44" s="172"/>
      <c r="H44" s="296" t="e">
        <f>SUM(H32:H43)</f>
        <v>#REF!</v>
      </c>
    </row>
    <row r="46" spans="5:11" ht="12.75" customHeight="1" x14ac:dyDescent="0.25">
      <c r="F46" s="50" t="s">
        <v>351</v>
      </c>
      <c r="G46" s="50" t="s">
        <v>372</v>
      </c>
      <c r="J46" t="s">
        <v>418</v>
      </c>
      <c r="K46">
        <f>MAX(K35,K36,K37,K41,K42,K43)</f>
        <v>120</v>
      </c>
    </row>
    <row r="47" spans="5:11" ht="12.75" customHeight="1" x14ac:dyDescent="0.25">
      <c r="F47" s="50" t="s">
        <v>353</v>
      </c>
      <c r="G47" s="50" t="s">
        <v>373</v>
      </c>
    </row>
    <row r="48" spans="5:11" ht="12.75" customHeight="1" x14ac:dyDescent="0.25">
      <c r="F48" s="50" t="s">
        <v>354</v>
      </c>
      <c r="G48" s="50" t="s">
        <v>374</v>
      </c>
    </row>
    <row r="49" spans="6:7" ht="12.75" customHeight="1" x14ac:dyDescent="0.25">
      <c r="F49" s="50" t="s">
        <v>364</v>
      </c>
      <c r="G49" s="50" t="s">
        <v>375</v>
      </c>
    </row>
    <row r="50" spans="6:7" ht="12.75" customHeight="1" x14ac:dyDescent="0.25">
      <c r="F50" s="50" t="s">
        <v>344</v>
      </c>
      <c r="G50" s="50" t="s">
        <v>376</v>
      </c>
    </row>
    <row r="51" spans="6:7" ht="12.75" customHeight="1" x14ac:dyDescent="0.25">
      <c r="F51" s="50" t="s">
        <v>366</v>
      </c>
      <c r="G51" s="50" t="s">
        <v>377</v>
      </c>
    </row>
    <row r="52" spans="6:7" ht="12.75" customHeight="1" x14ac:dyDescent="0.25">
      <c r="F52" s="50" t="s">
        <v>368</v>
      </c>
      <c r="G52" s="50" t="s">
        <v>378</v>
      </c>
    </row>
    <row r="53" spans="6:7" ht="12.75" customHeight="1" x14ac:dyDescent="0.25">
      <c r="F53" s="50" t="s">
        <v>369</v>
      </c>
      <c r="G53" s="50">
        <v>9</v>
      </c>
    </row>
    <row r="54" spans="6:7" ht="12.75" customHeight="1" x14ac:dyDescent="0.25">
      <c r="F54" s="50" t="s">
        <v>370</v>
      </c>
      <c r="G54" s="50">
        <v>9</v>
      </c>
    </row>
  </sheetData>
  <mergeCells count="11">
    <mergeCell ref="E27:H27"/>
    <mergeCell ref="J27:K27"/>
    <mergeCell ref="F33:G33"/>
    <mergeCell ref="J33:K33"/>
    <mergeCell ref="J39:K39"/>
    <mergeCell ref="D10:L10"/>
    <mergeCell ref="G14:I14"/>
    <mergeCell ref="E24:H24"/>
    <mergeCell ref="J24:K24"/>
    <mergeCell ref="E25:H25"/>
    <mergeCell ref="J25:K25"/>
  </mergeCells>
  <pageMargins left="0.78749999999999998" right="0.78749999999999998" top="0.78749999999999998" bottom="0.78749999999999998"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D1:M1069"/>
  <sheetViews>
    <sheetView zoomScaleNormal="100" workbookViewId="0"/>
  </sheetViews>
  <sheetFormatPr baseColWidth="10" defaultColWidth="14.44140625" defaultRowHeight="13.2" x14ac:dyDescent="0.25"/>
  <cols>
    <col min="1" max="3" width="11.6640625" customWidth="1"/>
    <col min="4" max="4" width="77.109375" customWidth="1"/>
    <col min="5" max="5" width="34.33203125" customWidth="1"/>
    <col min="6" max="7" width="11" customWidth="1"/>
    <col min="8" max="8" width="40.33203125" customWidth="1"/>
    <col min="9" max="10" width="11" customWidth="1"/>
    <col min="11" max="11" width="5.33203125" customWidth="1"/>
    <col min="12" max="12" width="67" customWidth="1"/>
    <col min="13" max="13" width="11" customWidth="1"/>
    <col min="14" max="26" width="11.6640625" customWidth="1"/>
  </cols>
  <sheetData>
    <row r="1" spans="4:13" ht="12.75" customHeight="1" x14ac:dyDescent="0.25">
      <c r="D1" s="297" t="s">
        <v>419</v>
      </c>
      <c r="E1" s="298" t="s">
        <v>420</v>
      </c>
      <c r="F1" s="298" t="s">
        <v>421</v>
      </c>
      <c r="G1" s="299" t="s">
        <v>422</v>
      </c>
      <c r="H1" s="300" t="s">
        <v>423</v>
      </c>
    </row>
    <row r="2" spans="4:13" ht="12.75" customHeight="1" x14ac:dyDescent="0.25">
      <c r="D2" s="301" t="s">
        <v>424</v>
      </c>
      <c r="E2" s="301" t="s">
        <v>425</v>
      </c>
      <c r="F2" s="301" t="s">
        <v>426</v>
      </c>
      <c r="G2" s="301" t="s">
        <v>427</v>
      </c>
      <c r="H2" s="301" t="s">
        <v>428</v>
      </c>
    </row>
    <row r="3" spans="4:13" ht="12.75" customHeight="1" x14ac:dyDescent="0.25">
      <c r="D3" s="301" t="s">
        <v>429</v>
      </c>
      <c r="E3" s="301" t="s">
        <v>425</v>
      </c>
      <c r="F3" s="301" t="s">
        <v>426</v>
      </c>
      <c r="G3" s="301" t="s">
        <v>427</v>
      </c>
      <c r="H3" s="301" t="s">
        <v>430</v>
      </c>
    </row>
    <row r="4" spans="4:13" ht="12.75" customHeight="1" x14ac:dyDescent="0.25">
      <c r="D4" s="301" t="s">
        <v>431</v>
      </c>
      <c r="E4" s="301" t="s">
        <v>432</v>
      </c>
      <c r="F4" s="301" t="s">
        <v>433</v>
      </c>
      <c r="G4" s="301" t="s">
        <v>434</v>
      </c>
      <c r="H4" s="301" t="s">
        <v>435</v>
      </c>
    </row>
    <row r="5" spans="4:13" ht="12.75" customHeight="1" x14ac:dyDescent="0.25">
      <c r="D5" s="301" t="s">
        <v>436</v>
      </c>
      <c r="E5" s="301" t="s">
        <v>437</v>
      </c>
      <c r="F5" s="301" t="s">
        <v>438</v>
      </c>
      <c r="G5" s="301" t="s">
        <v>439</v>
      </c>
      <c r="H5" s="301" t="s">
        <v>440</v>
      </c>
      <c r="L5" s="640" t="s">
        <v>441</v>
      </c>
      <c r="M5" s="640"/>
    </row>
    <row r="6" spans="4:13" ht="12.75" customHeight="1" x14ac:dyDescent="0.25">
      <c r="D6" s="301" t="s">
        <v>442</v>
      </c>
      <c r="E6" s="301" t="s">
        <v>443</v>
      </c>
      <c r="F6" s="301" t="s">
        <v>444</v>
      </c>
      <c r="G6" s="301" t="s">
        <v>445</v>
      </c>
      <c r="H6" s="301" t="s">
        <v>446</v>
      </c>
    </row>
    <row r="7" spans="4:13" ht="12.75" customHeight="1" x14ac:dyDescent="0.25">
      <c r="D7" s="301" t="s">
        <v>447</v>
      </c>
      <c r="E7" s="301" t="s">
        <v>437</v>
      </c>
      <c r="F7" s="301" t="s">
        <v>438</v>
      </c>
      <c r="G7" s="301" t="s">
        <v>439</v>
      </c>
      <c r="H7" s="301" t="s">
        <v>448</v>
      </c>
      <c r="K7" s="50">
        <v>1</v>
      </c>
      <c r="L7" s="302" t="s">
        <v>449</v>
      </c>
      <c r="M7" s="293" t="s">
        <v>344</v>
      </c>
    </row>
    <row r="8" spans="4:13" ht="12.75" customHeight="1" x14ac:dyDescent="0.25">
      <c r="D8" s="301" t="s">
        <v>450</v>
      </c>
      <c r="E8" s="301" t="s">
        <v>443</v>
      </c>
      <c r="F8" s="301" t="s">
        <v>444</v>
      </c>
      <c r="G8" s="301" t="s">
        <v>445</v>
      </c>
      <c r="H8" s="301" t="s">
        <v>451</v>
      </c>
      <c r="K8" s="50">
        <v>2</v>
      </c>
      <c r="L8" s="303" t="s">
        <v>452</v>
      </c>
      <c r="M8" s="293" t="s">
        <v>366</v>
      </c>
    </row>
    <row r="9" spans="4:13" ht="12.75" customHeight="1" x14ac:dyDescent="0.25">
      <c r="D9" s="301" t="s">
        <v>453</v>
      </c>
      <c r="E9" s="301" t="s">
        <v>454</v>
      </c>
      <c r="F9" s="301" t="s">
        <v>455</v>
      </c>
      <c r="G9" s="301" t="s">
        <v>456</v>
      </c>
      <c r="H9" s="301" t="s">
        <v>457</v>
      </c>
      <c r="K9" s="50">
        <v>3</v>
      </c>
      <c r="L9" s="304" t="s">
        <v>458</v>
      </c>
      <c r="M9" s="293" t="s">
        <v>366</v>
      </c>
    </row>
    <row r="10" spans="4:13" ht="12.75" customHeight="1" x14ac:dyDescent="0.25">
      <c r="D10" s="301" t="s">
        <v>459</v>
      </c>
      <c r="E10" s="301" t="s">
        <v>437</v>
      </c>
      <c r="F10" s="301" t="s">
        <v>438</v>
      </c>
      <c r="G10" s="301" t="s">
        <v>439</v>
      </c>
      <c r="H10" s="301" t="s">
        <v>460</v>
      </c>
      <c r="K10" s="50">
        <v>4</v>
      </c>
      <c r="L10" s="304" t="s">
        <v>461</v>
      </c>
      <c r="M10" s="293" t="s">
        <v>366</v>
      </c>
    </row>
    <row r="11" spans="4:13" ht="12.75" customHeight="1" x14ac:dyDescent="0.25">
      <c r="D11" s="301" t="s">
        <v>462</v>
      </c>
      <c r="E11" s="301" t="s">
        <v>443</v>
      </c>
      <c r="F11" s="301" t="s">
        <v>444</v>
      </c>
      <c r="G11" s="301" t="s">
        <v>445</v>
      </c>
      <c r="H11" s="301" t="s">
        <v>463</v>
      </c>
      <c r="K11" s="50">
        <v>5</v>
      </c>
      <c r="L11" s="304" t="s">
        <v>464</v>
      </c>
      <c r="M11" s="293" t="s">
        <v>344</v>
      </c>
    </row>
    <row r="12" spans="4:13" ht="12.75" customHeight="1" x14ac:dyDescent="0.25">
      <c r="D12" s="301" t="s">
        <v>465</v>
      </c>
      <c r="E12" s="301" t="s">
        <v>437</v>
      </c>
      <c r="F12" s="301" t="s">
        <v>438</v>
      </c>
      <c r="G12" s="301" t="s">
        <v>439</v>
      </c>
      <c r="H12" s="301" t="s">
        <v>466</v>
      </c>
      <c r="K12" s="50">
        <v>6</v>
      </c>
      <c r="L12" s="304" t="s">
        <v>443</v>
      </c>
      <c r="M12" s="293" t="s">
        <v>344</v>
      </c>
    </row>
    <row r="13" spans="4:13" ht="12.75" customHeight="1" x14ac:dyDescent="0.25">
      <c r="D13" s="301" t="s">
        <v>467</v>
      </c>
      <c r="E13" s="301" t="s">
        <v>443</v>
      </c>
      <c r="F13" s="301" t="s">
        <v>444</v>
      </c>
      <c r="G13" s="301" t="s">
        <v>445</v>
      </c>
      <c r="H13" s="301" t="s">
        <v>468</v>
      </c>
      <c r="K13" s="50">
        <v>7</v>
      </c>
      <c r="L13" s="304" t="s">
        <v>425</v>
      </c>
      <c r="M13" s="293" t="s">
        <v>366</v>
      </c>
    </row>
    <row r="14" spans="4:13" ht="12.75" customHeight="1" x14ac:dyDescent="0.25">
      <c r="D14" s="301" t="s">
        <v>469</v>
      </c>
      <c r="E14" s="301" t="s">
        <v>437</v>
      </c>
      <c r="F14" s="301" t="s">
        <v>438</v>
      </c>
      <c r="G14" s="301" t="s">
        <v>439</v>
      </c>
      <c r="H14" s="301" t="s">
        <v>470</v>
      </c>
      <c r="K14" s="50">
        <v>8</v>
      </c>
      <c r="L14" s="304" t="s">
        <v>471</v>
      </c>
      <c r="M14" s="293" t="s">
        <v>369</v>
      </c>
    </row>
    <row r="15" spans="4:13" ht="12.75" customHeight="1" x14ac:dyDescent="0.25">
      <c r="D15" s="301" t="s">
        <v>472</v>
      </c>
      <c r="E15" s="301" t="s">
        <v>443</v>
      </c>
      <c r="F15" s="301" t="s">
        <v>444</v>
      </c>
      <c r="G15" s="301" t="s">
        <v>445</v>
      </c>
      <c r="H15" s="301" t="s">
        <v>473</v>
      </c>
      <c r="K15" s="50">
        <v>9</v>
      </c>
      <c r="L15" s="304" t="s">
        <v>432</v>
      </c>
      <c r="M15" s="293" t="s">
        <v>366</v>
      </c>
    </row>
    <row r="16" spans="4:13" ht="12.75" customHeight="1" x14ac:dyDescent="0.25">
      <c r="D16" s="301" t="s">
        <v>474</v>
      </c>
      <c r="E16" s="301" t="s">
        <v>437</v>
      </c>
      <c r="F16" s="301" t="s">
        <v>438</v>
      </c>
      <c r="G16" s="301" t="s">
        <v>439</v>
      </c>
      <c r="H16" s="301" t="s">
        <v>475</v>
      </c>
      <c r="K16" s="50">
        <v>10</v>
      </c>
      <c r="L16" s="304" t="s">
        <v>454</v>
      </c>
      <c r="M16" s="293" t="s">
        <v>366</v>
      </c>
    </row>
    <row r="17" spans="4:13" ht="12.75" customHeight="1" x14ac:dyDescent="0.25">
      <c r="D17" s="301" t="s">
        <v>476</v>
      </c>
      <c r="E17" s="301" t="s">
        <v>443</v>
      </c>
      <c r="F17" s="301" t="s">
        <v>444</v>
      </c>
      <c r="G17" s="301" t="s">
        <v>445</v>
      </c>
      <c r="H17" s="301" t="s">
        <v>477</v>
      </c>
      <c r="K17" s="50">
        <v>11</v>
      </c>
      <c r="L17" s="305" t="s">
        <v>437</v>
      </c>
      <c r="M17" s="293" t="s">
        <v>344</v>
      </c>
    </row>
    <row r="18" spans="4:13" ht="12.75" customHeight="1" x14ac:dyDescent="0.25">
      <c r="D18" s="301" t="s">
        <v>478</v>
      </c>
      <c r="E18" s="301" t="s">
        <v>432</v>
      </c>
      <c r="F18" s="301" t="s">
        <v>479</v>
      </c>
      <c r="G18" s="301" t="s">
        <v>480</v>
      </c>
      <c r="H18" s="301" t="s">
        <v>481</v>
      </c>
    </row>
    <row r="19" spans="4:13" ht="12.75" customHeight="1" x14ac:dyDescent="0.25">
      <c r="D19" s="301" t="s">
        <v>482</v>
      </c>
      <c r="E19" s="301" t="s">
        <v>437</v>
      </c>
      <c r="F19" s="301" t="s">
        <v>438</v>
      </c>
      <c r="G19" s="301" t="s">
        <v>439</v>
      </c>
      <c r="H19" s="301" t="s">
        <v>483</v>
      </c>
    </row>
    <row r="20" spans="4:13" ht="12.75" customHeight="1" x14ac:dyDescent="0.25">
      <c r="D20" s="301" t="s">
        <v>484</v>
      </c>
      <c r="E20" s="301" t="s">
        <v>443</v>
      </c>
      <c r="F20" s="301" t="s">
        <v>444</v>
      </c>
      <c r="G20" s="301" t="s">
        <v>445</v>
      </c>
      <c r="H20" s="301" t="s">
        <v>485</v>
      </c>
    </row>
    <row r="21" spans="4:13" ht="12.75" customHeight="1" x14ac:dyDescent="0.25">
      <c r="D21" s="301" t="s">
        <v>486</v>
      </c>
      <c r="E21" s="301" t="s">
        <v>432</v>
      </c>
      <c r="F21" s="301" t="s">
        <v>433</v>
      </c>
      <c r="G21" s="301" t="s">
        <v>487</v>
      </c>
      <c r="H21" s="301" t="s">
        <v>488</v>
      </c>
    </row>
    <row r="22" spans="4:13" ht="12.75" customHeight="1" x14ac:dyDescent="0.25">
      <c r="D22" s="301" t="s">
        <v>489</v>
      </c>
      <c r="E22" s="301" t="s">
        <v>437</v>
      </c>
      <c r="F22" s="301" t="s">
        <v>438</v>
      </c>
      <c r="G22" s="301" t="s">
        <v>439</v>
      </c>
      <c r="H22" s="301" t="s">
        <v>490</v>
      </c>
    </row>
    <row r="23" spans="4:13" ht="12.75" customHeight="1" x14ac:dyDescent="0.25">
      <c r="D23" s="301" t="s">
        <v>491</v>
      </c>
      <c r="E23" s="301" t="s">
        <v>443</v>
      </c>
      <c r="F23" s="301" t="s">
        <v>444</v>
      </c>
      <c r="G23" s="301" t="s">
        <v>445</v>
      </c>
      <c r="H23" s="301" t="s">
        <v>492</v>
      </c>
    </row>
    <row r="24" spans="4:13" ht="12.75" customHeight="1" x14ac:dyDescent="0.25">
      <c r="D24" s="301" t="s">
        <v>493</v>
      </c>
      <c r="E24" s="301" t="s">
        <v>437</v>
      </c>
      <c r="F24" s="301" t="s">
        <v>438</v>
      </c>
      <c r="G24" s="301" t="s">
        <v>439</v>
      </c>
      <c r="H24" s="301" t="s">
        <v>494</v>
      </c>
    </row>
    <row r="25" spans="4:13" ht="12.75" customHeight="1" x14ac:dyDescent="0.25">
      <c r="D25" s="301" t="s">
        <v>495</v>
      </c>
      <c r="E25" s="301" t="s">
        <v>443</v>
      </c>
      <c r="F25" s="301" t="s">
        <v>444</v>
      </c>
      <c r="G25" s="301" t="s">
        <v>445</v>
      </c>
      <c r="H25" s="301" t="s">
        <v>496</v>
      </c>
    </row>
    <row r="26" spans="4:13" ht="12.75" customHeight="1" x14ac:dyDescent="0.25">
      <c r="D26" s="301" t="s">
        <v>497</v>
      </c>
      <c r="E26" s="301" t="s">
        <v>432</v>
      </c>
      <c r="F26" s="301" t="s">
        <v>433</v>
      </c>
      <c r="G26" s="301" t="s">
        <v>487</v>
      </c>
      <c r="H26" s="301" t="s">
        <v>498</v>
      </c>
    </row>
    <row r="27" spans="4:13" ht="12.75" customHeight="1" x14ac:dyDescent="0.25">
      <c r="D27" s="301" t="s">
        <v>499</v>
      </c>
      <c r="E27" s="301" t="s">
        <v>452</v>
      </c>
      <c r="F27" s="301" t="s">
        <v>500</v>
      </c>
      <c r="G27" s="301" t="s">
        <v>501</v>
      </c>
      <c r="H27" s="301" t="s">
        <v>502</v>
      </c>
    </row>
    <row r="28" spans="4:13" ht="12.75" customHeight="1" x14ac:dyDescent="0.25">
      <c r="D28" s="301" t="s">
        <v>503</v>
      </c>
      <c r="E28" s="301" t="s">
        <v>454</v>
      </c>
      <c r="F28" s="301" t="s">
        <v>504</v>
      </c>
      <c r="G28" s="301" t="s">
        <v>505</v>
      </c>
      <c r="H28" s="301" t="s">
        <v>506</v>
      </c>
    </row>
    <row r="29" spans="4:13" ht="12.75" customHeight="1" x14ac:dyDescent="0.25">
      <c r="D29" s="301" t="s">
        <v>507</v>
      </c>
      <c r="E29" s="301" t="s">
        <v>454</v>
      </c>
      <c r="F29" s="301" t="s">
        <v>504</v>
      </c>
      <c r="G29" s="301" t="s">
        <v>505</v>
      </c>
      <c r="H29" s="301" t="s">
        <v>508</v>
      </c>
    </row>
    <row r="30" spans="4:13" ht="12.75" customHeight="1" x14ac:dyDescent="0.25">
      <c r="D30" s="301" t="s">
        <v>509</v>
      </c>
      <c r="E30" s="301" t="s">
        <v>454</v>
      </c>
      <c r="F30" s="301" t="s">
        <v>504</v>
      </c>
      <c r="G30" s="301" t="s">
        <v>505</v>
      </c>
      <c r="H30" s="301" t="s">
        <v>510</v>
      </c>
    </row>
    <row r="31" spans="4:13" ht="12.75" customHeight="1" x14ac:dyDescent="0.25">
      <c r="D31" s="301" t="s">
        <v>511</v>
      </c>
      <c r="E31" s="301" t="s">
        <v>454</v>
      </c>
      <c r="F31" s="301" t="s">
        <v>504</v>
      </c>
      <c r="G31" s="301" t="s">
        <v>505</v>
      </c>
      <c r="H31" s="301" t="s">
        <v>512</v>
      </c>
    </row>
    <row r="32" spans="4:13" ht="12.75" customHeight="1" x14ac:dyDescent="0.25">
      <c r="D32" s="301" t="s">
        <v>513</v>
      </c>
      <c r="E32" s="301" t="s">
        <v>454</v>
      </c>
      <c r="F32" s="301" t="s">
        <v>504</v>
      </c>
      <c r="G32" s="301" t="s">
        <v>505</v>
      </c>
      <c r="H32" s="301" t="s">
        <v>514</v>
      </c>
    </row>
    <row r="33" spans="4:8" ht="12.75" customHeight="1" x14ac:dyDescent="0.25">
      <c r="D33" s="301" t="s">
        <v>515</v>
      </c>
      <c r="E33" s="301" t="s">
        <v>454</v>
      </c>
      <c r="F33" s="301" t="s">
        <v>504</v>
      </c>
      <c r="G33" s="301" t="s">
        <v>505</v>
      </c>
      <c r="H33" s="301" t="s">
        <v>516</v>
      </c>
    </row>
    <row r="34" spans="4:8" ht="12.75" customHeight="1" x14ac:dyDescent="0.25">
      <c r="D34" s="301" t="s">
        <v>517</v>
      </c>
      <c r="E34" s="301" t="s">
        <v>432</v>
      </c>
      <c r="F34" s="301" t="s">
        <v>479</v>
      </c>
      <c r="G34" s="301" t="s">
        <v>480</v>
      </c>
      <c r="H34" s="301" t="s">
        <v>518</v>
      </c>
    </row>
    <row r="35" spans="4:8" ht="12.75" customHeight="1" x14ac:dyDescent="0.25">
      <c r="D35" s="301" t="s">
        <v>519</v>
      </c>
      <c r="E35" s="301" t="s">
        <v>437</v>
      </c>
      <c r="F35" s="301" t="s">
        <v>438</v>
      </c>
      <c r="G35" s="301" t="s">
        <v>439</v>
      </c>
      <c r="H35" s="301" t="s">
        <v>520</v>
      </c>
    </row>
    <row r="36" spans="4:8" ht="12.75" customHeight="1" x14ac:dyDescent="0.25">
      <c r="D36" s="301" t="s">
        <v>521</v>
      </c>
      <c r="E36" s="301" t="s">
        <v>443</v>
      </c>
      <c r="F36" s="301" t="s">
        <v>444</v>
      </c>
      <c r="G36" s="301" t="s">
        <v>445</v>
      </c>
      <c r="H36" s="301" t="s">
        <v>522</v>
      </c>
    </row>
    <row r="37" spans="4:8" ht="12.75" customHeight="1" x14ac:dyDescent="0.25">
      <c r="D37" s="301" t="s">
        <v>523</v>
      </c>
      <c r="E37" s="301" t="s">
        <v>432</v>
      </c>
      <c r="F37" s="301" t="s">
        <v>479</v>
      </c>
      <c r="G37" s="301" t="s">
        <v>480</v>
      </c>
      <c r="H37" s="301" t="s">
        <v>524</v>
      </c>
    </row>
    <row r="38" spans="4:8" ht="12.75" customHeight="1" x14ac:dyDescent="0.25">
      <c r="D38" s="301" t="s">
        <v>525</v>
      </c>
      <c r="E38" s="301" t="s">
        <v>432</v>
      </c>
      <c r="F38" s="301" t="s">
        <v>479</v>
      </c>
      <c r="G38" s="301" t="s">
        <v>480</v>
      </c>
      <c r="H38" s="301" t="s">
        <v>526</v>
      </c>
    </row>
    <row r="39" spans="4:8" ht="12.75" customHeight="1" x14ac:dyDescent="0.25">
      <c r="D39" s="301" t="s">
        <v>527</v>
      </c>
      <c r="E39" s="301" t="s">
        <v>432</v>
      </c>
      <c r="F39" s="301" t="s">
        <v>479</v>
      </c>
      <c r="G39" s="301" t="s">
        <v>480</v>
      </c>
      <c r="H39" s="301" t="s">
        <v>528</v>
      </c>
    </row>
    <row r="40" spans="4:8" ht="12.75" customHeight="1" x14ac:dyDescent="0.25">
      <c r="D40" s="301" t="s">
        <v>529</v>
      </c>
      <c r="E40" s="301" t="s">
        <v>454</v>
      </c>
      <c r="F40" s="301" t="s">
        <v>455</v>
      </c>
      <c r="G40" s="301" t="s">
        <v>456</v>
      </c>
      <c r="H40" s="301" t="s">
        <v>530</v>
      </c>
    </row>
    <row r="41" spans="4:8" ht="12.75" customHeight="1" x14ac:dyDescent="0.25">
      <c r="D41" s="301" t="s">
        <v>531</v>
      </c>
      <c r="E41" s="301" t="s">
        <v>432</v>
      </c>
      <c r="F41" s="301" t="s">
        <v>479</v>
      </c>
      <c r="G41" s="301" t="s">
        <v>480</v>
      </c>
      <c r="H41" s="301" t="s">
        <v>532</v>
      </c>
    </row>
    <row r="42" spans="4:8" ht="12.75" customHeight="1" x14ac:dyDescent="0.25">
      <c r="D42" s="301" t="s">
        <v>533</v>
      </c>
      <c r="E42" s="301" t="s">
        <v>464</v>
      </c>
      <c r="F42" s="301" t="s">
        <v>464</v>
      </c>
      <c r="G42" s="301" t="s">
        <v>464</v>
      </c>
      <c r="H42" s="301" t="s">
        <v>534</v>
      </c>
    </row>
    <row r="43" spans="4:8" ht="12.75" customHeight="1" x14ac:dyDescent="0.25">
      <c r="D43" s="301" t="s">
        <v>535</v>
      </c>
      <c r="E43" s="301" t="s">
        <v>454</v>
      </c>
      <c r="F43" s="301" t="s">
        <v>504</v>
      </c>
      <c r="G43" s="301" t="s">
        <v>505</v>
      </c>
      <c r="H43" s="301" t="s">
        <v>536</v>
      </c>
    </row>
    <row r="44" spans="4:8" ht="12.75" customHeight="1" x14ac:dyDescent="0.25">
      <c r="D44" s="301" t="s">
        <v>537</v>
      </c>
      <c r="E44" s="301" t="s">
        <v>454</v>
      </c>
      <c r="F44" s="301" t="s">
        <v>504</v>
      </c>
      <c r="G44" s="301" t="s">
        <v>505</v>
      </c>
      <c r="H44" s="301" t="s">
        <v>538</v>
      </c>
    </row>
    <row r="45" spans="4:8" ht="12.75" customHeight="1" x14ac:dyDescent="0.25">
      <c r="D45" s="301" t="s">
        <v>539</v>
      </c>
      <c r="E45" s="301" t="s">
        <v>432</v>
      </c>
      <c r="F45" s="301" t="s">
        <v>479</v>
      </c>
      <c r="G45" s="301" t="s">
        <v>480</v>
      </c>
      <c r="H45" s="301" t="s">
        <v>540</v>
      </c>
    </row>
    <row r="46" spans="4:8" ht="12.75" customHeight="1" x14ac:dyDescent="0.25">
      <c r="D46" s="301" t="s">
        <v>541</v>
      </c>
      <c r="E46" s="301" t="s">
        <v>454</v>
      </c>
      <c r="F46" s="301" t="s">
        <v>455</v>
      </c>
      <c r="G46" s="301" t="s">
        <v>456</v>
      </c>
      <c r="H46" s="301" t="s">
        <v>542</v>
      </c>
    </row>
    <row r="47" spans="4:8" ht="12.75" customHeight="1" x14ac:dyDescent="0.25">
      <c r="D47" s="301" t="s">
        <v>543</v>
      </c>
      <c r="E47" s="301" t="s">
        <v>432</v>
      </c>
      <c r="F47" s="301" t="s">
        <v>479</v>
      </c>
      <c r="G47" s="301" t="s">
        <v>480</v>
      </c>
      <c r="H47" s="301" t="s">
        <v>544</v>
      </c>
    </row>
    <row r="48" spans="4:8" ht="12.75" customHeight="1" x14ac:dyDescent="0.25">
      <c r="D48" s="301" t="s">
        <v>545</v>
      </c>
      <c r="E48" s="301" t="s">
        <v>425</v>
      </c>
      <c r="F48" s="301" t="s">
        <v>546</v>
      </c>
      <c r="G48" s="301" t="s">
        <v>547</v>
      </c>
      <c r="H48" s="301" t="s">
        <v>548</v>
      </c>
    </row>
    <row r="49" spans="4:8" ht="12.75" customHeight="1" x14ac:dyDescent="0.25">
      <c r="D49" s="301" t="s">
        <v>549</v>
      </c>
      <c r="E49" s="301" t="s">
        <v>443</v>
      </c>
      <c r="F49" s="301" t="s">
        <v>550</v>
      </c>
      <c r="G49" s="301" t="s">
        <v>550</v>
      </c>
      <c r="H49" s="301" t="s">
        <v>551</v>
      </c>
    </row>
    <row r="50" spans="4:8" ht="12.75" customHeight="1" x14ac:dyDescent="0.25">
      <c r="D50" s="301" t="s">
        <v>552</v>
      </c>
      <c r="E50" s="301" t="s">
        <v>437</v>
      </c>
      <c r="F50" s="301" t="s">
        <v>438</v>
      </c>
      <c r="G50" s="301" t="s">
        <v>439</v>
      </c>
      <c r="H50" s="301" t="s">
        <v>553</v>
      </c>
    </row>
    <row r="51" spans="4:8" ht="12.75" customHeight="1" x14ac:dyDescent="0.25">
      <c r="D51" s="301" t="s">
        <v>554</v>
      </c>
      <c r="E51" s="301" t="s">
        <v>443</v>
      </c>
      <c r="F51" s="301" t="s">
        <v>444</v>
      </c>
      <c r="G51" s="301" t="s">
        <v>445</v>
      </c>
      <c r="H51" s="301" t="s">
        <v>555</v>
      </c>
    </row>
    <row r="52" spans="4:8" ht="12.75" customHeight="1" x14ac:dyDescent="0.25">
      <c r="D52" s="301" t="s">
        <v>556</v>
      </c>
      <c r="E52" s="301" t="s">
        <v>437</v>
      </c>
      <c r="F52" s="301" t="s">
        <v>438</v>
      </c>
      <c r="G52" s="301" t="s">
        <v>439</v>
      </c>
      <c r="H52" s="301" t="s">
        <v>557</v>
      </c>
    </row>
    <row r="53" spans="4:8" ht="12.75" customHeight="1" x14ac:dyDescent="0.25">
      <c r="D53" s="301" t="s">
        <v>558</v>
      </c>
      <c r="E53" s="301" t="s">
        <v>443</v>
      </c>
      <c r="F53" s="301" t="s">
        <v>444</v>
      </c>
      <c r="G53" s="301" t="s">
        <v>445</v>
      </c>
      <c r="H53" s="301" t="s">
        <v>559</v>
      </c>
    </row>
    <row r="54" spans="4:8" ht="12.75" customHeight="1" x14ac:dyDescent="0.25">
      <c r="D54" s="301" t="s">
        <v>560</v>
      </c>
      <c r="E54" s="301" t="s">
        <v>437</v>
      </c>
      <c r="F54" s="301" t="s">
        <v>438</v>
      </c>
      <c r="G54" s="301" t="s">
        <v>439</v>
      </c>
      <c r="H54" s="301" t="s">
        <v>561</v>
      </c>
    </row>
    <row r="55" spans="4:8" ht="12.75" customHeight="1" x14ac:dyDescent="0.25">
      <c r="D55" s="301" t="s">
        <v>562</v>
      </c>
      <c r="E55" s="301" t="s">
        <v>443</v>
      </c>
      <c r="F55" s="301" t="s">
        <v>444</v>
      </c>
      <c r="G55" s="301" t="s">
        <v>445</v>
      </c>
      <c r="H55" s="301" t="s">
        <v>563</v>
      </c>
    </row>
    <row r="56" spans="4:8" ht="12.75" customHeight="1" x14ac:dyDescent="0.25">
      <c r="D56" s="301" t="s">
        <v>564</v>
      </c>
      <c r="E56" s="301" t="s">
        <v>432</v>
      </c>
      <c r="F56" s="301" t="s">
        <v>479</v>
      </c>
      <c r="G56" s="301" t="s">
        <v>480</v>
      </c>
      <c r="H56" s="301" t="s">
        <v>565</v>
      </c>
    </row>
    <row r="57" spans="4:8" ht="12.75" customHeight="1" x14ac:dyDescent="0.25">
      <c r="D57" s="301" t="s">
        <v>566</v>
      </c>
      <c r="E57" s="301" t="s">
        <v>432</v>
      </c>
      <c r="F57" s="301" t="s">
        <v>479</v>
      </c>
      <c r="G57" s="301" t="s">
        <v>480</v>
      </c>
      <c r="H57" s="301" t="s">
        <v>567</v>
      </c>
    </row>
    <row r="58" spans="4:8" ht="12.75" customHeight="1" x14ac:dyDescent="0.25">
      <c r="D58" s="301" t="s">
        <v>568</v>
      </c>
      <c r="E58" s="301" t="s">
        <v>452</v>
      </c>
      <c r="F58" s="301" t="s">
        <v>569</v>
      </c>
      <c r="G58" s="301" t="s">
        <v>570</v>
      </c>
      <c r="H58" s="301" t="s">
        <v>571</v>
      </c>
    </row>
    <row r="59" spans="4:8" ht="12.75" customHeight="1" x14ac:dyDescent="0.25">
      <c r="D59" s="301" t="s">
        <v>572</v>
      </c>
      <c r="E59" s="301" t="s">
        <v>425</v>
      </c>
      <c r="F59" s="301" t="s">
        <v>573</v>
      </c>
      <c r="G59" s="301" t="s">
        <v>574</v>
      </c>
      <c r="H59" s="301" t="s">
        <v>575</v>
      </c>
    </row>
    <row r="60" spans="4:8" ht="12.75" customHeight="1" x14ac:dyDescent="0.25">
      <c r="D60" s="301" t="s">
        <v>576</v>
      </c>
      <c r="E60" s="301" t="s">
        <v>425</v>
      </c>
      <c r="F60" s="301" t="s">
        <v>573</v>
      </c>
      <c r="G60" s="301" t="s">
        <v>577</v>
      </c>
      <c r="H60" s="301" t="s">
        <v>578</v>
      </c>
    </row>
    <row r="61" spans="4:8" ht="12.75" customHeight="1" x14ac:dyDescent="0.25">
      <c r="D61" s="301" t="s">
        <v>579</v>
      </c>
      <c r="E61" s="301" t="s">
        <v>425</v>
      </c>
      <c r="F61" s="301" t="s">
        <v>426</v>
      </c>
      <c r="G61" s="301" t="s">
        <v>427</v>
      </c>
      <c r="H61" s="301" t="s">
        <v>580</v>
      </c>
    </row>
    <row r="62" spans="4:8" ht="12.75" customHeight="1" x14ac:dyDescent="0.25">
      <c r="D62" s="301" t="s">
        <v>581</v>
      </c>
      <c r="E62" s="301" t="s">
        <v>425</v>
      </c>
      <c r="F62" s="301" t="s">
        <v>546</v>
      </c>
      <c r="G62" s="301" t="s">
        <v>547</v>
      </c>
      <c r="H62" s="301" t="s">
        <v>582</v>
      </c>
    </row>
    <row r="63" spans="4:8" ht="12.75" customHeight="1" x14ac:dyDescent="0.25">
      <c r="D63" s="301" t="s">
        <v>583</v>
      </c>
      <c r="E63" s="301" t="s">
        <v>425</v>
      </c>
      <c r="F63" s="301" t="s">
        <v>426</v>
      </c>
      <c r="G63" s="301" t="s">
        <v>584</v>
      </c>
      <c r="H63" s="301" t="s">
        <v>585</v>
      </c>
    </row>
    <row r="64" spans="4:8" ht="12.75" customHeight="1" x14ac:dyDescent="0.25">
      <c r="D64" s="301" t="s">
        <v>586</v>
      </c>
      <c r="E64" s="301" t="s">
        <v>454</v>
      </c>
      <c r="F64" s="301" t="s">
        <v>504</v>
      </c>
      <c r="G64" s="301" t="s">
        <v>505</v>
      </c>
      <c r="H64" s="301" t="s">
        <v>587</v>
      </c>
    </row>
    <row r="65" spans="4:8" ht="12.75" customHeight="1" x14ac:dyDescent="0.25">
      <c r="D65" s="301" t="s">
        <v>588</v>
      </c>
      <c r="E65" s="301" t="s">
        <v>454</v>
      </c>
      <c r="F65" s="301" t="s">
        <v>504</v>
      </c>
      <c r="G65" s="301" t="s">
        <v>505</v>
      </c>
      <c r="H65" s="301" t="s">
        <v>589</v>
      </c>
    </row>
    <row r="66" spans="4:8" ht="12.75" customHeight="1" x14ac:dyDescent="0.25">
      <c r="D66" s="301" t="s">
        <v>590</v>
      </c>
      <c r="E66" s="301" t="s">
        <v>452</v>
      </c>
      <c r="F66" s="301" t="s">
        <v>569</v>
      </c>
      <c r="G66" s="301" t="s">
        <v>570</v>
      </c>
      <c r="H66" s="301" t="s">
        <v>591</v>
      </c>
    </row>
    <row r="67" spans="4:8" ht="12.75" customHeight="1" x14ac:dyDescent="0.25">
      <c r="D67" s="301" t="s">
        <v>592</v>
      </c>
      <c r="E67" s="301" t="s">
        <v>454</v>
      </c>
      <c r="F67" s="301" t="s">
        <v>504</v>
      </c>
      <c r="G67" s="301" t="s">
        <v>505</v>
      </c>
      <c r="H67" s="301" t="s">
        <v>593</v>
      </c>
    </row>
    <row r="68" spans="4:8" ht="12.75" customHeight="1" x14ac:dyDescent="0.25">
      <c r="D68" s="301" t="s">
        <v>594</v>
      </c>
      <c r="E68" s="301" t="s">
        <v>454</v>
      </c>
      <c r="F68" s="301" t="s">
        <v>504</v>
      </c>
      <c r="G68" s="301" t="s">
        <v>505</v>
      </c>
      <c r="H68" s="301" t="s">
        <v>595</v>
      </c>
    </row>
    <row r="69" spans="4:8" ht="12.75" customHeight="1" x14ac:dyDescent="0.25">
      <c r="D69" s="301" t="s">
        <v>596</v>
      </c>
      <c r="E69" s="301" t="s">
        <v>443</v>
      </c>
      <c r="F69" s="301" t="s">
        <v>550</v>
      </c>
      <c r="G69" s="301" t="s">
        <v>550</v>
      </c>
      <c r="H69" s="301" t="s">
        <v>597</v>
      </c>
    </row>
    <row r="70" spans="4:8" ht="12.75" customHeight="1" x14ac:dyDescent="0.25">
      <c r="D70" s="301" t="s">
        <v>598</v>
      </c>
      <c r="E70" s="301" t="s">
        <v>443</v>
      </c>
      <c r="F70" s="301" t="s">
        <v>550</v>
      </c>
      <c r="G70" s="301" t="s">
        <v>550</v>
      </c>
      <c r="H70" s="301" t="s">
        <v>599</v>
      </c>
    </row>
    <row r="71" spans="4:8" ht="12.75" customHeight="1" x14ac:dyDescent="0.25">
      <c r="D71" s="301" t="s">
        <v>600</v>
      </c>
      <c r="E71" s="301" t="s">
        <v>452</v>
      </c>
      <c r="F71" s="301" t="s">
        <v>569</v>
      </c>
      <c r="G71" s="301" t="s">
        <v>570</v>
      </c>
      <c r="H71" s="301" t="s">
        <v>601</v>
      </c>
    </row>
    <row r="72" spans="4:8" ht="12.75" customHeight="1" x14ac:dyDescent="0.25">
      <c r="D72" s="301" t="s">
        <v>602</v>
      </c>
      <c r="E72" s="301" t="s">
        <v>443</v>
      </c>
      <c r="F72" s="301" t="s">
        <v>444</v>
      </c>
      <c r="G72" s="301" t="s">
        <v>445</v>
      </c>
      <c r="H72" s="301" t="s">
        <v>603</v>
      </c>
    </row>
    <row r="73" spans="4:8" ht="12.75" customHeight="1" x14ac:dyDescent="0.25">
      <c r="D73" s="301" t="s">
        <v>604</v>
      </c>
      <c r="E73" s="301" t="s">
        <v>461</v>
      </c>
      <c r="F73" s="301" t="s">
        <v>461</v>
      </c>
      <c r="G73" s="301" t="s">
        <v>461</v>
      </c>
      <c r="H73" s="301" t="s">
        <v>605</v>
      </c>
    </row>
    <row r="74" spans="4:8" ht="12.75" customHeight="1" x14ac:dyDescent="0.25">
      <c r="D74" s="301" t="s">
        <v>606</v>
      </c>
      <c r="E74" s="301" t="s">
        <v>449</v>
      </c>
      <c r="F74" s="301" t="s">
        <v>607</v>
      </c>
      <c r="G74" s="301" t="s">
        <v>608</v>
      </c>
      <c r="H74" s="301" t="s">
        <v>609</v>
      </c>
    </row>
    <row r="75" spans="4:8" ht="12.75" customHeight="1" x14ac:dyDescent="0.25">
      <c r="D75" s="301" t="s">
        <v>610</v>
      </c>
      <c r="E75" s="301" t="s">
        <v>449</v>
      </c>
      <c r="F75" s="301" t="s">
        <v>607</v>
      </c>
      <c r="G75" s="301" t="s">
        <v>608</v>
      </c>
      <c r="H75" s="301" t="s">
        <v>611</v>
      </c>
    </row>
    <row r="76" spans="4:8" ht="12.75" customHeight="1" x14ac:dyDescent="0.25">
      <c r="D76" s="301" t="s">
        <v>612</v>
      </c>
      <c r="E76" s="301" t="s">
        <v>449</v>
      </c>
      <c r="F76" s="301" t="s">
        <v>607</v>
      </c>
      <c r="G76" s="301" t="s">
        <v>608</v>
      </c>
      <c r="H76" s="301" t="s">
        <v>613</v>
      </c>
    </row>
    <row r="77" spans="4:8" ht="12.75" customHeight="1" x14ac:dyDescent="0.25">
      <c r="D77" s="301" t="s">
        <v>614</v>
      </c>
      <c r="E77" s="301" t="s">
        <v>449</v>
      </c>
      <c r="F77" s="301" t="s">
        <v>607</v>
      </c>
      <c r="G77" s="301" t="s">
        <v>608</v>
      </c>
      <c r="H77" s="301" t="s">
        <v>615</v>
      </c>
    </row>
    <row r="78" spans="4:8" ht="12.75" customHeight="1" x14ac:dyDescent="0.25">
      <c r="D78" s="301" t="s">
        <v>616</v>
      </c>
      <c r="E78" s="301" t="s">
        <v>449</v>
      </c>
      <c r="F78" s="301" t="s">
        <v>607</v>
      </c>
      <c r="G78" s="301" t="s">
        <v>608</v>
      </c>
      <c r="H78" s="301" t="s">
        <v>617</v>
      </c>
    </row>
    <row r="79" spans="4:8" ht="12.75" customHeight="1" x14ac:dyDescent="0.25">
      <c r="D79" s="301" t="s">
        <v>618</v>
      </c>
      <c r="E79" s="301" t="s">
        <v>449</v>
      </c>
      <c r="F79" s="301" t="s">
        <v>607</v>
      </c>
      <c r="G79" s="301" t="s">
        <v>608</v>
      </c>
      <c r="H79" s="301" t="s">
        <v>619</v>
      </c>
    </row>
    <row r="80" spans="4:8" ht="12.75" customHeight="1" x14ac:dyDescent="0.25">
      <c r="D80" s="301" t="s">
        <v>620</v>
      </c>
      <c r="E80" s="301" t="s">
        <v>449</v>
      </c>
      <c r="F80" s="301" t="s">
        <v>607</v>
      </c>
      <c r="G80" s="301" t="s">
        <v>608</v>
      </c>
      <c r="H80" s="301" t="s">
        <v>621</v>
      </c>
    </row>
    <row r="81" spans="4:8" ht="12.75" customHeight="1" x14ac:dyDescent="0.25">
      <c r="D81" s="301" t="s">
        <v>622</v>
      </c>
      <c r="E81" s="301" t="s">
        <v>449</v>
      </c>
      <c r="F81" s="301" t="s">
        <v>607</v>
      </c>
      <c r="G81" s="301" t="s">
        <v>608</v>
      </c>
      <c r="H81" s="301" t="s">
        <v>623</v>
      </c>
    </row>
    <row r="82" spans="4:8" ht="12.75" customHeight="1" x14ac:dyDescent="0.25">
      <c r="D82" s="301" t="s">
        <v>624</v>
      </c>
      <c r="E82" s="301" t="s">
        <v>449</v>
      </c>
      <c r="F82" s="301" t="s">
        <v>607</v>
      </c>
      <c r="G82" s="301" t="s">
        <v>608</v>
      </c>
      <c r="H82" s="301" t="s">
        <v>625</v>
      </c>
    </row>
    <row r="83" spans="4:8" ht="12.75" customHeight="1" x14ac:dyDescent="0.25">
      <c r="D83" s="301" t="s">
        <v>626</v>
      </c>
      <c r="E83" s="301" t="s">
        <v>449</v>
      </c>
      <c r="F83" s="301" t="s">
        <v>607</v>
      </c>
      <c r="G83" s="301" t="s">
        <v>608</v>
      </c>
      <c r="H83" s="301" t="s">
        <v>627</v>
      </c>
    </row>
    <row r="84" spans="4:8" ht="12.75" customHeight="1" x14ac:dyDescent="0.25">
      <c r="D84" s="301" t="s">
        <v>628</v>
      </c>
      <c r="E84" s="301" t="s">
        <v>449</v>
      </c>
      <c r="F84" s="301" t="s">
        <v>607</v>
      </c>
      <c r="G84" s="301" t="s">
        <v>608</v>
      </c>
      <c r="H84" s="301" t="s">
        <v>629</v>
      </c>
    </row>
    <row r="85" spans="4:8" ht="12.75" customHeight="1" x14ac:dyDescent="0.25">
      <c r="D85" s="301" t="s">
        <v>630</v>
      </c>
      <c r="E85" s="301" t="s">
        <v>449</v>
      </c>
      <c r="F85" s="301" t="s">
        <v>607</v>
      </c>
      <c r="G85" s="301" t="s">
        <v>608</v>
      </c>
      <c r="H85" s="301" t="s">
        <v>631</v>
      </c>
    </row>
    <row r="86" spans="4:8" ht="12.75" customHeight="1" x14ac:dyDescent="0.25">
      <c r="D86" s="301" t="s">
        <v>632</v>
      </c>
      <c r="E86" s="301" t="s">
        <v>437</v>
      </c>
      <c r="F86" s="301" t="s">
        <v>438</v>
      </c>
      <c r="G86" s="301" t="s">
        <v>439</v>
      </c>
      <c r="H86" s="301" t="s">
        <v>633</v>
      </c>
    </row>
    <row r="87" spans="4:8" ht="12.75" customHeight="1" x14ac:dyDescent="0.25">
      <c r="D87" s="301" t="s">
        <v>634</v>
      </c>
      <c r="E87" s="301" t="s">
        <v>443</v>
      </c>
      <c r="F87" s="301" t="s">
        <v>444</v>
      </c>
      <c r="G87" s="301" t="s">
        <v>445</v>
      </c>
      <c r="H87" s="301" t="s">
        <v>635</v>
      </c>
    </row>
    <row r="88" spans="4:8" ht="12.75" customHeight="1" x14ac:dyDescent="0.25">
      <c r="D88" s="301" t="s">
        <v>636</v>
      </c>
      <c r="E88" s="301" t="s">
        <v>454</v>
      </c>
      <c r="F88" s="301" t="s">
        <v>504</v>
      </c>
      <c r="G88" s="301" t="s">
        <v>505</v>
      </c>
      <c r="H88" s="301" t="s">
        <v>637</v>
      </c>
    </row>
    <row r="89" spans="4:8" ht="12.75" customHeight="1" x14ac:dyDescent="0.25">
      <c r="D89" s="301" t="s">
        <v>638</v>
      </c>
      <c r="E89" s="301" t="s">
        <v>454</v>
      </c>
      <c r="F89" s="301" t="s">
        <v>504</v>
      </c>
      <c r="G89" s="301" t="s">
        <v>505</v>
      </c>
      <c r="H89" s="301" t="s">
        <v>639</v>
      </c>
    </row>
    <row r="90" spans="4:8" ht="12.75" customHeight="1" x14ac:dyDescent="0.25">
      <c r="D90" s="301" t="s">
        <v>640</v>
      </c>
      <c r="E90" s="301" t="s">
        <v>452</v>
      </c>
      <c r="F90" s="301" t="s">
        <v>569</v>
      </c>
      <c r="G90" s="301" t="s">
        <v>570</v>
      </c>
      <c r="H90" s="301" t="s">
        <v>641</v>
      </c>
    </row>
    <row r="91" spans="4:8" ht="12.75" customHeight="1" x14ac:dyDescent="0.25">
      <c r="D91" s="301" t="s">
        <v>642</v>
      </c>
      <c r="E91" s="301" t="s">
        <v>454</v>
      </c>
      <c r="F91" s="301" t="s">
        <v>504</v>
      </c>
      <c r="G91" s="301" t="s">
        <v>505</v>
      </c>
      <c r="H91" s="301" t="s">
        <v>643</v>
      </c>
    </row>
    <row r="92" spans="4:8" ht="12.75" customHeight="1" x14ac:dyDescent="0.25">
      <c r="D92" s="301" t="s">
        <v>644</v>
      </c>
      <c r="E92" s="301" t="s">
        <v>454</v>
      </c>
      <c r="F92" s="301" t="s">
        <v>504</v>
      </c>
      <c r="G92" s="301" t="s">
        <v>505</v>
      </c>
      <c r="H92" s="301" t="s">
        <v>645</v>
      </c>
    </row>
    <row r="93" spans="4:8" ht="12.75" customHeight="1" x14ac:dyDescent="0.25">
      <c r="D93" s="301" t="s">
        <v>646</v>
      </c>
      <c r="E93" s="301" t="s">
        <v>432</v>
      </c>
      <c r="F93" s="301" t="s">
        <v>433</v>
      </c>
      <c r="G93" s="301" t="s">
        <v>647</v>
      </c>
      <c r="H93" s="301" t="s">
        <v>648</v>
      </c>
    </row>
    <row r="94" spans="4:8" ht="12.75" customHeight="1" x14ac:dyDescent="0.25">
      <c r="D94" s="301" t="s">
        <v>649</v>
      </c>
      <c r="E94" s="301" t="s">
        <v>443</v>
      </c>
      <c r="F94" s="301" t="s">
        <v>444</v>
      </c>
      <c r="G94" s="301" t="s">
        <v>445</v>
      </c>
      <c r="H94" s="301" t="s">
        <v>650</v>
      </c>
    </row>
    <row r="95" spans="4:8" ht="12.75" customHeight="1" x14ac:dyDescent="0.25">
      <c r="D95" s="301" t="s">
        <v>651</v>
      </c>
      <c r="E95" s="301" t="s">
        <v>432</v>
      </c>
      <c r="F95" s="301" t="s">
        <v>433</v>
      </c>
      <c r="G95" s="301" t="s">
        <v>434</v>
      </c>
      <c r="H95" s="301" t="s">
        <v>652</v>
      </c>
    </row>
    <row r="96" spans="4:8" ht="12.75" customHeight="1" x14ac:dyDescent="0.25">
      <c r="D96" s="301" t="s">
        <v>653</v>
      </c>
      <c r="E96" s="301" t="s">
        <v>432</v>
      </c>
      <c r="F96" s="301" t="s">
        <v>433</v>
      </c>
      <c r="G96" s="301" t="s">
        <v>434</v>
      </c>
      <c r="H96" s="301" t="s">
        <v>654</v>
      </c>
    </row>
    <row r="97" spans="4:8" ht="12.75" customHeight="1" x14ac:dyDescent="0.25">
      <c r="D97" s="301" t="s">
        <v>655</v>
      </c>
      <c r="E97" s="301" t="s">
        <v>452</v>
      </c>
      <c r="F97" s="301" t="s">
        <v>569</v>
      </c>
      <c r="G97" s="301" t="s">
        <v>570</v>
      </c>
      <c r="H97" s="301" t="s">
        <v>656</v>
      </c>
    </row>
    <row r="98" spans="4:8" ht="12.75" customHeight="1" x14ac:dyDescent="0.25">
      <c r="D98" s="301" t="s">
        <v>657</v>
      </c>
      <c r="E98" s="301" t="s">
        <v>432</v>
      </c>
      <c r="F98" s="301" t="s">
        <v>433</v>
      </c>
      <c r="G98" s="301" t="s">
        <v>434</v>
      </c>
      <c r="H98" s="301" t="s">
        <v>658</v>
      </c>
    </row>
    <row r="99" spans="4:8" ht="12.75" customHeight="1" x14ac:dyDescent="0.25">
      <c r="D99" s="306" t="s">
        <v>659</v>
      </c>
      <c r="E99" s="306" t="s">
        <v>458</v>
      </c>
      <c r="F99" s="306" t="s">
        <v>660</v>
      </c>
      <c r="G99" s="306" t="s">
        <v>661</v>
      </c>
      <c r="H99" s="306" t="s">
        <v>662</v>
      </c>
    </row>
    <row r="100" spans="4:8" ht="12.75" customHeight="1" x14ac:dyDescent="0.25">
      <c r="D100" s="301" t="s">
        <v>663</v>
      </c>
      <c r="E100" s="301" t="s">
        <v>432</v>
      </c>
      <c r="F100" s="301" t="s">
        <v>433</v>
      </c>
      <c r="G100" s="301" t="s">
        <v>487</v>
      </c>
      <c r="H100" s="301" t="s">
        <v>664</v>
      </c>
    </row>
    <row r="101" spans="4:8" ht="12.75" customHeight="1" x14ac:dyDescent="0.25">
      <c r="D101" s="301" t="s">
        <v>665</v>
      </c>
      <c r="E101" s="301" t="s">
        <v>454</v>
      </c>
      <c r="F101" s="301" t="s">
        <v>504</v>
      </c>
      <c r="G101" s="301" t="s">
        <v>505</v>
      </c>
      <c r="H101" s="301" t="s">
        <v>666</v>
      </c>
    </row>
    <row r="102" spans="4:8" ht="12.75" customHeight="1" x14ac:dyDescent="0.25">
      <c r="D102" s="301" t="s">
        <v>667</v>
      </c>
      <c r="E102" s="301" t="s">
        <v>454</v>
      </c>
      <c r="F102" s="301" t="s">
        <v>504</v>
      </c>
      <c r="G102" s="301" t="s">
        <v>505</v>
      </c>
      <c r="H102" s="301" t="s">
        <v>668</v>
      </c>
    </row>
    <row r="103" spans="4:8" ht="12.75" customHeight="1" x14ac:dyDescent="0.25">
      <c r="D103" s="301" t="s">
        <v>669</v>
      </c>
      <c r="E103" s="301" t="s">
        <v>454</v>
      </c>
      <c r="F103" s="301" t="s">
        <v>504</v>
      </c>
      <c r="G103" s="301" t="s">
        <v>505</v>
      </c>
      <c r="H103" s="301" t="s">
        <v>670</v>
      </c>
    </row>
    <row r="104" spans="4:8" ht="12.75" customHeight="1" x14ac:dyDescent="0.25">
      <c r="D104" s="301" t="s">
        <v>671</v>
      </c>
      <c r="E104" s="301" t="s">
        <v>454</v>
      </c>
      <c r="F104" s="301" t="s">
        <v>504</v>
      </c>
      <c r="G104" s="301" t="s">
        <v>505</v>
      </c>
      <c r="H104" s="301" t="s">
        <v>672</v>
      </c>
    </row>
    <row r="105" spans="4:8" ht="12.75" customHeight="1" x14ac:dyDescent="0.25">
      <c r="D105" s="301" t="s">
        <v>673</v>
      </c>
      <c r="E105" s="301" t="s">
        <v>452</v>
      </c>
      <c r="F105" s="301" t="s">
        <v>674</v>
      </c>
      <c r="G105" s="301" t="s">
        <v>501</v>
      </c>
      <c r="H105" s="301" t="s">
        <v>675</v>
      </c>
    </row>
    <row r="106" spans="4:8" ht="12.75" customHeight="1" x14ac:dyDescent="0.25">
      <c r="D106" s="301" t="s">
        <v>676</v>
      </c>
      <c r="E106" s="301" t="s">
        <v>452</v>
      </c>
      <c r="F106" s="301" t="s">
        <v>677</v>
      </c>
      <c r="G106" s="301" t="s">
        <v>501</v>
      </c>
      <c r="H106" s="301" t="s">
        <v>678</v>
      </c>
    </row>
    <row r="107" spans="4:8" ht="12.75" customHeight="1" x14ac:dyDescent="0.25">
      <c r="D107" s="301" t="s">
        <v>679</v>
      </c>
      <c r="E107" s="301" t="s">
        <v>452</v>
      </c>
      <c r="F107" s="301" t="s">
        <v>674</v>
      </c>
      <c r="G107" s="301" t="s">
        <v>501</v>
      </c>
      <c r="H107" s="301" t="s">
        <v>680</v>
      </c>
    </row>
    <row r="108" spans="4:8" ht="12.75" customHeight="1" x14ac:dyDescent="0.25">
      <c r="D108" s="301" t="s">
        <v>681</v>
      </c>
      <c r="E108" s="301" t="s">
        <v>452</v>
      </c>
      <c r="F108" s="301" t="s">
        <v>674</v>
      </c>
      <c r="G108" s="301" t="s">
        <v>501</v>
      </c>
      <c r="H108" s="301" t="s">
        <v>682</v>
      </c>
    </row>
    <row r="109" spans="4:8" ht="12.75" customHeight="1" x14ac:dyDescent="0.25">
      <c r="D109" s="301" t="s">
        <v>683</v>
      </c>
      <c r="E109" s="301" t="s">
        <v>452</v>
      </c>
      <c r="F109" s="301" t="s">
        <v>684</v>
      </c>
      <c r="G109" s="301" t="s">
        <v>501</v>
      </c>
      <c r="H109" s="301" t="s">
        <v>685</v>
      </c>
    </row>
    <row r="110" spans="4:8" ht="12.75" customHeight="1" x14ac:dyDescent="0.25">
      <c r="D110" s="301" t="s">
        <v>686</v>
      </c>
      <c r="E110" s="301" t="s">
        <v>452</v>
      </c>
      <c r="F110" s="301" t="s">
        <v>677</v>
      </c>
      <c r="G110" s="301" t="s">
        <v>501</v>
      </c>
      <c r="H110" s="301" t="s">
        <v>687</v>
      </c>
    </row>
    <row r="111" spans="4:8" ht="12.75" customHeight="1" x14ac:dyDescent="0.25">
      <c r="D111" s="301" t="s">
        <v>688</v>
      </c>
      <c r="E111" s="301" t="s">
        <v>452</v>
      </c>
      <c r="F111" s="301" t="s">
        <v>500</v>
      </c>
      <c r="G111" s="301" t="s">
        <v>501</v>
      </c>
      <c r="H111" s="301" t="s">
        <v>689</v>
      </c>
    </row>
    <row r="112" spans="4:8" ht="12.75" customHeight="1" x14ac:dyDescent="0.25">
      <c r="D112" s="301" t="s">
        <v>690</v>
      </c>
      <c r="E112" s="301" t="s">
        <v>452</v>
      </c>
      <c r="F112" s="301" t="s">
        <v>684</v>
      </c>
      <c r="G112" s="301" t="s">
        <v>501</v>
      </c>
      <c r="H112" s="301" t="s">
        <v>691</v>
      </c>
    </row>
    <row r="113" spans="4:8" ht="12.75" customHeight="1" x14ac:dyDescent="0.25">
      <c r="D113" s="301" t="s">
        <v>692</v>
      </c>
      <c r="E113" s="301" t="s">
        <v>452</v>
      </c>
      <c r="F113" s="301" t="s">
        <v>693</v>
      </c>
      <c r="G113" s="301" t="s">
        <v>501</v>
      </c>
      <c r="H113" s="301" t="s">
        <v>694</v>
      </c>
    </row>
    <row r="114" spans="4:8" ht="12.75" customHeight="1" x14ac:dyDescent="0.25">
      <c r="D114" s="301" t="s">
        <v>695</v>
      </c>
      <c r="E114" s="301" t="s">
        <v>452</v>
      </c>
      <c r="F114" s="301" t="s">
        <v>693</v>
      </c>
      <c r="G114" s="301" t="s">
        <v>501</v>
      </c>
      <c r="H114" s="301" t="s">
        <v>696</v>
      </c>
    </row>
    <row r="115" spans="4:8" ht="12.75" customHeight="1" x14ac:dyDescent="0.25">
      <c r="D115" s="301" t="s">
        <v>697</v>
      </c>
      <c r="E115" s="301" t="s">
        <v>452</v>
      </c>
      <c r="F115" s="301" t="s">
        <v>693</v>
      </c>
      <c r="G115" s="301" t="s">
        <v>501</v>
      </c>
      <c r="H115" s="301" t="s">
        <v>698</v>
      </c>
    </row>
    <row r="116" spans="4:8" ht="12.75" customHeight="1" x14ac:dyDescent="0.25">
      <c r="D116" s="301" t="s">
        <v>699</v>
      </c>
      <c r="E116" s="301" t="s">
        <v>452</v>
      </c>
      <c r="F116" s="301" t="s">
        <v>674</v>
      </c>
      <c r="G116" s="301" t="s">
        <v>501</v>
      </c>
      <c r="H116" s="301" t="s">
        <v>700</v>
      </c>
    </row>
    <row r="117" spans="4:8" ht="12.75" customHeight="1" x14ac:dyDescent="0.25">
      <c r="D117" s="301" t="s">
        <v>701</v>
      </c>
      <c r="E117" s="301" t="s">
        <v>452</v>
      </c>
      <c r="F117" s="301" t="s">
        <v>693</v>
      </c>
      <c r="G117" s="301" t="s">
        <v>501</v>
      </c>
      <c r="H117" s="301" t="s">
        <v>702</v>
      </c>
    </row>
    <row r="118" spans="4:8" ht="12.75" customHeight="1" x14ac:dyDescent="0.25">
      <c r="D118" s="301" t="s">
        <v>703</v>
      </c>
      <c r="E118" s="301" t="s">
        <v>452</v>
      </c>
      <c r="F118" s="301" t="s">
        <v>693</v>
      </c>
      <c r="G118" s="301" t="s">
        <v>501</v>
      </c>
      <c r="H118" s="301" t="s">
        <v>704</v>
      </c>
    </row>
    <row r="119" spans="4:8" ht="12.75" customHeight="1" x14ac:dyDescent="0.25">
      <c r="D119" s="301" t="s">
        <v>705</v>
      </c>
      <c r="E119" s="301" t="s">
        <v>452</v>
      </c>
      <c r="F119" s="301" t="s">
        <v>674</v>
      </c>
      <c r="G119" s="301" t="s">
        <v>501</v>
      </c>
      <c r="H119" s="301" t="s">
        <v>706</v>
      </c>
    </row>
    <row r="120" spans="4:8" ht="12.75" customHeight="1" x14ac:dyDescent="0.25">
      <c r="D120" s="301" t="s">
        <v>707</v>
      </c>
      <c r="E120" s="301" t="s">
        <v>452</v>
      </c>
      <c r="F120" s="301" t="s">
        <v>684</v>
      </c>
      <c r="G120" s="301" t="s">
        <v>501</v>
      </c>
      <c r="H120" s="301" t="s">
        <v>708</v>
      </c>
    </row>
    <row r="121" spans="4:8" ht="12.75" customHeight="1" x14ac:dyDescent="0.25">
      <c r="D121" s="301" t="s">
        <v>709</v>
      </c>
      <c r="E121" s="301" t="s">
        <v>452</v>
      </c>
      <c r="F121" s="301" t="s">
        <v>693</v>
      </c>
      <c r="G121" s="301" t="s">
        <v>501</v>
      </c>
      <c r="H121" s="301" t="s">
        <v>710</v>
      </c>
    </row>
    <row r="122" spans="4:8" ht="12.75" customHeight="1" x14ac:dyDescent="0.25">
      <c r="D122" s="301" t="s">
        <v>711</v>
      </c>
      <c r="E122" s="301" t="s">
        <v>452</v>
      </c>
      <c r="F122" s="301" t="s">
        <v>677</v>
      </c>
      <c r="G122" s="301" t="s">
        <v>501</v>
      </c>
      <c r="H122" s="301" t="s">
        <v>712</v>
      </c>
    </row>
    <row r="123" spans="4:8" ht="12.75" customHeight="1" x14ac:dyDescent="0.25">
      <c r="D123" s="301" t="s">
        <v>713</v>
      </c>
      <c r="E123" s="301" t="s">
        <v>452</v>
      </c>
      <c r="F123" s="301" t="s">
        <v>500</v>
      </c>
      <c r="G123" s="301" t="s">
        <v>501</v>
      </c>
      <c r="H123" s="301" t="s">
        <v>714</v>
      </c>
    </row>
    <row r="124" spans="4:8" ht="12.75" customHeight="1" x14ac:dyDescent="0.25">
      <c r="D124" s="301" t="s">
        <v>715</v>
      </c>
      <c r="E124" s="301" t="s">
        <v>452</v>
      </c>
      <c r="F124" s="301" t="s">
        <v>684</v>
      </c>
      <c r="G124" s="301" t="s">
        <v>501</v>
      </c>
      <c r="H124" s="301" t="s">
        <v>716</v>
      </c>
    </row>
    <row r="125" spans="4:8" ht="12.75" customHeight="1" x14ac:dyDescent="0.25">
      <c r="D125" s="301" t="s">
        <v>717</v>
      </c>
      <c r="E125" s="301" t="s">
        <v>452</v>
      </c>
      <c r="F125" s="301" t="s">
        <v>693</v>
      </c>
      <c r="G125" s="301" t="s">
        <v>501</v>
      </c>
      <c r="H125" s="301" t="s">
        <v>718</v>
      </c>
    </row>
    <row r="126" spans="4:8" ht="12.75" customHeight="1" x14ac:dyDescent="0.25">
      <c r="D126" s="301" t="s">
        <v>719</v>
      </c>
      <c r="E126" s="301" t="s">
        <v>452</v>
      </c>
      <c r="F126" s="301" t="s">
        <v>677</v>
      </c>
      <c r="G126" s="301" t="s">
        <v>501</v>
      </c>
      <c r="H126" s="301" t="s">
        <v>720</v>
      </c>
    </row>
    <row r="127" spans="4:8" ht="12.75" customHeight="1" x14ac:dyDescent="0.25">
      <c r="D127" s="301" t="s">
        <v>721</v>
      </c>
      <c r="E127" s="301" t="s">
        <v>452</v>
      </c>
      <c r="F127" s="301" t="s">
        <v>684</v>
      </c>
      <c r="G127" s="301" t="s">
        <v>501</v>
      </c>
      <c r="H127" s="301" t="s">
        <v>722</v>
      </c>
    </row>
    <row r="128" spans="4:8" ht="12.75" customHeight="1" x14ac:dyDescent="0.25">
      <c r="D128" s="301" t="s">
        <v>723</v>
      </c>
      <c r="E128" s="301" t="s">
        <v>452</v>
      </c>
      <c r="F128" s="301" t="s">
        <v>684</v>
      </c>
      <c r="G128" s="301" t="s">
        <v>501</v>
      </c>
      <c r="H128" s="301" t="s">
        <v>724</v>
      </c>
    </row>
    <row r="129" spans="4:8" ht="12.75" customHeight="1" x14ac:dyDescent="0.25">
      <c r="D129" s="301" t="s">
        <v>725</v>
      </c>
      <c r="E129" s="301" t="s">
        <v>452</v>
      </c>
      <c r="F129" s="301" t="s">
        <v>684</v>
      </c>
      <c r="G129" s="301" t="s">
        <v>501</v>
      </c>
      <c r="H129" s="301" t="s">
        <v>726</v>
      </c>
    </row>
    <row r="130" spans="4:8" ht="12.75" customHeight="1" x14ac:dyDescent="0.25">
      <c r="D130" s="301" t="s">
        <v>727</v>
      </c>
      <c r="E130" s="301" t="s">
        <v>452</v>
      </c>
      <c r="F130" s="301" t="s">
        <v>677</v>
      </c>
      <c r="G130" s="301" t="s">
        <v>501</v>
      </c>
      <c r="H130" s="301" t="s">
        <v>728</v>
      </c>
    </row>
    <row r="131" spans="4:8" ht="12.75" customHeight="1" x14ac:dyDescent="0.25">
      <c r="D131" s="301" t="s">
        <v>729</v>
      </c>
      <c r="E131" s="301" t="s">
        <v>452</v>
      </c>
      <c r="F131" s="301" t="s">
        <v>730</v>
      </c>
      <c r="G131" s="301" t="s">
        <v>501</v>
      </c>
      <c r="H131" s="301" t="s">
        <v>731</v>
      </c>
    </row>
    <row r="132" spans="4:8" ht="12.75" customHeight="1" x14ac:dyDescent="0.25">
      <c r="D132" s="301" t="s">
        <v>732</v>
      </c>
      <c r="E132" s="301" t="s">
        <v>452</v>
      </c>
      <c r="F132" s="301" t="s">
        <v>730</v>
      </c>
      <c r="G132" s="301" t="s">
        <v>501</v>
      </c>
      <c r="H132" s="301" t="s">
        <v>733</v>
      </c>
    </row>
    <row r="133" spans="4:8" ht="12.75" customHeight="1" x14ac:dyDescent="0.25">
      <c r="D133" s="301" t="s">
        <v>734</v>
      </c>
      <c r="E133" s="301" t="s">
        <v>452</v>
      </c>
      <c r="F133" s="301" t="s">
        <v>735</v>
      </c>
      <c r="G133" s="301" t="s">
        <v>501</v>
      </c>
      <c r="H133" s="301" t="s">
        <v>736</v>
      </c>
    </row>
    <row r="134" spans="4:8" ht="12.75" customHeight="1" x14ac:dyDescent="0.25">
      <c r="D134" s="301" t="s">
        <v>737</v>
      </c>
      <c r="E134" s="301" t="s">
        <v>452</v>
      </c>
      <c r="F134" s="301" t="s">
        <v>735</v>
      </c>
      <c r="G134" s="301" t="s">
        <v>501</v>
      </c>
      <c r="H134" s="301" t="s">
        <v>738</v>
      </c>
    </row>
    <row r="135" spans="4:8" ht="12.75" customHeight="1" x14ac:dyDescent="0.25">
      <c r="D135" s="301" t="s">
        <v>739</v>
      </c>
      <c r="E135" s="301" t="s">
        <v>452</v>
      </c>
      <c r="F135" s="301" t="s">
        <v>677</v>
      </c>
      <c r="G135" s="301" t="s">
        <v>501</v>
      </c>
      <c r="H135" s="301" t="s">
        <v>740</v>
      </c>
    </row>
    <row r="136" spans="4:8" ht="12.75" customHeight="1" x14ac:dyDescent="0.25">
      <c r="D136" s="301" t="s">
        <v>741</v>
      </c>
      <c r="E136" s="301" t="s">
        <v>452</v>
      </c>
      <c r="F136" s="301" t="s">
        <v>730</v>
      </c>
      <c r="G136" s="301" t="s">
        <v>501</v>
      </c>
      <c r="H136" s="301" t="s">
        <v>742</v>
      </c>
    </row>
    <row r="137" spans="4:8" ht="12.75" customHeight="1" x14ac:dyDescent="0.25">
      <c r="D137" s="301" t="s">
        <v>743</v>
      </c>
      <c r="E137" s="301" t="s">
        <v>452</v>
      </c>
      <c r="F137" s="301" t="s">
        <v>693</v>
      </c>
      <c r="G137" s="301" t="s">
        <v>501</v>
      </c>
      <c r="H137" s="301" t="s">
        <v>744</v>
      </c>
    </row>
    <row r="138" spans="4:8" ht="12.75" customHeight="1" x14ac:dyDescent="0.25">
      <c r="D138" s="301" t="s">
        <v>745</v>
      </c>
      <c r="E138" s="301" t="s">
        <v>452</v>
      </c>
      <c r="F138" s="301" t="s">
        <v>746</v>
      </c>
      <c r="G138" s="301" t="s">
        <v>501</v>
      </c>
      <c r="H138" s="301" t="s">
        <v>747</v>
      </c>
    </row>
    <row r="139" spans="4:8" ht="12.75" customHeight="1" x14ac:dyDescent="0.25">
      <c r="D139" s="301" t="s">
        <v>748</v>
      </c>
      <c r="E139" s="301" t="s">
        <v>452</v>
      </c>
      <c r="F139" s="301" t="s">
        <v>735</v>
      </c>
      <c r="G139" s="301" t="s">
        <v>501</v>
      </c>
      <c r="H139" s="301" t="s">
        <v>749</v>
      </c>
    </row>
    <row r="140" spans="4:8" ht="12.75" customHeight="1" x14ac:dyDescent="0.25">
      <c r="D140" s="301" t="s">
        <v>750</v>
      </c>
      <c r="E140" s="301" t="s">
        <v>452</v>
      </c>
      <c r="F140" s="301" t="s">
        <v>735</v>
      </c>
      <c r="G140" s="301" t="s">
        <v>501</v>
      </c>
      <c r="H140" s="301" t="s">
        <v>751</v>
      </c>
    </row>
    <row r="141" spans="4:8" ht="12.75" customHeight="1" x14ac:dyDescent="0.25">
      <c r="D141" s="301" t="s">
        <v>752</v>
      </c>
      <c r="E141" s="301" t="s">
        <v>452</v>
      </c>
      <c r="F141" s="301" t="s">
        <v>753</v>
      </c>
      <c r="G141" s="301" t="s">
        <v>501</v>
      </c>
      <c r="H141" s="301" t="s">
        <v>754</v>
      </c>
    </row>
    <row r="142" spans="4:8" ht="12.75" customHeight="1" x14ac:dyDescent="0.25">
      <c r="D142" s="301" t="s">
        <v>755</v>
      </c>
      <c r="E142" s="301" t="s">
        <v>452</v>
      </c>
      <c r="F142" s="301" t="s">
        <v>693</v>
      </c>
      <c r="G142" s="301" t="s">
        <v>501</v>
      </c>
      <c r="H142" s="301" t="s">
        <v>756</v>
      </c>
    </row>
    <row r="143" spans="4:8" ht="12.75" customHeight="1" x14ac:dyDescent="0.25">
      <c r="D143" s="301" t="s">
        <v>757</v>
      </c>
      <c r="E143" s="301" t="s">
        <v>452</v>
      </c>
      <c r="F143" s="301" t="s">
        <v>674</v>
      </c>
      <c r="G143" s="301" t="s">
        <v>501</v>
      </c>
      <c r="H143" s="301" t="s">
        <v>758</v>
      </c>
    </row>
    <row r="144" spans="4:8" ht="12.75" customHeight="1" x14ac:dyDescent="0.25">
      <c r="D144" s="301" t="s">
        <v>759</v>
      </c>
      <c r="E144" s="301" t="s">
        <v>452</v>
      </c>
      <c r="F144" s="301" t="s">
        <v>674</v>
      </c>
      <c r="G144" s="301" t="s">
        <v>501</v>
      </c>
      <c r="H144" s="301" t="s">
        <v>760</v>
      </c>
    </row>
    <row r="145" spans="4:8" ht="12.75" customHeight="1" x14ac:dyDescent="0.25">
      <c r="D145" s="301" t="s">
        <v>761</v>
      </c>
      <c r="E145" s="301" t="s">
        <v>452</v>
      </c>
      <c r="F145" s="301" t="s">
        <v>735</v>
      </c>
      <c r="G145" s="301" t="s">
        <v>501</v>
      </c>
      <c r="H145" s="301" t="s">
        <v>762</v>
      </c>
    </row>
    <row r="146" spans="4:8" ht="12.75" customHeight="1" x14ac:dyDescent="0.25">
      <c r="D146" s="301" t="s">
        <v>763</v>
      </c>
      <c r="E146" s="301" t="s">
        <v>452</v>
      </c>
      <c r="F146" s="301" t="s">
        <v>735</v>
      </c>
      <c r="G146" s="301" t="s">
        <v>501</v>
      </c>
      <c r="H146" s="301" t="s">
        <v>764</v>
      </c>
    </row>
    <row r="147" spans="4:8" ht="12.75" customHeight="1" x14ac:dyDescent="0.25">
      <c r="D147" s="301" t="s">
        <v>765</v>
      </c>
      <c r="E147" s="301" t="s">
        <v>452</v>
      </c>
      <c r="F147" s="301" t="s">
        <v>674</v>
      </c>
      <c r="G147" s="301" t="s">
        <v>501</v>
      </c>
      <c r="H147" s="301" t="s">
        <v>766</v>
      </c>
    </row>
    <row r="148" spans="4:8" ht="12.75" customHeight="1" x14ac:dyDescent="0.25">
      <c r="D148" s="301" t="s">
        <v>767</v>
      </c>
      <c r="E148" s="301" t="s">
        <v>452</v>
      </c>
      <c r="F148" s="301" t="s">
        <v>674</v>
      </c>
      <c r="G148" s="301" t="s">
        <v>501</v>
      </c>
      <c r="H148" s="301" t="s">
        <v>768</v>
      </c>
    </row>
    <row r="149" spans="4:8" ht="12.75" customHeight="1" x14ac:dyDescent="0.25">
      <c r="D149" s="301" t="s">
        <v>769</v>
      </c>
      <c r="E149" s="301" t="s">
        <v>452</v>
      </c>
      <c r="F149" s="301" t="s">
        <v>674</v>
      </c>
      <c r="G149" s="301" t="s">
        <v>501</v>
      </c>
      <c r="H149" s="301" t="s">
        <v>770</v>
      </c>
    </row>
    <row r="150" spans="4:8" ht="12.75" customHeight="1" x14ac:dyDescent="0.25">
      <c r="D150" s="301" t="s">
        <v>771</v>
      </c>
      <c r="E150" s="301" t="s">
        <v>452</v>
      </c>
      <c r="F150" s="301" t="s">
        <v>674</v>
      </c>
      <c r="G150" s="301" t="s">
        <v>501</v>
      </c>
      <c r="H150" s="301" t="s">
        <v>772</v>
      </c>
    </row>
    <row r="151" spans="4:8" ht="12.75" customHeight="1" x14ac:dyDescent="0.25">
      <c r="D151" s="301" t="s">
        <v>773</v>
      </c>
      <c r="E151" s="301" t="s">
        <v>452</v>
      </c>
      <c r="F151" s="301" t="s">
        <v>674</v>
      </c>
      <c r="G151" s="301" t="s">
        <v>501</v>
      </c>
      <c r="H151" s="301" t="s">
        <v>774</v>
      </c>
    </row>
    <row r="152" spans="4:8" ht="12.75" customHeight="1" x14ac:dyDescent="0.25">
      <c r="D152" s="301" t="s">
        <v>775</v>
      </c>
      <c r="E152" s="301" t="s">
        <v>452</v>
      </c>
      <c r="F152" s="301" t="s">
        <v>500</v>
      </c>
      <c r="G152" s="301" t="s">
        <v>501</v>
      </c>
      <c r="H152" s="301" t="s">
        <v>776</v>
      </c>
    </row>
    <row r="153" spans="4:8" ht="12.75" customHeight="1" x14ac:dyDescent="0.25">
      <c r="D153" s="301" t="s">
        <v>777</v>
      </c>
      <c r="E153" s="301" t="s">
        <v>452</v>
      </c>
      <c r="F153" s="301" t="s">
        <v>684</v>
      </c>
      <c r="G153" s="301" t="s">
        <v>501</v>
      </c>
      <c r="H153" s="301" t="s">
        <v>778</v>
      </c>
    </row>
    <row r="154" spans="4:8" ht="12.75" customHeight="1" x14ac:dyDescent="0.25">
      <c r="D154" s="301" t="s">
        <v>779</v>
      </c>
      <c r="E154" s="301" t="s">
        <v>452</v>
      </c>
      <c r="F154" s="301" t="s">
        <v>735</v>
      </c>
      <c r="G154" s="301" t="s">
        <v>501</v>
      </c>
      <c r="H154" s="301" t="s">
        <v>780</v>
      </c>
    </row>
    <row r="155" spans="4:8" ht="12.75" customHeight="1" x14ac:dyDescent="0.25">
      <c r="D155" s="301" t="s">
        <v>781</v>
      </c>
      <c r="E155" s="301" t="s">
        <v>452</v>
      </c>
      <c r="F155" s="301" t="s">
        <v>677</v>
      </c>
      <c r="G155" s="301" t="s">
        <v>501</v>
      </c>
      <c r="H155" s="301" t="s">
        <v>782</v>
      </c>
    </row>
    <row r="156" spans="4:8" ht="12.75" customHeight="1" x14ac:dyDescent="0.25">
      <c r="D156" s="301" t="s">
        <v>783</v>
      </c>
      <c r="E156" s="301" t="s">
        <v>452</v>
      </c>
      <c r="F156" s="301" t="s">
        <v>677</v>
      </c>
      <c r="G156" s="301" t="s">
        <v>501</v>
      </c>
      <c r="H156" s="301" t="s">
        <v>784</v>
      </c>
    </row>
    <row r="157" spans="4:8" ht="12.75" customHeight="1" x14ac:dyDescent="0.25">
      <c r="D157" s="301" t="s">
        <v>785</v>
      </c>
      <c r="E157" s="301" t="s">
        <v>452</v>
      </c>
      <c r="F157" s="301" t="s">
        <v>677</v>
      </c>
      <c r="G157" s="301" t="s">
        <v>501</v>
      </c>
      <c r="H157" s="301" t="s">
        <v>786</v>
      </c>
    </row>
    <row r="158" spans="4:8" ht="12.75" customHeight="1" x14ac:dyDescent="0.25">
      <c r="D158" s="301" t="s">
        <v>787</v>
      </c>
      <c r="E158" s="301" t="s">
        <v>452</v>
      </c>
      <c r="F158" s="301" t="s">
        <v>500</v>
      </c>
      <c r="G158" s="301" t="s">
        <v>501</v>
      </c>
      <c r="H158" s="301" t="s">
        <v>788</v>
      </c>
    </row>
    <row r="159" spans="4:8" ht="12.75" customHeight="1" x14ac:dyDescent="0.25">
      <c r="D159" s="301" t="s">
        <v>789</v>
      </c>
      <c r="E159" s="301" t="s">
        <v>452</v>
      </c>
      <c r="F159" s="301" t="s">
        <v>735</v>
      </c>
      <c r="G159" s="301" t="s">
        <v>501</v>
      </c>
      <c r="H159" s="301" t="s">
        <v>790</v>
      </c>
    </row>
    <row r="160" spans="4:8" ht="12.75" customHeight="1" x14ac:dyDescent="0.25">
      <c r="D160" s="301" t="s">
        <v>791</v>
      </c>
      <c r="E160" s="301" t="s">
        <v>452</v>
      </c>
      <c r="F160" s="301" t="s">
        <v>674</v>
      </c>
      <c r="G160" s="301" t="s">
        <v>501</v>
      </c>
      <c r="H160" s="301" t="s">
        <v>792</v>
      </c>
    </row>
    <row r="161" spans="4:8" ht="12.75" customHeight="1" x14ac:dyDescent="0.25">
      <c r="D161" s="301" t="s">
        <v>793</v>
      </c>
      <c r="E161" s="301" t="s">
        <v>452</v>
      </c>
      <c r="F161" s="301" t="s">
        <v>674</v>
      </c>
      <c r="G161" s="301" t="s">
        <v>501</v>
      </c>
      <c r="H161" s="301" t="s">
        <v>794</v>
      </c>
    </row>
    <row r="162" spans="4:8" ht="12.75" customHeight="1" x14ac:dyDescent="0.25">
      <c r="D162" s="301" t="s">
        <v>795</v>
      </c>
      <c r="E162" s="301" t="s">
        <v>452</v>
      </c>
      <c r="F162" s="301" t="s">
        <v>674</v>
      </c>
      <c r="G162" s="301" t="s">
        <v>501</v>
      </c>
      <c r="H162" s="301" t="s">
        <v>796</v>
      </c>
    </row>
    <row r="163" spans="4:8" ht="12.75" customHeight="1" x14ac:dyDescent="0.25">
      <c r="D163" s="301" t="s">
        <v>797</v>
      </c>
      <c r="E163" s="301" t="s">
        <v>452</v>
      </c>
      <c r="F163" s="301" t="s">
        <v>684</v>
      </c>
      <c r="G163" s="301" t="s">
        <v>501</v>
      </c>
      <c r="H163" s="301" t="s">
        <v>798</v>
      </c>
    </row>
    <row r="164" spans="4:8" ht="12.75" customHeight="1" x14ac:dyDescent="0.25">
      <c r="D164" s="301" t="s">
        <v>799</v>
      </c>
      <c r="E164" s="301" t="s">
        <v>452</v>
      </c>
      <c r="F164" s="301" t="s">
        <v>684</v>
      </c>
      <c r="G164" s="301" t="s">
        <v>501</v>
      </c>
      <c r="H164" s="301" t="s">
        <v>800</v>
      </c>
    </row>
    <row r="165" spans="4:8" ht="12.75" customHeight="1" x14ac:dyDescent="0.25">
      <c r="D165" s="301" t="s">
        <v>801</v>
      </c>
      <c r="E165" s="301" t="s">
        <v>452</v>
      </c>
      <c r="F165" s="301" t="s">
        <v>746</v>
      </c>
      <c r="G165" s="301" t="s">
        <v>501</v>
      </c>
      <c r="H165" s="301" t="s">
        <v>802</v>
      </c>
    </row>
    <row r="166" spans="4:8" ht="12.75" customHeight="1" x14ac:dyDescent="0.25">
      <c r="D166" s="301" t="s">
        <v>803</v>
      </c>
      <c r="E166" s="301" t="s">
        <v>452</v>
      </c>
      <c r="F166" s="301" t="s">
        <v>735</v>
      </c>
      <c r="G166" s="301" t="s">
        <v>501</v>
      </c>
      <c r="H166" s="301" t="s">
        <v>804</v>
      </c>
    </row>
    <row r="167" spans="4:8" ht="12.75" customHeight="1" x14ac:dyDescent="0.25">
      <c r="D167" s="301" t="s">
        <v>805</v>
      </c>
      <c r="E167" s="301" t="s">
        <v>452</v>
      </c>
      <c r="F167" s="301" t="s">
        <v>735</v>
      </c>
      <c r="G167" s="301" t="s">
        <v>501</v>
      </c>
      <c r="H167" s="301" t="s">
        <v>806</v>
      </c>
    </row>
    <row r="168" spans="4:8" ht="12.75" customHeight="1" x14ac:dyDescent="0.25">
      <c r="D168" s="301" t="s">
        <v>807</v>
      </c>
      <c r="E168" s="301" t="s">
        <v>452</v>
      </c>
      <c r="F168" s="301" t="s">
        <v>735</v>
      </c>
      <c r="G168" s="301" t="s">
        <v>501</v>
      </c>
      <c r="H168" s="301" t="s">
        <v>808</v>
      </c>
    </row>
    <row r="169" spans="4:8" ht="12.75" customHeight="1" x14ac:dyDescent="0.25">
      <c r="D169" s="301" t="s">
        <v>809</v>
      </c>
      <c r="E169" s="301" t="s">
        <v>452</v>
      </c>
      <c r="F169" s="301" t="s">
        <v>735</v>
      </c>
      <c r="G169" s="301" t="s">
        <v>501</v>
      </c>
      <c r="H169" s="301" t="s">
        <v>810</v>
      </c>
    </row>
    <row r="170" spans="4:8" ht="12.75" customHeight="1" x14ac:dyDescent="0.25">
      <c r="D170" s="301" t="s">
        <v>811</v>
      </c>
      <c r="E170" s="301" t="s">
        <v>452</v>
      </c>
      <c r="F170" s="301" t="s">
        <v>746</v>
      </c>
      <c r="G170" s="301" t="s">
        <v>501</v>
      </c>
      <c r="H170" s="301" t="s">
        <v>812</v>
      </c>
    </row>
    <row r="171" spans="4:8" ht="12.75" customHeight="1" x14ac:dyDescent="0.25">
      <c r="D171" s="301" t="s">
        <v>813</v>
      </c>
      <c r="E171" s="301" t="s">
        <v>452</v>
      </c>
      <c r="F171" s="301" t="s">
        <v>746</v>
      </c>
      <c r="G171" s="301" t="s">
        <v>501</v>
      </c>
      <c r="H171" s="301" t="s">
        <v>814</v>
      </c>
    </row>
    <row r="172" spans="4:8" ht="12.75" customHeight="1" x14ac:dyDescent="0.25">
      <c r="D172" s="301" t="s">
        <v>815</v>
      </c>
      <c r="E172" s="301" t="s">
        <v>452</v>
      </c>
      <c r="F172" s="301" t="s">
        <v>677</v>
      </c>
      <c r="G172" s="301" t="s">
        <v>501</v>
      </c>
      <c r="H172" s="301" t="s">
        <v>816</v>
      </c>
    </row>
    <row r="173" spans="4:8" ht="12.75" customHeight="1" x14ac:dyDescent="0.25">
      <c r="D173" s="301" t="s">
        <v>817</v>
      </c>
      <c r="E173" s="301" t="s">
        <v>452</v>
      </c>
      <c r="F173" s="301" t="s">
        <v>674</v>
      </c>
      <c r="G173" s="301" t="s">
        <v>501</v>
      </c>
      <c r="H173" s="301" t="s">
        <v>818</v>
      </c>
    </row>
    <row r="174" spans="4:8" ht="12.75" customHeight="1" x14ac:dyDescent="0.25">
      <c r="D174" s="301" t="s">
        <v>819</v>
      </c>
      <c r="E174" s="301" t="s">
        <v>452</v>
      </c>
      <c r="F174" s="301" t="s">
        <v>735</v>
      </c>
      <c r="G174" s="301" t="s">
        <v>501</v>
      </c>
      <c r="H174" s="301" t="s">
        <v>820</v>
      </c>
    </row>
    <row r="175" spans="4:8" ht="12.75" customHeight="1" x14ac:dyDescent="0.25">
      <c r="D175" s="301" t="s">
        <v>821</v>
      </c>
      <c r="E175" s="301" t="s">
        <v>452</v>
      </c>
      <c r="F175" s="301" t="s">
        <v>693</v>
      </c>
      <c r="G175" s="301" t="s">
        <v>501</v>
      </c>
      <c r="H175" s="301" t="s">
        <v>822</v>
      </c>
    </row>
    <row r="176" spans="4:8" ht="12.75" customHeight="1" x14ac:dyDescent="0.25">
      <c r="D176" s="301" t="s">
        <v>823</v>
      </c>
      <c r="E176" s="301" t="s">
        <v>452</v>
      </c>
      <c r="F176" s="301" t="s">
        <v>693</v>
      </c>
      <c r="G176" s="301" t="s">
        <v>501</v>
      </c>
      <c r="H176" s="301" t="s">
        <v>824</v>
      </c>
    </row>
    <row r="177" spans="4:8" ht="12.75" customHeight="1" x14ac:dyDescent="0.25">
      <c r="D177" s="301" t="s">
        <v>825</v>
      </c>
      <c r="E177" s="301" t="s">
        <v>452</v>
      </c>
      <c r="F177" s="301" t="s">
        <v>674</v>
      </c>
      <c r="G177" s="301" t="s">
        <v>501</v>
      </c>
      <c r="H177" s="301" t="s">
        <v>826</v>
      </c>
    </row>
    <row r="178" spans="4:8" ht="12.75" customHeight="1" x14ac:dyDescent="0.25">
      <c r="D178" s="301" t="s">
        <v>827</v>
      </c>
      <c r="E178" s="301" t="s">
        <v>452</v>
      </c>
      <c r="F178" s="301" t="s">
        <v>735</v>
      </c>
      <c r="G178" s="301" t="s">
        <v>501</v>
      </c>
      <c r="H178" s="301" t="s">
        <v>828</v>
      </c>
    </row>
    <row r="179" spans="4:8" ht="12.75" customHeight="1" x14ac:dyDescent="0.25">
      <c r="D179" s="301" t="s">
        <v>829</v>
      </c>
      <c r="E179" s="301" t="s">
        <v>452</v>
      </c>
      <c r="F179" s="301" t="s">
        <v>735</v>
      </c>
      <c r="G179" s="301" t="s">
        <v>501</v>
      </c>
      <c r="H179" s="301" t="s">
        <v>830</v>
      </c>
    </row>
    <row r="180" spans="4:8" ht="12.75" customHeight="1" x14ac:dyDescent="0.25">
      <c r="D180" s="301" t="s">
        <v>831</v>
      </c>
      <c r="E180" s="301" t="s">
        <v>452</v>
      </c>
      <c r="F180" s="301" t="s">
        <v>693</v>
      </c>
      <c r="G180" s="301" t="s">
        <v>501</v>
      </c>
      <c r="H180" s="301" t="s">
        <v>832</v>
      </c>
    </row>
    <row r="181" spans="4:8" ht="12.75" customHeight="1" x14ac:dyDescent="0.25">
      <c r="D181" s="301" t="s">
        <v>833</v>
      </c>
      <c r="E181" s="301" t="s">
        <v>452</v>
      </c>
      <c r="F181" s="301" t="s">
        <v>730</v>
      </c>
      <c r="G181" s="301" t="s">
        <v>501</v>
      </c>
      <c r="H181" s="301" t="s">
        <v>834</v>
      </c>
    </row>
    <row r="182" spans="4:8" ht="12.75" customHeight="1" x14ac:dyDescent="0.25">
      <c r="D182" s="301" t="s">
        <v>835</v>
      </c>
      <c r="E182" s="301" t="s">
        <v>452</v>
      </c>
      <c r="F182" s="301" t="s">
        <v>674</v>
      </c>
      <c r="G182" s="301" t="s">
        <v>501</v>
      </c>
      <c r="H182" s="301" t="s">
        <v>836</v>
      </c>
    </row>
    <row r="183" spans="4:8" ht="12.75" customHeight="1" x14ac:dyDescent="0.25">
      <c r="D183" s="301" t="s">
        <v>837</v>
      </c>
      <c r="E183" s="301" t="s">
        <v>452</v>
      </c>
      <c r="F183" s="301" t="s">
        <v>735</v>
      </c>
      <c r="G183" s="301" t="s">
        <v>501</v>
      </c>
      <c r="H183" s="301" t="s">
        <v>838</v>
      </c>
    </row>
    <row r="184" spans="4:8" ht="12.75" customHeight="1" x14ac:dyDescent="0.25">
      <c r="D184" s="301" t="s">
        <v>839</v>
      </c>
      <c r="E184" s="301" t="s">
        <v>452</v>
      </c>
      <c r="F184" s="301" t="s">
        <v>677</v>
      </c>
      <c r="G184" s="301" t="s">
        <v>501</v>
      </c>
      <c r="H184" s="301" t="s">
        <v>840</v>
      </c>
    </row>
    <row r="185" spans="4:8" ht="12.75" customHeight="1" x14ac:dyDescent="0.25">
      <c r="D185" s="301" t="s">
        <v>841</v>
      </c>
      <c r="E185" s="301" t="s">
        <v>452</v>
      </c>
      <c r="F185" s="301" t="s">
        <v>677</v>
      </c>
      <c r="G185" s="301" t="s">
        <v>501</v>
      </c>
      <c r="H185" s="301" t="s">
        <v>842</v>
      </c>
    </row>
    <row r="186" spans="4:8" ht="12.75" customHeight="1" x14ac:dyDescent="0.25">
      <c r="D186" s="301" t="s">
        <v>843</v>
      </c>
      <c r="E186" s="301" t="s">
        <v>452</v>
      </c>
      <c r="F186" s="301" t="s">
        <v>677</v>
      </c>
      <c r="G186" s="301" t="s">
        <v>501</v>
      </c>
      <c r="H186" s="301" t="s">
        <v>844</v>
      </c>
    </row>
    <row r="187" spans="4:8" ht="12.75" customHeight="1" x14ac:dyDescent="0.25">
      <c r="D187" s="301" t="s">
        <v>845</v>
      </c>
      <c r="E187" s="301" t="s">
        <v>452</v>
      </c>
      <c r="F187" s="301" t="s">
        <v>677</v>
      </c>
      <c r="G187" s="301" t="s">
        <v>501</v>
      </c>
      <c r="H187" s="301" t="s">
        <v>846</v>
      </c>
    </row>
    <row r="188" spans="4:8" ht="12.75" customHeight="1" x14ac:dyDescent="0.25">
      <c r="D188" s="301" t="s">
        <v>847</v>
      </c>
      <c r="E188" s="301" t="s">
        <v>452</v>
      </c>
      <c r="F188" s="301" t="s">
        <v>684</v>
      </c>
      <c r="G188" s="301" t="s">
        <v>501</v>
      </c>
      <c r="H188" s="301" t="s">
        <v>848</v>
      </c>
    </row>
    <row r="189" spans="4:8" ht="12.75" customHeight="1" x14ac:dyDescent="0.25">
      <c r="D189" s="301" t="s">
        <v>849</v>
      </c>
      <c r="E189" s="301" t="s">
        <v>452</v>
      </c>
      <c r="F189" s="301" t="s">
        <v>677</v>
      </c>
      <c r="G189" s="301" t="s">
        <v>501</v>
      </c>
      <c r="H189" s="301" t="s">
        <v>850</v>
      </c>
    </row>
    <row r="190" spans="4:8" ht="12.75" customHeight="1" x14ac:dyDescent="0.25">
      <c r="D190" s="301" t="s">
        <v>851</v>
      </c>
      <c r="E190" s="301" t="s">
        <v>452</v>
      </c>
      <c r="F190" s="301" t="s">
        <v>674</v>
      </c>
      <c r="G190" s="301" t="s">
        <v>501</v>
      </c>
      <c r="H190" s="301" t="s">
        <v>852</v>
      </c>
    </row>
    <row r="191" spans="4:8" ht="12.75" customHeight="1" x14ac:dyDescent="0.25">
      <c r="D191" s="301" t="s">
        <v>853</v>
      </c>
      <c r="E191" s="301" t="s">
        <v>452</v>
      </c>
      <c r="F191" s="301" t="s">
        <v>674</v>
      </c>
      <c r="G191" s="301" t="s">
        <v>501</v>
      </c>
      <c r="H191" s="301" t="s">
        <v>854</v>
      </c>
    </row>
    <row r="192" spans="4:8" ht="12.75" customHeight="1" x14ac:dyDescent="0.25">
      <c r="D192" s="301" t="s">
        <v>855</v>
      </c>
      <c r="E192" s="301" t="s">
        <v>452</v>
      </c>
      <c r="F192" s="301" t="s">
        <v>735</v>
      </c>
      <c r="G192" s="301" t="s">
        <v>501</v>
      </c>
      <c r="H192" s="301" t="s">
        <v>856</v>
      </c>
    </row>
    <row r="193" spans="4:8" ht="12.75" customHeight="1" x14ac:dyDescent="0.25">
      <c r="D193" s="301" t="s">
        <v>857</v>
      </c>
      <c r="E193" s="301" t="s">
        <v>452</v>
      </c>
      <c r="F193" s="301" t="s">
        <v>674</v>
      </c>
      <c r="G193" s="301" t="s">
        <v>501</v>
      </c>
      <c r="H193" s="301" t="s">
        <v>858</v>
      </c>
    </row>
    <row r="194" spans="4:8" ht="12.75" customHeight="1" x14ac:dyDescent="0.25">
      <c r="D194" s="301" t="s">
        <v>859</v>
      </c>
      <c r="E194" s="301" t="s">
        <v>452</v>
      </c>
      <c r="F194" s="301" t="s">
        <v>693</v>
      </c>
      <c r="G194" s="301" t="s">
        <v>501</v>
      </c>
      <c r="H194" s="301" t="s">
        <v>860</v>
      </c>
    </row>
    <row r="195" spans="4:8" ht="12.75" customHeight="1" x14ac:dyDescent="0.25">
      <c r="D195" s="301" t="s">
        <v>861</v>
      </c>
      <c r="E195" s="301" t="s">
        <v>452</v>
      </c>
      <c r="F195" s="301" t="s">
        <v>730</v>
      </c>
      <c r="G195" s="301" t="s">
        <v>501</v>
      </c>
      <c r="H195" s="301" t="s">
        <v>862</v>
      </c>
    </row>
    <row r="196" spans="4:8" ht="12.75" customHeight="1" x14ac:dyDescent="0.25">
      <c r="D196" s="301" t="s">
        <v>863</v>
      </c>
      <c r="E196" s="301" t="s">
        <v>452</v>
      </c>
      <c r="F196" s="301" t="s">
        <v>684</v>
      </c>
      <c r="G196" s="301" t="s">
        <v>501</v>
      </c>
      <c r="H196" s="301" t="s">
        <v>864</v>
      </c>
    </row>
    <row r="197" spans="4:8" ht="12.75" customHeight="1" x14ac:dyDescent="0.25">
      <c r="D197" s="301" t="s">
        <v>865</v>
      </c>
      <c r="E197" s="301" t="s">
        <v>452</v>
      </c>
      <c r="F197" s="301" t="s">
        <v>677</v>
      </c>
      <c r="G197" s="301" t="s">
        <v>501</v>
      </c>
      <c r="H197" s="301" t="s">
        <v>866</v>
      </c>
    </row>
    <row r="198" spans="4:8" ht="12.75" customHeight="1" x14ac:dyDescent="0.25">
      <c r="D198" s="301" t="s">
        <v>867</v>
      </c>
      <c r="E198" s="301" t="s">
        <v>452</v>
      </c>
      <c r="F198" s="301" t="s">
        <v>677</v>
      </c>
      <c r="G198" s="301" t="s">
        <v>501</v>
      </c>
      <c r="H198" s="301" t="s">
        <v>868</v>
      </c>
    </row>
    <row r="199" spans="4:8" ht="12.75" customHeight="1" x14ac:dyDescent="0.25">
      <c r="D199" s="301" t="s">
        <v>869</v>
      </c>
      <c r="E199" s="301" t="s">
        <v>452</v>
      </c>
      <c r="F199" s="301" t="s">
        <v>674</v>
      </c>
      <c r="G199" s="301" t="s">
        <v>501</v>
      </c>
      <c r="H199" s="301" t="s">
        <v>870</v>
      </c>
    </row>
    <row r="200" spans="4:8" ht="12.75" customHeight="1" x14ac:dyDescent="0.25">
      <c r="D200" s="301" t="s">
        <v>871</v>
      </c>
      <c r="E200" s="301" t="s">
        <v>452</v>
      </c>
      <c r="F200" s="301" t="s">
        <v>693</v>
      </c>
      <c r="G200" s="301" t="s">
        <v>501</v>
      </c>
      <c r="H200" s="301" t="s">
        <v>872</v>
      </c>
    </row>
    <row r="201" spans="4:8" ht="12.75" customHeight="1" x14ac:dyDescent="0.25">
      <c r="D201" s="301" t="s">
        <v>873</v>
      </c>
      <c r="E201" s="301" t="s">
        <v>452</v>
      </c>
      <c r="F201" s="301" t="s">
        <v>674</v>
      </c>
      <c r="G201" s="301" t="s">
        <v>501</v>
      </c>
      <c r="H201" s="301" t="s">
        <v>874</v>
      </c>
    </row>
    <row r="202" spans="4:8" ht="12.75" customHeight="1" x14ac:dyDescent="0.25">
      <c r="D202" s="301" t="s">
        <v>875</v>
      </c>
      <c r="E202" s="301" t="s">
        <v>452</v>
      </c>
      <c r="F202" s="301" t="s">
        <v>674</v>
      </c>
      <c r="G202" s="301" t="s">
        <v>501</v>
      </c>
      <c r="H202" s="301" t="s">
        <v>876</v>
      </c>
    </row>
    <row r="203" spans="4:8" ht="12.75" customHeight="1" x14ac:dyDescent="0.25">
      <c r="D203" s="301" t="s">
        <v>877</v>
      </c>
      <c r="E203" s="301" t="s">
        <v>452</v>
      </c>
      <c r="F203" s="301" t="s">
        <v>500</v>
      </c>
      <c r="G203" s="301" t="s">
        <v>501</v>
      </c>
      <c r="H203" s="301" t="s">
        <v>878</v>
      </c>
    </row>
    <row r="204" spans="4:8" ht="12.75" customHeight="1" x14ac:dyDescent="0.25">
      <c r="D204" s="301" t="s">
        <v>879</v>
      </c>
      <c r="E204" s="301" t="s">
        <v>452</v>
      </c>
      <c r="F204" s="301" t="s">
        <v>693</v>
      </c>
      <c r="G204" s="301" t="s">
        <v>501</v>
      </c>
      <c r="H204" s="301" t="s">
        <v>880</v>
      </c>
    </row>
    <row r="205" spans="4:8" ht="12.75" customHeight="1" x14ac:dyDescent="0.25">
      <c r="D205" s="301" t="s">
        <v>881</v>
      </c>
      <c r="E205" s="301" t="s">
        <v>452</v>
      </c>
      <c r="F205" s="301" t="s">
        <v>500</v>
      </c>
      <c r="G205" s="301" t="s">
        <v>501</v>
      </c>
      <c r="H205" s="301" t="s">
        <v>882</v>
      </c>
    </row>
    <row r="206" spans="4:8" ht="12.75" customHeight="1" x14ac:dyDescent="0.25">
      <c r="D206" s="301" t="s">
        <v>883</v>
      </c>
      <c r="E206" s="301" t="s">
        <v>452</v>
      </c>
      <c r="F206" s="301" t="s">
        <v>684</v>
      </c>
      <c r="G206" s="301" t="s">
        <v>501</v>
      </c>
      <c r="H206" s="301" t="s">
        <v>884</v>
      </c>
    </row>
    <row r="207" spans="4:8" ht="12.75" customHeight="1" x14ac:dyDescent="0.25">
      <c r="D207" s="301" t="s">
        <v>885</v>
      </c>
      <c r="E207" s="301" t="s">
        <v>452</v>
      </c>
      <c r="F207" s="301" t="s">
        <v>735</v>
      </c>
      <c r="G207" s="301" t="s">
        <v>501</v>
      </c>
      <c r="H207" s="301" t="s">
        <v>886</v>
      </c>
    </row>
    <row r="208" spans="4:8" ht="12.75" customHeight="1" x14ac:dyDescent="0.25">
      <c r="D208" s="301" t="s">
        <v>887</v>
      </c>
      <c r="E208" s="301" t="s">
        <v>452</v>
      </c>
      <c r="F208" s="301" t="s">
        <v>735</v>
      </c>
      <c r="G208" s="301" t="s">
        <v>501</v>
      </c>
      <c r="H208" s="301" t="s">
        <v>888</v>
      </c>
    </row>
    <row r="209" spans="4:8" ht="12.75" customHeight="1" x14ac:dyDescent="0.25">
      <c r="D209" s="301" t="s">
        <v>889</v>
      </c>
      <c r="E209" s="301" t="s">
        <v>452</v>
      </c>
      <c r="F209" s="301" t="s">
        <v>693</v>
      </c>
      <c r="G209" s="301" t="s">
        <v>501</v>
      </c>
      <c r="H209" s="301" t="s">
        <v>890</v>
      </c>
    </row>
    <row r="210" spans="4:8" ht="12.75" customHeight="1" x14ac:dyDescent="0.25">
      <c r="D210" s="301" t="s">
        <v>891</v>
      </c>
      <c r="E210" s="301" t="s">
        <v>452</v>
      </c>
      <c r="F210" s="301" t="s">
        <v>735</v>
      </c>
      <c r="G210" s="301" t="s">
        <v>501</v>
      </c>
      <c r="H210" s="301" t="s">
        <v>892</v>
      </c>
    </row>
    <row r="211" spans="4:8" ht="12.75" customHeight="1" x14ac:dyDescent="0.25">
      <c r="D211" s="301" t="s">
        <v>893</v>
      </c>
      <c r="E211" s="301" t="s">
        <v>452</v>
      </c>
      <c r="F211" s="301" t="s">
        <v>693</v>
      </c>
      <c r="G211" s="301" t="s">
        <v>501</v>
      </c>
      <c r="H211" s="301" t="s">
        <v>894</v>
      </c>
    </row>
    <row r="212" spans="4:8" ht="12.75" customHeight="1" x14ac:dyDescent="0.25">
      <c r="D212" s="301" t="s">
        <v>895</v>
      </c>
      <c r="E212" s="301" t="s">
        <v>452</v>
      </c>
      <c r="F212" s="301" t="s">
        <v>693</v>
      </c>
      <c r="G212" s="301" t="s">
        <v>501</v>
      </c>
      <c r="H212" s="301" t="s">
        <v>896</v>
      </c>
    </row>
    <row r="213" spans="4:8" ht="12.75" customHeight="1" x14ac:dyDescent="0.25">
      <c r="D213" s="301" t="s">
        <v>897</v>
      </c>
      <c r="E213" s="301" t="s">
        <v>452</v>
      </c>
      <c r="F213" s="301" t="s">
        <v>730</v>
      </c>
      <c r="G213" s="301" t="s">
        <v>501</v>
      </c>
      <c r="H213" s="301" t="s">
        <v>898</v>
      </c>
    </row>
    <row r="214" spans="4:8" ht="12.75" customHeight="1" x14ac:dyDescent="0.25">
      <c r="D214" s="301" t="s">
        <v>899</v>
      </c>
      <c r="E214" s="301" t="s">
        <v>452</v>
      </c>
      <c r="F214" s="301" t="s">
        <v>693</v>
      </c>
      <c r="G214" s="301" t="s">
        <v>501</v>
      </c>
      <c r="H214" s="301" t="s">
        <v>900</v>
      </c>
    </row>
    <row r="215" spans="4:8" ht="12.75" customHeight="1" x14ac:dyDescent="0.25">
      <c r="D215" s="301" t="s">
        <v>901</v>
      </c>
      <c r="E215" s="301" t="s">
        <v>452</v>
      </c>
      <c r="F215" s="301" t="s">
        <v>735</v>
      </c>
      <c r="G215" s="301" t="s">
        <v>501</v>
      </c>
      <c r="H215" s="301" t="s">
        <v>902</v>
      </c>
    </row>
    <row r="216" spans="4:8" ht="12.75" customHeight="1" x14ac:dyDescent="0.25">
      <c r="D216" s="301" t="s">
        <v>903</v>
      </c>
      <c r="E216" s="301" t="s">
        <v>452</v>
      </c>
      <c r="F216" s="301" t="s">
        <v>746</v>
      </c>
      <c r="G216" s="301" t="s">
        <v>501</v>
      </c>
      <c r="H216" s="301" t="s">
        <v>904</v>
      </c>
    </row>
    <row r="217" spans="4:8" ht="12.75" customHeight="1" x14ac:dyDescent="0.25">
      <c r="D217" s="301" t="s">
        <v>905</v>
      </c>
      <c r="E217" s="301" t="s">
        <v>452</v>
      </c>
      <c r="F217" s="301" t="s">
        <v>693</v>
      </c>
      <c r="G217" s="301" t="s">
        <v>501</v>
      </c>
      <c r="H217" s="301" t="s">
        <v>906</v>
      </c>
    </row>
    <row r="218" spans="4:8" ht="12.75" customHeight="1" x14ac:dyDescent="0.25">
      <c r="D218" s="301" t="s">
        <v>907</v>
      </c>
      <c r="E218" s="301" t="s">
        <v>452</v>
      </c>
      <c r="F218" s="301" t="s">
        <v>674</v>
      </c>
      <c r="G218" s="301" t="s">
        <v>501</v>
      </c>
      <c r="H218" s="301" t="s">
        <v>908</v>
      </c>
    </row>
    <row r="219" spans="4:8" ht="12.75" customHeight="1" x14ac:dyDescent="0.25">
      <c r="D219" s="301" t="s">
        <v>909</v>
      </c>
      <c r="E219" s="301" t="s">
        <v>452</v>
      </c>
      <c r="F219" s="301" t="s">
        <v>735</v>
      </c>
      <c r="G219" s="301" t="s">
        <v>501</v>
      </c>
      <c r="H219" s="301" t="s">
        <v>910</v>
      </c>
    </row>
    <row r="220" spans="4:8" ht="12.75" customHeight="1" x14ac:dyDescent="0.25">
      <c r="D220" s="301" t="s">
        <v>911</v>
      </c>
      <c r="E220" s="301" t="s">
        <v>452</v>
      </c>
      <c r="F220" s="301" t="s">
        <v>500</v>
      </c>
      <c r="G220" s="301" t="s">
        <v>501</v>
      </c>
      <c r="H220" s="301" t="s">
        <v>912</v>
      </c>
    </row>
    <row r="221" spans="4:8" ht="12.75" customHeight="1" x14ac:dyDescent="0.25">
      <c r="D221" s="301" t="s">
        <v>913</v>
      </c>
      <c r="E221" s="301" t="s">
        <v>452</v>
      </c>
      <c r="F221" s="301" t="s">
        <v>677</v>
      </c>
      <c r="G221" s="301" t="s">
        <v>501</v>
      </c>
      <c r="H221" s="301" t="s">
        <v>914</v>
      </c>
    </row>
    <row r="222" spans="4:8" ht="12.75" customHeight="1" x14ac:dyDescent="0.25">
      <c r="D222" s="301" t="s">
        <v>915</v>
      </c>
      <c r="E222" s="301" t="s">
        <v>452</v>
      </c>
      <c r="F222" s="301" t="s">
        <v>684</v>
      </c>
      <c r="G222" s="301" t="s">
        <v>501</v>
      </c>
      <c r="H222" s="301" t="s">
        <v>916</v>
      </c>
    </row>
    <row r="223" spans="4:8" ht="12.75" customHeight="1" x14ac:dyDescent="0.25">
      <c r="D223" s="301" t="s">
        <v>917</v>
      </c>
      <c r="E223" s="301" t="s">
        <v>452</v>
      </c>
      <c r="F223" s="301" t="s">
        <v>730</v>
      </c>
      <c r="G223" s="301" t="s">
        <v>501</v>
      </c>
      <c r="H223" s="301" t="s">
        <v>918</v>
      </c>
    </row>
    <row r="224" spans="4:8" ht="12.75" customHeight="1" x14ac:dyDescent="0.25">
      <c r="D224" s="301" t="s">
        <v>919</v>
      </c>
      <c r="E224" s="301" t="s">
        <v>452</v>
      </c>
      <c r="F224" s="301" t="s">
        <v>735</v>
      </c>
      <c r="G224" s="301" t="s">
        <v>501</v>
      </c>
      <c r="H224" s="301" t="s">
        <v>920</v>
      </c>
    </row>
    <row r="225" spans="4:8" ht="12.75" customHeight="1" x14ac:dyDescent="0.25">
      <c r="D225" s="301" t="s">
        <v>921</v>
      </c>
      <c r="E225" s="301" t="s">
        <v>452</v>
      </c>
      <c r="F225" s="301" t="s">
        <v>684</v>
      </c>
      <c r="G225" s="301" t="s">
        <v>501</v>
      </c>
      <c r="H225" s="301" t="s">
        <v>922</v>
      </c>
    </row>
    <row r="226" spans="4:8" ht="12.75" customHeight="1" x14ac:dyDescent="0.25">
      <c r="D226" s="301" t="s">
        <v>923</v>
      </c>
      <c r="E226" s="301" t="s">
        <v>452</v>
      </c>
      <c r="F226" s="301" t="s">
        <v>693</v>
      </c>
      <c r="G226" s="301" t="s">
        <v>501</v>
      </c>
      <c r="H226" s="301" t="s">
        <v>924</v>
      </c>
    </row>
    <row r="227" spans="4:8" ht="12.75" customHeight="1" x14ac:dyDescent="0.25">
      <c r="D227" s="301" t="s">
        <v>925</v>
      </c>
      <c r="E227" s="301" t="s">
        <v>452</v>
      </c>
      <c r="F227" s="301" t="s">
        <v>693</v>
      </c>
      <c r="G227" s="301" t="s">
        <v>501</v>
      </c>
      <c r="H227" s="301" t="s">
        <v>926</v>
      </c>
    </row>
    <row r="228" spans="4:8" ht="12.75" customHeight="1" x14ac:dyDescent="0.25">
      <c r="D228" s="301" t="s">
        <v>927</v>
      </c>
      <c r="E228" s="301" t="s">
        <v>452</v>
      </c>
      <c r="F228" s="301" t="s">
        <v>735</v>
      </c>
      <c r="G228" s="301" t="s">
        <v>501</v>
      </c>
      <c r="H228" s="301" t="s">
        <v>928</v>
      </c>
    </row>
    <row r="229" spans="4:8" ht="12.75" customHeight="1" x14ac:dyDescent="0.25">
      <c r="D229" s="301" t="s">
        <v>929</v>
      </c>
      <c r="E229" s="301" t="s">
        <v>452</v>
      </c>
      <c r="F229" s="301" t="s">
        <v>674</v>
      </c>
      <c r="G229" s="301" t="s">
        <v>501</v>
      </c>
      <c r="H229" s="301" t="s">
        <v>930</v>
      </c>
    </row>
    <row r="230" spans="4:8" ht="12.75" customHeight="1" x14ac:dyDescent="0.25">
      <c r="D230" s="301" t="s">
        <v>931</v>
      </c>
      <c r="E230" s="301" t="s">
        <v>452</v>
      </c>
      <c r="F230" s="301" t="s">
        <v>735</v>
      </c>
      <c r="G230" s="301" t="s">
        <v>501</v>
      </c>
      <c r="H230" s="301" t="s">
        <v>932</v>
      </c>
    </row>
    <row r="231" spans="4:8" ht="12.75" customHeight="1" x14ac:dyDescent="0.25">
      <c r="D231" s="301" t="s">
        <v>933</v>
      </c>
      <c r="E231" s="301" t="s">
        <v>452</v>
      </c>
      <c r="F231" s="301" t="s">
        <v>693</v>
      </c>
      <c r="G231" s="301" t="s">
        <v>501</v>
      </c>
      <c r="H231" s="301" t="s">
        <v>934</v>
      </c>
    </row>
    <row r="232" spans="4:8" ht="12.75" customHeight="1" x14ac:dyDescent="0.25">
      <c r="D232" s="301" t="s">
        <v>935</v>
      </c>
      <c r="E232" s="301" t="s">
        <v>452</v>
      </c>
      <c r="F232" s="301" t="s">
        <v>693</v>
      </c>
      <c r="G232" s="301" t="s">
        <v>501</v>
      </c>
      <c r="H232" s="301" t="s">
        <v>936</v>
      </c>
    </row>
    <row r="233" spans="4:8" ht="12.75" customHeight="1" x14ac:dyDescent="0.25">
      <c r="D233" s="301" t="s">
        <v>937</v>
      </c>
      <c r="E233" s="301" t="s">
        <v>452</v>
      </c>
      <c r="F233" s="301" t="s">
        <v>735</v>
      </c>
      <c r="G233" s="301" t="s">
        <v>501</v>
      </c>
      <c r="H233" s="301" t="s">
        <v>938</v>
      </c>
    </row>
    <row r="234" spans="4:8" ht="12.75" customHeight="1" x14ac:dyDescent="0.25">
      <c r="D234" s="301" t="s">
        <v>939</v>
      </c>
      <c r="E234" s="301" t="s">
        <v>452</v>
      </c>
      <c r="F234" s="301" t="s">
        <v>735</v>
      </c>
      <c r="G234" s="301" t="s">
        <v>501</v>
      </c>
      <c r="H234" s="301" t="s">
        <v>940</v>
      </c>
    </row>
    <row r="235" spans="4:8" ht="12.75" customHeight="1" x14ac:dyDescent="0.25">
      <c r="D235" s="301" t="s">
        <v>941</v>
      </c>
      <c r="E235" s="301" t="s">
        <v>452</v>
      </c>
      <c r="F235" s="301" t="s">
        <v>684</v>
      </c>
      <c r="G235" s="301" t="s">
        <v>501</v>
      </c>
      <c r="H235" s="301" t="s">
        <v>942</v>
      </c>
    </row>
    <row r="236" spans="4:8" ht="12.75" customHeight="1" x14ac:dyDescent="0.25">
      <c r="D236" s="301" t="s">
        <v>943</v>
      </c>
      <c r="E236" s="301" t="s">
        <v>452</v>
      </c>
      <c r="F236" s="301" t="s">
        <v>674</v>
      </c>
      <c r="G236" s="301" t="s">
        <v>501</v>
      </c>
      <c r="H236" s="301" t="s">
        <v>944</v>
      </c>
    </row>
    <row r="237" spans="4:8" ht="12.75" customHeight="1" x14ac:dyDescent="0.25">
      <c r="D237" s="301" t="s">
        <v>945</v>
      </c>
      <c r="E237" s="301" t="s">
        <v>452</v>
      </c>
      <c r="F237" s="301" t="s">
        <v>693</v>
      </c>
      <c r="G237" s="301" t="s">
        <v>501</v>
      </c>
      <c r="H237" s="301" t="s">
        <v>946</v>
      </c>
    </row>
    <row r="238" spans="4:8" ht="12.75" customHeight="1" x14ac:dyDescent="0.25">
      <c r="D238" s="301" t="s">
        <v>947</v>
      </c>
      <c r="E238" s="301" t="s">
        <v>452</v>
      </c>
      <c r="F238" s="301" t="s">
        <v>684</v>
      </c>
      <c r="G238" s="301" t="s">
        <v>501</v>
      </c>
      <c r="H238" s="301" t="s">
        <v>948</v>
      </c>
    </row>
    <row r="239" spans="4:8" ht="12.75" customHeight="1" x14ac:dyDescent="0.25">
      <c r="D239" s="301" t="s">
        <v>949</v>
      </c>
      <c r="E239" s="301" t="s">
        <v>452</v>
      </c>
      <c r="F239" s="301" t="s">
        <v>753</v>
      </c>
      <c r="G239" s="301" t="s">
        <v>501</v>
      </c>
      <c r="H239" s="301" t="s">
        <v>950</v>
      </c>
    </row>
    <row r="240" spans="4:8" ht="12.75" customHeight="1" x14ac:dyDescent="0.25">
      <c r="D240" s="301" t="s">
        <v>951</v>
      </c>
      <c r="E240" s="301" t="s">
        <v>452</v>
      </c>
      <c r="F240" s="301" t="s">
        <v>730</v>
      </c>
      <c r="G240" s="301" t="s">
        <v>501</v>
      </c>
      <c r="H240" s="301" t="s">
        <v>952</v>
      </c>
    </row>
    <row r="241" spans="4:8" ht="12.75" customHeight="1" x14ac:dyDescent="0.25">
      <c r="D241" s="301" t="s">
        <v>953</v>
      </c>
      <c r="E241" s="301" t="s">
        <v>452</v>
      </c>
      <c r="F241" s="301" t="s">
        <v>500</v>
      </c>
      <c r="G241" s="301" t="s">
        <v>501</v>
      </c>
      <c r="H241" s="301" t="s">
        <v>954</v>
      </c>
    </row>
    <row r="242" spans="4:8" ht="12.75" customHeight="1" x14ac:dyDescent="0.25">
      <c r="D242" s="301" t="s">
        <v>955</v>
      </c>
      <c r="E242" s="301" t="s">
        <v>452</v>
      </c>
      <c r="F242" s="301" t="s">
        <v>674</v>
      </c>
      <c r="G242" s="301" t="s">
        <v>501</v>
      </c>
      <c r="H242" s="301" t="s">
        <v>956</v>
      </c>
    </row>
    <row r="243" spans="4:8" ht="12.75" customHeight="1" x14ac:dyDescent="0.25">
      <c r="D243" s="301" t="s">
        <v>957</v>
      </c>
      <c r="E243" s="301" t="s">
        <v>452</v>
      </c>
      <c r="F243" s="301" t="s">
        <v>735</v>
      </c>
      <c r="G243" s="301" t="s">
        <v>501</v>
      </c>
      <c r="H243" s="301" t="s">
        <v>958</v>
      </c>
    </row>
    <row r="244" spans="4:8" ht="12.75" customHeight="1" x14ac:dyDescent="0.25">
      <c r="D244" s="301" t="s">
        <v>959</v>
      </c>
      <c r="E244" s="301" t="s">
        <v>452</v>
      </c>
      <c r="F244" s="301" t="s">
        <v>735</v>
      </c>
      <c r="G244" s="301" t="s">
        <v>501</v>
      </c>
      <c r="H244" s="301" t="s">
        <v>960</v>
      </c>
    </row>
    <row r="245" spans="4:8" ht="12.75" customHeight="1" x14ac:dyDescent="0.25">
      <c r="D245" s="301" t="s">
        <v>961</v>
      </c>
      <c r="E245" s="301" t="s">
        <v>452</v>
      </c>
      <c r="F245" s="301" t="s">
        <v>735</v>
      </c>
      <c r="G245" s="301" t="s">
        <v>501</v>
      </c>
      <c r="H245" s="301" t="s">
        <v>962</v>
      </c>
    </row>
    <row r="246" spans="4:8" ht="12.75" customHeight="1" x14ac:dyDescent="0.25">
      <c r="D246" s="301" t="s">
        <v>963</v>
      </c>
      <c r="E246" s="301" t="s">
        <v>452</v>
      </c>
      <c r="F246" s="301" t="s">
        <v>735</v>
      </c>
      <c r="G246" s="301" t="s">
        <v>501</v>
      </c>
      <c r="H246" s="301" t="s">
        <v>964</v>
      </c>
    </row>
    <row r="247" spans="4:8" ht="12.75" customHeight="1" x14ac:dyDescent="0.25">
      <c r="D247" s="301" t="s">
        <v>965</v>
      </c>
      <c r="E247" s="301" t="s">
        <v>452</v>
      </c>
      <c r="F247" s="301" t="s">
        <v>693</v>
      </c>
      <c r="G247" s="301" t="s">
        <v>501</v>
      </c>
      <c r="H247" s="301" t="s">
        <v>966</v>
      </c>
    </row>
    <row r="248" spans="4:8" ht="12.75" customHeight="1" x14ac:dyDescent="0.25">
      <c r="D248" s="301" t="s">
        <v>967</v>
      </c>
      <c r="E248" s="301" t="s">
        <v>452</v>
      </c>
      <c r="F248" s="301" t="s">
        <v>674</v>
      </c>
      <c r="G248" s="301" t="s">
        <v>501</v>
      </c>
      <c r="H248" s="301" t="s">
        <v>968</v>
      </c>
    </row>
    <row r="249" spans="4:8" ht="12.75" customHeight="1" x14ac:dyDescent="0.25">
      <c r="D249" s="301" t="s">
        <v>969</v>
      </c>
      <c r="E249" s="301" t="s">
        <v>452</v>
      </c>
      <c r="F249" s="301" t="s">
        <v>677</v>
      </c>
      <c r="G249" s="301" t="s">
        <v>501</v>
      </c>
      <c r="H249" s="301" t="s">
        <v>970</v>
      </c>
    </row>
    <row r="250" spans="4:8" ht="12.75" customHeight="1" x14ac:dyDescent="0.25">
      <c r="D250" s="301" t="s">
        <v>971</v>
      </c>
      <c r="E250" s="301" t="s">
        <v>452</v>
      </c>
      <c r="F250" s="301" t="s">
        <v>677</v>
      </c>
      <c r="G250" s="301" t="s">
        <v>501</v>
      </c>
      <c r="H250" s="301" t="s">
        <v>972</v>
      </c>
    </row>
    <row r="251" spans="4:8" ht="12.75" customHeight="1" x14ac:dyDescent="0.25">
      <c r="D251" s="301" t="s">
        <v>973</v>
      </c>
      <c r="E251" s="301" t="s">
        <v>452</v>
      </c>
      <c r="F251" s="301" t="s">
        <v>500</v>
      </c>
      <c r="G251" s="301" t="s">
        <v>501</v>
      </c>
      <c r="H251" s="301" t="s">
        <v>974</v>
      </c>
    </row>
    <row r="252" spans="4:8" ht="12.75" customHeight="1" x14ac:dyDescent="0.25">
      <c r="D252" s="301" t="s">
        <v>975</v>
      </c>
      <c r="E252" s="301" t="s">
        <v>452</v>
      </c>
      <c r="F252" s="301" t="s">
        <v>746</v>
      </c>
      <c r="G252" s="301" t="s">
        <v>501</v>
      </c>
      <c r="H252" s="301" t="s">
        <v>976</v>
      </c>
    </row>
    <row r="253" spans="4:8" ht="12.75" customHeight="1" x14ac:dyDescent="0.25">
      <c r="D253" s="301" t="s">
        <v>977</v>
      </c>
      <c r="E253" s="301" t="s">
        <v>452</v>
      </c>
      <c r="F253" s="301" t="s">
        <v>684</v>
      </c>
      <c r="G253" s="301" t="s">
        <v>501</v>
      </c>
      <c r="H253" s="301" t="s">
        <v>978</v>
      </c>
    </row>
    <row r="254" spans="4:8" ht="12.75" customHeight="1" x14ac:dyDescent="0.25">
      <c r="D254" s="301" t="s">
        <v>979</v>
      </c>
      <c r="E254" s="301" t="s">
        <v>452</v>
      </c>
      <c r="F254" s="301" t="s">
        <v>674</v>
      </c>
      <c r="G254" s="301" t="s">
        <v>501</v>
      </c>
      <c r="H254" s="301" t="s">
        <v>980</v>
      </c>
    </row>
    <row r="255" spans="4:8" ht="12.75" customHeight="1" x14ac:dyDescent="0.25">
      <c r="D255" s="301" t="s">
        <v>981</v>
      </c>
      <c r="E255" s="301" t="s">
        <v>452</v>
      </c>
      <c r="F255" s="301" t="s">
        <v>500</v>
      </c>
      <c r="G255" s="301" t="s">
        <v>501</v>
      </c>
      <c r="H255" s="301" t="s">
        <v>982</v>
      </c>
    </row>
    <row r="256" spans="4:8" ht="12.75" customHeight="1" x14ac:dyDescent="0.25">
      <c r="D256" s="301" t="s">
        <v>983</v>
      </c>
      <c r="E256" s="301" t="s">
        <v>452</v>
      </c>
      <c r="F256" s="301" t="s">
        <v>500</v>
      </c>
      <c r="G256" s="301" t="s">
        <v>501</v>
      </c>
      <c r="H256" s="301" t="s">
        <v>984</v>
      </c>
    </row>
    <row r="257" spans="4:8" ht="12.75" customHeight="1" x14ac:dyDescent="0.25">
      <c r="D257" s="301" t="s">
        <v>985</v>
      </c>
      <c r="E257" s="301" t="s">
        <v>452</v>
      </c>
      <c r="F257" s="301" t="s">
        <v>730</v>
      </c>
      <c r="G257" s="301" t="s">
        <v>501</v>
      </c>
      <c r="H257" s="301" t="s">
        <v>986</v>
      </c>
    </row>
    <row r="258" spans="4:8" ht="12.75" customHeight="1" x14ac:dyDescent="0.25">
      <c r="D258" s="301" t="s">
        <v>987</v>
      </c>
      <c r="E258" s="301" t="s">
        <v>452</v>
      </c>
      <c r="F258" s="301" t="s">
        <v>674</v>
      </c>
      <c r="G258" s="301" t="s">
        <v>501</v>
      </c>
      <c r="H258" s="301" t="s">
        <v>988</v>
      </c>
    </row>
    <row r="259" spans="4:8" ht="12.75" customHeight="1" x14ac:dyDescent="0.25">
      <c r="D259" s="301" t="s">
        <v>989</v>
      </c>
      <c r="E259" s="301" t="s">
        <v>452</v>
      </c>
      <c r="F259" s="301" t="s">
        <v>730</v>
      </c>
      <c r="G259" s="301" t="s">
        <v>501</v>
      </c>
      <c r="H259" s="301" t="s">
        <v>990</v>
      </c>
    </row>
    <row r="260" spans="4:8" ht="12.75" customHeight="1" x14ac:dyDescent="0.25">
      <c r="D260" s="301" t="s">
        <v>991</v>
      </c>
      <c r="E260" s="301" t="s">
        <v>425</v>
      </c>
      <c r="F260" s="301" t="s">
        <v>426</v>
      </c>
      <c r="G260" s="301" t="s">
        <v>427</v>
      </c>
      <c r="H260" s="301" t="s">
        <v>992</v>
      </c>
    </row>
    <row r="261" spans="4:8" ht="12.75" customHeight="1" x14ac:dyDescent="0.25">
      <c r="D261" s="301" t="s">
        <v>993</v>
      </c>
      <c r="E261" s="301" t="s">
        <v>425</v>
      </c>
      <c r="F261" s="301" t="s">
        <v>573</v>
      </c>
      <c r="G261" s="301" t="s">
        <v>574</v>
      </c>
      <c r="H261" s="301" t="s">
        <v>994</v>
      </c>
    </row>
    <row r="262" spans="4:8" ht="12.75" customHeight="1" x14ac:dyDescent="0.25">
      <c r="D262" s="306" t="s">
        <v>995</v>
      </c>
      <c r="E262" s="306" t="s">
        <v>458</v>
      </c>
      <c r="F262" s="306" t="s">
        <v>660</v>
      </c>
      <c r="G262" s="306" t="s">
        <v>661</v>
      </c>
      <c r="H262" s="306" t="s">
        <v>996</v>
      </c>
    </row>
    <row r="263" spans="4:8" ht="12.75" customHeight="1" x14ac:dyDescent="0.25">
      <c r="D263" s="306" t="s">
        <v>997</v>
      </c>
      <c r="E263" s="306" t="s">
        <v>458</v>
      </c>
      <c r="F263" s="306" t="s">
        <v>660</v>
      </c>
      <c r="G263" s="306" t="s">
        <v>661</v>
      </c>
      <c r="H263" s="306" t="s">
        <v>998</v>
      </c>
    </row>
    <row r="264" spans="4:8" ht="12.75" customHeight="1" x14ac:dyDescent="0.25">
      <c r="D264" s="306" t="s">
        <v>999</v>
      </c>
      <c r="E264" s="306" t="s">
        <v>458</v>
      </c>
      <c r="F264" s="306" t="s">
        <v>660</v>
      </c>
      <c r="G264" s="306" t="s">
        <v>661</v>
      </c>
      <c r="H264" s="306" t="s">
        <v>1000</v>
      </c>
    </row>
    <row r="265" spans="4:8" ht="12.75" customHeight="1" x14ac:dyDescent="0.25">
      <c r="D265" s="306" t="s">
        <v>1001</v>
      </c>
      <c r="E265" s="306" t="s">
        <v>458</v>
      </c>
      <c r="F265" s="306" t="s">
        <v>660</v>
      </c>
      <c r="G265" s="306" t="s">
        <v>661</v>
      </c>
      <c r="H265" s="306" t="s">
        <v>1002</v>
      </c>
    </row>
    <row r="266" spans="4:8" ht="12.75" customHeight="1" x14ac:dyDescent="0.25">
      <c r="D266" s="306" t="s">
        <v>1003</v>
      </c>
      <c r="E266" s="306" t="s">
        <v>458</v>
      </c>
      <c r="F266" s="306" t="s">
        <v>660</v>
      </c>
      <c r="G266" s="306" t="s">
        <v>661</v>
      </c>
      <c r="H266" s="306" t="s">
        <v>1004</v>
      </c>
    </row>
    <row r="267" spans="4:8" ht="12.75" customHeight="1" x14ac:dyDescent="0.25">
      <c r="D267" s="306" t="s">
        <v>1005</v>
      </c>
      <c r="E267" s="306" t="s">
        <v>458</v>
      </c>
      <c r="F267" s="306" t="s">
        <v>660</v>
      </c>
      <c r="G267" s="306" t="s">
        <v>661</v>
      </c>
      <c r="H267" s="306" t="s">
        <v>1006</v>
      </c>
    </row>
    <row r="268" spans="4:8" ht="12.75" customHeight="1" x14ac:dyDescent="0.25">
      <c r="D268" s="306" t="s">
        <v>1007</v>
      </c>
      <c r="E268" s="306" t="s">
        <v>458</v>
      </c>
      <c r="F268" s="306" t="s">
        <v>660</v>
      </c>
      <c r="G268" s="306" t="s">
        <v>661</v>
      </c>
      <c r="H268" s="306" t="s">
        <v>1008</v>
      </c>
    </row>
    <row r="269" spans="4:8" ht="12.75" customHeight="1" x14ac:dyDescent="0.25">
      <c r="D269" s="306" t="s">
        <v>1009</v>
      </c>
      <c r="E269" s="306" t="s">
        <v>458</v>
      </c>
      <c r="F269" s="306" t="s">
        <v>660</v>
      </c>
      <c r="G269" s="306" t="s">
        <v>661</v>
      </c>
      <c r="H269" s="306" t="s">
        <v>1010</v>
      </c>
    </row>
    <row r="270" spans="4:8" ht="12.75" customHeight="1" x14ac:dyDescent="0.25">
      <c r="D270" s="306" t="s">
        <v>1011</v>
      </c>
      <c r="E270" s="306" t="s">
        <v>458</v>
      </c>
      <c r="F270" s="306" t="s">
        <v>660</v>
      </c>
      <c r="G270" s="306" t="s">
        <v>661</v>
      </c>
      <c r="H270" s="306" t="s">
        <v>1012</v>
      </c>
    </row>
    <row r="271" spans="4:8" ht="12.75" customHeight="1" x14ac:dyDescent="0.25">
      <c r="D271" s="306" t="s">
        <v>1013</v>
      </c>
      <c r="E271" s="306" t="s">
        <v>458</v>
      </c>
      <c r="F271" s="306" t="s">
        <v>660</v>
      </c>
      <c r="G271" s="306" t="s">
        <v>661</v>
      </c>
      <c r="H271" s="306" t="s">
        <v>1014</v>
      </c>
    </row>
    <row r="272" spans="4:8" ht="12.75" customHeight="1" x14ac:dyDescent="0.25">
      <c r="D272" s="306" t="s">
        <v>1015</v>
      </c>
      <c r="E272" s="306" t="s">
        <v>458</v>
      </c>
      <c r="F272" s="306" t="s">
        <v>660</v>
      </c>
      <c r="G272" s="306" t="s">
        <v>661</v>
      </c>
      <c r="H272" s="306" t="s">
        <v>1016</v>
      </c>
    </row>
    <row r="273" spans="4:8" ht="12.75" customHeight="1" x14ac:dyDescent="0.25">
      <c r="D273" s="306" t="s">
        <v>1017</v>
      </c>
      <c r="E273" s="306" t="s">
        <v>458</v>
      </c>
      <c r="F273" s="306" t="s">
        <v>660</v>
      </c>
      <c r="G273" s="306" t="s">
        <v>661</v>
      </c>
      <c r="H273" s="306" t="s">
        <v>1018</v>
      </c>
    </row>
    <row r="274" spans="4:8" ht="12.75" customHeight="1" x14ac:dyDescent="0.25">
      <c r="D274" s="306" t="s">
        <v>1019</v>
      </c>
      <c r="E274" s="306" t="s">
        <v>458</v>
      </c>
      <c r="F274" s="306" t="s">
        <v>660</v>
      </c>
      <c r="G274" s="306" t="s">
        <v>661</v>
      </c>
      <c r="H274" s="306" t="s">
        <v>1020</v>
      </c>
    </row>
    <row r="275" spans="4:8" ht="12.75" customHeight="1" x14ac:dyDescent="0.25">
      <c r="D275" s="306" t="s">
        <v>1021</v>
      </c>
      <c r="E275" s="306" t="s">
        <v>458</v>
      </c>
      <c r="F275" s="306" t="s">
        <v>660</v>
      </c>
      <c r="G275" s="306" t="s">
        <v>661</v>
      </c>
      <c r="H275" s="306" t="s">
        <v>1022</v>
      </c>
    </row>
    <row r="276" spans="4:8" ht="12.75" customHeight="1" x14ac:dyDescent="0.25">
      <c r="D276" s="301" t="s">
        <v>1023</v>
      </c>
      <c r="E276" s="301" t="s">
        <v>443</v>
      </c>
      <c r="F276" s="301" t="s">
        <v>1024</v>
      </c>
      <c r="G276" s="301" t="s">
        <v>1024</v>
      </c>
      <c r="H276" s="301" t="s">
        <v>1025</v>
      </c>
    </row>
    <row r="277" spans="4:8" ht="12.75" customHeight="1" x14ac:dyDescent="0.25">
      <c r="D277" s="301" t="s">
        <v>1026</v>
      </c>
      <c r="E277" s="301" t="s">
        <v>454</v>
      </c>
      <c r="F277" s="301" t="s">
        <v>504</v>
      </c>
      <c r="G277" s="301" t="s">
        <v>505</v>
      </c>
      <c r="H277" s="301" t="s">
        <v>1027</v>
      </c>
    </row>
    <row r="278" spans="4:8" ht="12.75" customHeight="1" x14ac:dyDescent="0.25">
      <c r="D278" s="301" t="s">
        <v>1028</v>
      </c>
      <c r="E278" s="301" t="s">
        <v>449</v>
      </c>
      <c r="F278" s="301" t="s">
        <v>1029</v>
      </c>
      <c r="G278" s="301" t="s">
        <v>1030</v>
      </c>
      <c r="H278" s="301" t="s">
        <v>1031</v>
      </c>
    </row>
    <row r="279" spans="4:8" ht="12.75" customHeight="1" x14ac:dyDescent="0.25">
      <c r="D279" s="301" t="s">
        <v>1032</v>
      </c>
      <c r="E279" s="301" t="s">
        <v>449</v>
      </c>
      <c r="F279" s="301" t="s">
        <v>1029</v>
      </c>
      <c r="G279" s="301" t="s">
        <v>1030</v>
      </c>
      <c r="H279" s="301" t="s">
        <v>1033</v>
      </c>
    </row>
    <row r="280" spans="4:8" ht="12.75" customHeight="1" x14ac:dyDescent="0.25">
      <c r="D280" s="301" t="s">
        <v>1034</v>
      </c>
      <c r="E280" s="301" t="s">
        <v>449</v>
      </c>
      <c r="F280" s="301" t="s">
        <v>1029</v>
      </c>
      <c r="G280" s="301" t="s">
        <v>1030</v>
      </c>
      <c r="H280" s="301" t="s">
        <v>1035</v>
      </c>
    </row>
    <row r="281" spans="4:8" ht="12.75" customHeight="1" x14ac:dyDescent="0.25">
      <c r="D281" s="301" t="s">
        <v>1036</v>
      </c>
      <c r="E281" s="301" t="s">
        <v>449</v>
      </c>
      <c r="F281" s="301" t="s">
        <v>1029</v>
      </c>
      <c r="G281" s="301" t="s">
        <v>1030</v>
      </c>
      <c r="H281" s="301" t="s">
        <v>1037</v>
      </c>
    </row>
    <row r="282" spans="4:8" ht="12.75" customHeight="1" x14ac:dyDescent="0.25">
      <c r="D282" s="301" t="s">
        <v>1038</v>
      </c>
      <c r="E282" s="301" t="s">
        <v>449</v>
      </c>
      <c r="F282" s="301" t="s">
        <v>1029</v>
      </c>
      <c r="G282" s="301" t="s">
        <v>1030</v>
      </c>
      <c r="H282" s="307" t="s">
        <v>1039</v>
      </c>
    </row>
    <row r="283" spans="4:8" ht="12.75" customHeight="1" x14ac:dyDescent="0.25">
      <c r="D283" s="301" t="s">
        <v>1040</v>
      </c>
      <c r="E283" s="301" t="s">
        <v>449</v>
      </c>
      <c r="F283" s="301" t="s">
        <v>1029</v>
      </c>
      <c r="G283" s="301" t="s">
        <v>1030</v>
      </c>
      <c r="H283" s="301" t="s">
        <v>1041</v>
      </c>
    </row>
    <row r="284" spans="4:8" ht="12.75" customHeight="1" x14ac:dyDescent="0.25">
      <c r="D284" s="301" t="s">
        <v>1042</v>
      </c>
      <c r="E284" s="301" t="s">
        <v>449</v>
      </c>
      <c r="F284" s="301" t="s">
        <v>1029</v>
      </c>
      <c r="G284" s="301" t="s">
        <v>1030</v>
      </c>
      <c r="H284" s="301" t="s">
        <v>1043</v>
      </c>
    </row>
    <row r="285" spans="4:8" ht="12.75" customHeight="1" x14ac:dyDescent="0.25">
      <c r="D285" s="301" t="s">
        <v>1044</v>
      </c>
      <c r="E285" s="301" t="s">
        <v>449</v>
      </c>
      <c r="F285" s="301" t="s">
        <v>1029</v>
      </c>
      <c r="G285" s="301" t="s">
        <v>1030</v>
      </c>
      <c r="H285" s="301" t="s">
        <v>1045</v>
      </c>
    </row>
    <row r="286" spans="4:8" ht="12.75" customHeight="1" x14ac:dyDescent="0.25">
      <c r="D286" s="301" t="s">
        <v>1046</v>
      </c>
      <c r="E286" s="301" t="s">
        <v>449</v>
      </c>
      <c r="F286" s="301" t="s">
        <v>1029</v>
      </c>
      <c r="G286" s="301" t="s">
        <v>1030</v>
      </c>
      <c r="H286" s="301" t="s">
        <v>1047</v>
      </c>
    </row>
    <row r="287" spans="4:8" ht="12.75" customHeight="1" x14ac:dyDescent="0.25">
      <c r="D287" s="301" t="s">
        <v>1048</v>
      </c>
      <c r="E287" s="301" t="s">
        <v>449</v>
      </c>
      <c r="F287" s="301" t="s">
        <v>1029</v>
      </c>
      <c r="G287" s="301" t="s">
        <v>1030</v>
      </c>
      <c r="H287" s="301" t="s">
        <v>1049</v>
      </c>
    </row>
    <row r="288" spans="4:8" ht="12.75" customHeight="1" x14ac:dyDescent="0.25">
      <c r="D288" s="301" t="s">
        <v>1050</v>
      </c>
      <c r="E288" s="301" t="s">
        <v>449</v>
      </c>
      <c r="F288" s="301" t="s">
        <v>1029</v>
      </c>
      <c r="G288" s="301" t="s">
        <v>1030</v>
      </c>
      <c r="H288" s="307" t="s">
        <v>1051</v>
      </c>
    </row>
    <row r="289" spans="4:8" ht="12.75" customHeight="1" x14ac:dyDescent="0.25">
      <c r="D289" s="301" t="s">
        <v>1052</v>
      </c>
      <c r="E289" s="301" t="s">
        <v>449</v>
      </c>
      <c r="F289" s="301" t="s">
        <v>1029</v>
      </c>
      <c r="G289" s="301" t="s">
        <v>1030</v>
      </c>
      <c r="H289" s="301" t="s">
        <v>1053</v>
      </c>
    </row>
    <row r="290" spans="4:8" ht="12.75" customHeight="1" x14ac:dyDescent="0.25">
      <c r="D290" s="301" t="s">
        <v>1054</v>
      </c>
      <c r="E290" s="301" t="s">
        <v>449</v>
      </c>
      <c r="F290" s="301" t="s">
        <v>1029</v>
      </c>
      <c r="G290" s="301" t="s">
        <v>1030</v>
      </c>
      <c r="H290" s="307" t="s">
        <v>1055</v>
      </c>
    </row>
    <row r="291" spans="4:8" ht="12.75" customHeight="1" x14ac:dyDescent="0.25">
      <c r="D291" s="301" t="s">
        <v>1056</v>
      </c>
      <c r="E291" s="301" t="s">
        <v>449</v>
      </c>
      <c r="F291" s="301" t="s">
        <v>607</v>
      </c>
      <c r="G291" s="301" t="s">
        <v>608</v>
      </c>
      <c r="H291" s="301" t="s">
        <v>1057</v>
      </c>
    </row>
    <row r="292" spans="4:8" ht="12.75" customHeight="1" x14ac:dyDescent="0.25">
      <c r="D292" s="301" t="s">
        <v>1058</v>
      </c>
      <c r="E292" s="301" t="s">
        <v>449</v>
      </c>
      <c r="F292" s="301" t="s">
        <v>1029</v>
      </c>
      <c r="G292" s="301" t="s">
        <v>1030</v>
      </c>
      <c r="H292" s="301" t="s">
        <v>1059</v>
      </c>
    </row>
    <row r="293" spans="4:8" ht="12.75" customHeight="1" x14ac:dyDescent="0.25">
      <c r="D293" s="301" t="s">
        <v>1060</v>
      </c>
      <c r="E293" s="301" t="s">
        <v>449</v>
      </c>
      <c r="F293" s="301" t="s">
        <v>607</v>
      </c>
      <c r="G293" s="301" t="s">
        <v>608</v>
      </c>
      <c r="H293" s="301" t="s">
        <v>1061</v>
      </c>
    </row>
    <row r="294" spans="4:8" ht="12.75" customHeight="1" x14ac:dyDescent="0.25">
      <c r="D294" s="301" t="s">
        <v>1062</v>
      </c>
      <c r="E294" s="301" t="s">
        <v>449</v>
      </c>
      <c r="F294" s="301" t="s">
        <v>1029</v>
      </c>
      <c r="G294" s="301" t="s">
        <v>1030</v>
      </c>
      <c r="H294" s="301" t="s">
        <v>1063</v>
      </c>
    </row>
    <row r="295" spans="4:8" ht="12.75" customHeight="1" x14ac:dyDescent="0.25">
      <c r="D295" s="301" t="s">
        <v>1064</v>
      </c>
      <c r="E295" s="301" t="s">
        <v>449</v>
      </c>
      <c r="F295" s="301" t="s">
        <v>1029</v>
      </c>
      <c r="G295" s="301" t="s">
        <v>1065</v>
      </c>
      <c r="H295" s="301" t="s">
        <v>1066</v>
      </c>
    </row>
    <row r="296" spans="4:8" ht="12.75" customHeight="1" x14ac:dyDescent="0.25">
      <c r="D296" s="301" t="s">
        <v>1067</v>
      </c>
      <c r="E296" s="301" t="s">
        <v>449</v>
      </c>
      <c r="F296" s="301" t="s">
        <v>1029</v>
      </c>
      <c r="G296" s="301" t="s">
        <v>1065</v>
      </c>
      <c r="H296" s="301" t="s">
        <v>1068</v>
      </c>
    </row>
    <row r="297" spans="4:8" ht="12.75" customHeight="1" x14ac:dyDescent="0.25">
      <c r="D297" s="301" t="s">
        <v>1069</v>
      </c>
      <c r="E297" s="301" t="s">
        <v>449</v>
      </c>
      <c r="F297" s="301" t="s">
        <v>1029</v>
      </c>
      <c r="G297" s="301" t="s">
        <v>1065</v>
      </c>
      <c r="H297" s="301" t="s">
        <v>1070</v>
      </c>
    </row>
    <row r="298" spans="4:8" ht="12.75" customHeight="1" x14ac:dyDescent="0.25">
      <c r="D298" s="301" t="s">
        <v>1071</v>
      </c>
      <c r="E298" s="301" t="s">
        <v>449</v>
      </c>
      <c r="F298" s="301" t="s">
        <v>1029</v>
      </c>
      <c r="G298" s="301" t="s">
        <v>1065</v>
      </c>
      <c r="H298" s="301" t="s">
        <v>1072</v>
      </c>
    </row>
    <row r="299" spans="4:8" ht="12.75" customHeight="1" x14ac:dyDescent="0.25">
      <c r="D299" s="301" t="s">
        <v>1073</v>
      </c>
      <c r="E299" s="301" t="s">
        <v>449</v>
      </c>
      <c r="F299" s="301" t="s">
        <v>1029</v>
      </c>
      <c r="G299" s="301" t="s">
        <v>1065</v>
      </c>
      <c r="H299" s="301" t="s">
        <v>1074</v>
      </c>
    </row>
    <row r="300" spans="4:8" ht="12.75" customHeight="1" x14ac:dyDescent="0.25">
      <c r="D300" s="301" t="s">
        <v>1075</v>
      </c>
      <c r="E300" s="301" t="s">
        <v>449</v>
      </c>
      <c r="F300" s="301" t="s">
        <v>1029</v>
      </c>
      <c r="G300" s="301" t="s">
        <v>1065</v>
      </c>
      <c r="H300" s="301" t="s">
        <v>1076</v>
      </c>
    </row>
    <row r="301" spans="4:8" ht="12.75" customHeight="1" x14ac:dyDescent="0.25">
      <c r="D301" s="301" t="s">
        <v>1077</v>
      </c>
      <c r="E301" s="301" t="s">
        <v>449</v>
      </c>
      <c r="F301" s="301" t="s">
        <v>1029</v>
      </c>
      <c r="G301" s="301" t="s">
        <v>1065</v>
      </c>
      <c r="H301" s="301" t="s">
        <v>1078</v>
      </c>
    </row>
    <row r="302" spans="4:8" ht="12.75" customHeight="1" x14ac:dyDescent="0.25">
      <c r="D302" s="301" t="s">
        <v>1079</v>
      </c>
      <c r="E302" s="301" t="s">
        <v>449</v>
      </c>
      <c r="F302" s="301" t="s">
        <v>1029</v>
      </c>
      <c r="G302" s="301" t="s">
        <v>1065</v>
      </c>
      <c r="H302" s="301" t="s">
        <v>1080</v>
      </c>
    </row>
    <row r="303" spans="4:8" ht="12.75" customHeight="1" x14ac:dyDescent="0.25">
      <c r="D303" s="301" t="s">
        <v>1081</v>
      </c>
      <c r="E303" s="301" t="s">
        <v>449</v>
      </c>
      <c r="F303" s="301" t="s">
        <v>1029</v>
      </c>
      <c r="G303" s="301" t="s">
        <v>1065</v>
      </c>
      <c r="H303" s="301" t="s">
        <v>1082</v>
      </c>
    </row>
    <row r="304" spans="4:8" ht="12.75" customHeight="1" x14ac:dyDescent="0.25">
      <c r="D304" s="301" t="s">
        <v>1083</v>
      </c>
      <c r="E304" s="301" t="s">
        <v>449</v>
      </c>
      <c r="F304" s="301" t="s">
        <v>1029</v>
      </c>
      <c r="G304" s="301" t="s">
        <v>1065</v>
      </c>
      <c r="H304" s="301" t="s">
        <v>1084</v>
      </c>
    </row>
    <row r="305" spans="4:8" ht="12.75" customHeight="1" x14ac:dyDescent="0.25">
      <c r="D305" s="301" t="s">
        <v>1085</v>
      </c>
      <c r="E305" s="301" t="s">
        <v>449</v>
      </c>
      <c r="F305" s="301" t="s">
        <v>1029</v>
      </c>
      <c r="G305" s="301" t="s">
        <v>1065</v>
      </c>
      <c r="H305" s="301" t="s">
        <v>1086</v>
      </c>
    </row>
    <row r="306" spans="4:8" ht="12.75" customHeight="1" x14ac:dyDescent="0.25">
      <c r="D306" s="301" t="s">
        <v>1087</v>
      </c>
      <c r="E306" s="301" t="s">
        <v>449</v>
      </c>
      <c r="F306" s="301" t="s">
        <v>1029</v>
      </c>
      <c r="G306" s="301" t="s">
        <v>1065</v>
      </c>
      <c r="H306" s="301" t="s">
        <v>1088</v>
      </c>
    </row>
    <row r="307" spans="4:8" ht="12.75" customHeight="1" x14ac:dyDescent="0.25">
      <c r="D307" s="301" t="s">
        <v>1089</v>
      </c>
      <c r="E307" s="301" t="s">
        <v>449</v>
      </c>
      <c r="F307" s="301" t="s">
        <v>1029</v>
      </c>
      <c r="G307" s="301" t="s">
        <v>1065</v>
      </c>
      <c r="H307" s="301" t="s">
        <v>1090</v>
      </c>
    </row>
    <row r="308" spans="4:8" ht="12.75" customHeight="1" x14ac:dyDescent="0.25">
      <c r="D308" s="301" t="s">
        <v>1091</v>
      </c>
      <c r="E308" s="301" t="s">
        <v>449</v>
      </c>
      <c r="F308" s="301" t="s">
        <v>1029</v>
      </c>
      <c r="G308" s="301" t="s">
        <v>1065</v>
      </c>
      <c r="H308" s="301" t="s">
        <v>1092</v>
      </c>
    </row>
    <row r="309" spans="4:8" ht="12.75" customHeight="1" x14ac:dyDescent="0.25">
      <c r="D309" s="301" t="s">
        <v>1093</v>
      </c>
      <c r="E309" s="301" t="s">
        <v>449</v>
      </c>
      <c r="F309" s="301" t="s">
        <v>1029</v>
      </c>
      <c r="G309" s="301" t="s">
        <v>1065</v>
      </c>
      <c r="H309" s="301" t="s">
        <v>1094</v>
      </c>
    </row>
    <row r="310" spans="4:8" ht="12.75" customHeight="1" x14ac:dyDescent="0.25">
      <c r="D310" s="301" t="s">
        <v>1095</v>
      </c>
      <c r="E310" s="301" t="s">
        <v>449</v>
      </c>
      <c r="F310" s="301" t="s">
        <v>1029</v>
      </c>
      <c r="G310" s="301" t="s">
        <v>1065</v>
      </c>
      <c r="H310" s="301" t="s">
        <v>1096</v>
      </c>
    </row>
    <row r="311" spans="4:8" ht="12.75" customHeight="1" x14ac:dyDescent="0.25">
      <c r="D311" s="301" t="s">
        <v>1097</v>
      </c>
      <c r="E311" s="301" t="s">
        <v>449</v>
      </c>
      <c r="F311" s="301" t="s">
        <v>1029</v>
      </c>
      <c r="G311" s="301" t="s">
        <v>1065</v>
      </c>
      <c r="H311" s="301" t="s">
        <v>1098</v>
      </c>
    </row>
    <row r="312" spans="4:8" ht="12.75" customHeight="1" x14ac:dyDescent="0.25">
      <c r="D312" s="301" t="s">
        <v>1099</v>
      </c>
      <c r="E312" s="301" t="s">
        <v>449</v>
      </c>
      <c r="F312" s="301" t="s">
        <v>1029</v>
      </c>
      <c r="G312" s="301" t="s">
        <v>1065</v>
      </c>
      <c r="H312" s="301" t="s">
        <v>1100</v>
      </c>
    </row>
    <row r="313" spans="4:8" ht="12.75" customHeight="1" x14ac:dyDescent="0.25">
      <c r="D313" s="301" t="s">
        <v>1101</v>
      </c>
      <c r="E313" s="301" t="s">
        <v>449</v>
      </c>
      <c r="F313" s="301" t="s">
        <v>1029</v>
      </c>
      <c r="G313" s="301" t="s">
        <v>1065</v>
      </c>
      <c r="H313" s="301" t="s">
        <v>1102</v>
      </c>
    </row>
    <row r="314" spans="4:8" ht="12.75" customHeight="1" x14ac:dyDescent="0.25">
      <c r="D314" s="301" t="s">
        <v>1103</v>
      </c>
      <c r="E314" s="301" t="s">
        <v>449</v>
      </c>
      <c r="F314" s="301" t="s">
        <v>1029</v>
      </c>
      <c r="G314" s="301" t="s">
        <v>1065</v>
      </c>
      <c r="H314" s="301" t="s">
        <v>1104</v>
      </c>
    </row>
    <row r="315" spans="4:8" ht="12.75" customHeight="1" x14ac:dyDescent="0.25">
      <c r="D315" s="301" t="s">
        <v>1105</v>
      </c>
      <c r="E315" s="301" t="s">
        <v>449</v>
      </c>
      <c r="F315" s="301" t="s">
        <v>1029</v>
      </c>
      <c r="G315" s="301" t="s">
        <v>1065</v>
      </c>
      <c r="H315" s="301" t="s">
        <v>1106</v>
      </c>
    </row>
    <row r="316" spans="4:8" ht="12.75" customHeight="1" x14ac:dyDescent="0.25">
      <c r="D316" s="301" t="s">
        <v>1107</v>
      </c>
      <c r="E316" s="301" t="s">
        <v>449</v>
      </c>
      <c r="F316" s="301" t="s">
        <v>1029</v>
      </c>
      <c r="G316" s="301" t="s">
        <v>1065</v>
      </c>
      <c r="H316" s="301" t="s">
        <v>1108</v>
      </c>
    </row>
    <row r="317" spans="4:8" ht="12.75" customHeight="1" x14ac:dyDescent="0.25">
      <c r="D317" s="301" t="s">
        <v>1109</v>
      </c>
      <c r="E317" s="301" t="s">
        <v>449</v>
      </c>
      <c r="F317" s="301" t="s">
        <v>1029</v>
      </c>
      <c r="G317" s="301" t="s">
        <v>1065</v>
      </c>
      <c r="H317" s="301" t="s">
        <v>1110</v>
      </c>
    </row>
    <row r="318" spans="4:8" ht="12.75" customHeight="1" x14ac:dyDescent="0.25">
      <c r="D318" s="301" t="s">
        <v>1111</v>
      </c>
      <c r="E318" s="301" t="s">
        <v>449</v>
      </c>
      <c r="F318" s="301" t="s">
        <v>1029</v>
      </c>
      <c r="G318" s="301" t="s">
        <v>1065</v>
      </c>
      <c r="H318" s="301" t="s">
        <v>1112</v>
      </c>
    </row>
    <row r="319" spans="4:8" ht="12.75" customHeight="1" x14ac:dyDescent="0.25">
      <c r="D319" s="301" t="s">
        <v>1113</v>
      </c>
      <c r="E319" s="301" t="s">
        <v>449</v>
      </c>
      <c r="F319" s="301" t="s">
        <v>1029</v>
      </c>
      <c r="G319" s="301" t="s">
        <v>1065</v>
      </c>
      <c r="H319" s="301" t="s">
        <v>1114</v>
      </c>
    </row>
    <row r="320" spans="4:8" ht="12.75" customHeight="1" x14ac:dyDescent="0.25">
      <c r="D320" s="301" t="s">
        <v>1115</v>
      </c>
      <c r="E320" s="301" t="s">
        <v>449</v>
      </c>
      <c r="F320" s="301" t="s">
        <v>1029</v>
      </c>
      <c r="G320" s="301" t="s">
        <v>1065</v>
      </c>
      <c r="H320" s="301" t="s">
        <v>1116</v>
      </c>
    </row>
    <row r="321" spans="4:8" ht="12.75" customHeight="1" x14ac:dyDescent="0.25">
      <c r="D321" s="301" t="s">
        <v>1117</v>
      </c>
      <c r="E321" s="301" t="s">
        <v>449</v>
      </c>
      <c r="F321" s="301" t="s">
        <v>1029</v>
      </c>
      <c r="G321" s="301" t="s">
        <v>1065</v>
      </c>
      <c r="H321" s="301" t="s">
        <v>1118</v>
      </c>
    </row>
    <row r="322" spans="4:8" ht="12.75" customHeight="1" x14ac:dyDescent="0.25">
      <c r="D322" s="301" t="s">
        <v>1119</v>
      </c>
      <c r="E322" s="301" t="s">
        <v>449</v>
      </c>
      <c r="F322" s="301" t="s">
        <v>1029</v>
      </c>
      <c r="G322" s="301" t="s">
        <v>1065</v>
      </c>
      <c r="H322" s="301" t="s">
        <v>1120</v>
      </c>
    </row>
    <row r="323" spans="4:8" ht="12.75" customHeight="1" x14ac:dyDescent="0.25">
      <c r="D323" s="301" t="s">
        <v>1121</v>
      </c>
      <c r="E323" s="301" t="s">
        <v>449</v>
      </c>
      <c r="F323" s="301" t="s">
        <v>1029</v>
      </c>
      <c r="G323" s="301" t="s">
        <v>1065</v>
      </c>
      <c r="H323" s="301" t="s">
        <v>1122</v>
      </c>
    </row>
    <row r="324" spans="4:8" ht="12.75" customHeight="1" x14ac:dyDescent="0.25">
      <c r="D324" s="301" t="s">
        <v>1123</v>
      </c>
      <c r="E324" s="301" t="s">
        <v>449</v>
      </c>
      <c r="F324" s="301" t="s">
        <v>1029</v>
      </c>
      <c r="G324" s="301" t="s">
        <v>1065</v>
      </c>
      <c r="H324" s="301" t="s">
        <v>1124</v>
      </c>
    </row>
    <row r="325" spans="4:8" ht="12.75" customHeight="1" x14ac:dyDescent="0.25">
      <c r="D325" s="301" t="s">
        <v>1125</v>
      </c>
      <c r="E325" s="301" t="s">
        <v>449</v>
      </c>
      <c r="F325" s="301" t="s">
        <v>1029</v>
      </c>
      <c r="G325" s="301" t="s">
        <v>1065</v>
      </c>
      <c r="H325" s="301" t="s">
        <v>1126</v>
      </c>
    </row>
    <row r="326" spans="4:8" ht="12.75" customHeight="1" x14ac:dyDescent="0.25">
      <c r="D326" s="301" t="s">
        <v>1127</v>
      </c>
      <c r="E326" s="301" t="s">
        <v>449</v>
      </c>
      <c r="F326" s="301" t="s">
        <v>1029</v>
      </c>
      <c r="G326" s="301" t="s">
        <v>1065</v>
      </c>
      <c r="H326" s="301" t="s">
        <v>1128</v>
      </c>
    </row>
    <row r="327" spans="4:8" ht="12.75" customHeight="1" x14ac:dyDescent="0.25">
      <c r="D327" s="301" t="s">
        <v>1129</v>
      </c>
      <c r="E327" s="301" t="s">
        <v>449</v>
      </c>
      <c r="F327" s="301" t="s">
        <v>1029</v>
      </c>
      <c r="G327" s="301" t="s">
        <v>1065</v>
      </c>
      <c r="H327" s="301" t="s">
        <v>1130</v>
      </c>
    </row>
    <row r="328" spans="4:8" ht="12.75" customHeight="1" x14ac:dyDescent="0.25">
      <c r="D328" s="301" t="s">
        <v>1131</v>
      </c>
      <c r="E328" s="301" t="s">
        <v>449</v>
      </c>
      <c r="F328" s="301" t="s">
        <v>1029</v>
      </c>
      <c r="G328" s="301" t="s">
        <v>1065</v>
      </c>
      <c r="H328" s="301" t="s">
        <v>1132</v>
      </c>
    </row>
    <row r="329" spans="4:8" ht="12.75" customHeight="1" x14ac:dyDescent="0.25">
      <c r="D329" s="301" t="s">
        <v>1133</v>
      </c>
      <c r="E329" s="301" t="s">
        <v>449</v>
      </c>
      <c r="F329" s="301" t="s">
        <v>1029</v>
      </c>
      <c r="G329" s="301" t="s">
        <v>1065</v>
      </c>
      <c r="H329" s="301" t="s">
        <v>1134</v>
      </c>
    </row>
    <row r="330" spans="4:8" ht="12.75" customHeight="1" x14ac:dyDescent="0.25">
      <c r="D330" s="301" t="s">
        <v>1135</v>
      </c>
      <c r="E330" s="301" t="s">
        <v>449</v>
      </c>
      <c r="F330" s="301" t="s">
        <v>1029</v>
      </c>
      <c r="G330" s="301" t="s">
        <v>1065</v>
      </c>
      <c r="H330" s="301" t="s">
        <v>1136</v>
      </c>
    </row>
    <row r="331" spans="4:8" ht="12.75" customHeight="1" x14ac:dyDescent="0.25">
      <c r="D331" s="301" t="s">
        <v>1137</v>
      </c>
      <c r="E331" s="301" t="s">
        <v>449</v>
      </c>
      <c r="F331" s="301" t="s">
        <v>1029</v>
      </c>
      <c r="G331" s="301" t="s">
        <v>1065</v>
      </c>
      <c r="H331" s="301" t="s">
        <v>1138</v>
      </c>
    </row>
    <row r="332" spans="4:8" ht="12.75" customHeight="1" x14ac:dyDescent="0.25">
      <c r="D332" s="301" t="s">
        <v>1139</v>
      </c>
      <c r="E332" s="301" t="s">
        <v>449</v>
      </c>
      <c r="F332" s="301" t="s">
        <v>1029</v>
      </c>
      <c r="G332" s="301" t="s">
        <v>1065</v>
      </c>
      <c r="H332" s="301" t="s">
        <v>1140</v>
      </c>
    </row>
    <row r="333" spans="4:8" ht="12.75" customHeight="1" x14ac:dyDescent="0.25">
      <c r="D333" s="301" t="s">
        <v>1141</v>
      </c>
      <c r="E333" s="301" t="s">
        <v>449</v>
      </c>
      <c r="F333" s="301" t="s">
        <v>1029</v>
      </c>
      <c r="G333" s="301" t="s">
        <v>1065</v>
      </c>
      <c r="H333" s="301" t="s">
        <v>1142</v>
      </c>
    </row>
    <row r="334" spans="4:8" ht="12.75" customHeight="1" x14ac:dyDescent="0.25">
      <c r="D334" s="301" t="s">
        <v>1143</v>
      </c>
      <c r="E334" s="301" t="s">
        <v>449</v>
      </c>
      <c r="F334" s="301" t="s">
        <v>1029</v>
      </c>
      <c r="G334" s="301" t="s">
        <v>1065</v>
      </c>
      <c r="H334" s="301" t="s">
        <v>1144</v>
      </c>
    </row>
    <row r="335" spans="4:8" ht="12.75" customHeight="1" x14ac:dyDescent="0.25">
      <c r="D335" s="301" t="s">
        <v>1145</v>
      </c>
      <c r="E335" s="301" t="s">
        <v>449</v>
      </c>
      <c r="F335" s="301" t="s">
        <v>1029</v>
      </c>
      <c r="G335" s="301" t="s">
        <v>1065</v>
      </c>
      <c r="H335" s="301" t="s">
        <v>1146</v>
      </c>
    </row>
    <row r="336" spans="4:8" ht="12.75" customHeight="1" x14ac:dyDescent="0.25">
      <c r="D336" s="301" t="s">
        <v>1147</v>
      </c>
      <c r="E336" s="301" t="s">
        <v>449</v>
      </c>
      <c r="F336" s="301" t="s">
        <v>1029</v>
      </c>
      <c r="G336" s="301" t="s">
        <v>1065</v>
      </c>
      <c r="H336" s="301" t="s">
        <v>1148</v>
      </c>
    </row>
    <row r="337" spans="4:8" ht="12.75" customHeight="1" x14ac:dyDescent="0.25">
      <c r="D337" s="301" t="s">
        <v>1149</v>
      </c>
      <c r="E337" s="301" t="s">
        <v>449</v>
      </c>
      <c r="F337" s="301" t="s">
        <v>1029</v>
      </c>
      <c r="G337" s="301" t="s">
        <v>1065</v>
      </c>
      <c r="H337" s="301" t="s">
        <v>1150</v>
      </c>
    </row>
    <row r="338" spans="4:8" ht="12.75" customHeight="1" x14ac:dyDescent="0.25">
      <c r="D338" s="301" t="s">
        <v>1151</v>
      </c>
      <c r="E338" s="301" t="s">
        <v>449</v>
      </c>
      <c r="F338" s="301" t="s">
        <v>1029</v>
      </c>
      <c r="G338" s="301" t="s">
        <v>1065</v>
      </c>
      <c r="H338" s="301" t="s">
        <v>1152</v>
      </c>
    </row>
    <row r="339" spans="4:8" ht="12.75" customHeight="1" x14ac:dyDescent="0.25">
      <c r="D339" s="301" t="s">
        <v>1153</v>
      </c>
      <c r="E339" s="301" t="s">
        <v>449</v>
      </c>
      <c r="F339" s="301" t="s">
        <v>1029</v>
      </c>
      <c r="G339" s="301" t="s">
        <v>1065</v>
      </c>
      <c r="H339" s="301" t="s">
        <v>1154</v>
      </c>
    </row>
    <row r="340" spans="4:8" ht="12.75" customHeight="1" x14ac:dyDescent="0.25">
      <c r="D340" s="301" t="s">
        <v>1155</v>
      </c>
      <c r="E340" s="301" t="s">
        <v>449</v>
      </c>
      <c r="F340" s="301" t="s">
        <v>1029</v>
      </c>
      <c r="G340" s="301" t="s">
        <v>1065</v>
      </c>
      <c r="H340" s="301" t="s">
        <v>1156</v>
      </c>
    </row>
    <row r="341" spans="4:8" ht="12.75" customHeight="1" x14ac:dyDescent="0.25">
      <c r="D341" s="301" t="s">
        <v>1157</v>
      </c>
      <c r="E341" s="301" t="s">
        <v>449</v>
      </c>
      <c r="F341" s="301" t="s">
        <v>1029</v>
      </c>
      <c r="G341" s="301" t="s">
        <v>1065</v>
      </c>
      <c r="H341" s="301" t="s">
        <v>1158</v>
      </c>
    </row>
    <row r="342" spans="4:8" ht="12.75" customHeight="1" x14ac:dyDescent="0.25">
      <c r="D342" s="301" t="s">
        <v>1159</v>
      </c>
      <c r="E342" s="301" t="s">
        <v>449</v>
      </c>
      <c r="F342" s="301" t="s">
        <v>1029</v>
      </c>
      <c r="G342" s="301" t="s">
        <v>1065</v>
      </c>
      <c r="H342" s="301" t="s">
        <v>1160</v>
      </c>
    </row>
    <row r="343" spans="4:8" ht="12.75" customHeight="1" x14ac:dyDescent="0.25">
      <c r="D343" s="301" t="s">
        <v>1161</v>
      </c>
      <c r="E343" s="301" t="s">
        <v>449</v>
      </c>
      <c r="F343" s="301" t="s">
        <v>1029</v>
      </c>
      <c r="G343" s="301" t="s">
        <v>1065</v>
      </c>
      <c r="H343" s="301" t="s">
        <v>1162</v>
      </c>
    </row>
    <row r="344" spans="4:8" ht="12.75" customHeight="1" x14ac:dyDescent="0.25">
      <c r="D344" s="301" t="s">
        <v>1163</v>
      </c>
      <c r="E344" s="301" t="s">
        <v>449</v>
      </c>
      <c r="F344" s="301" t="s">
        <v>1029</v>
      </c>
      <c r="G344" s="301" t="s">
        <v>1065</v>
      </c>
      <c r="H344" s="301" t="s">
        <v>1164</v>
      </c>
    </row>
    <row r="345" spans="4:8" ht="12.75" customHeight="1" x14ac:dyDescent="0.25">
      <c r="D345" s="301" t="s">
        <v>1165</v>
      </c>
      <c r="E345" s="301" t="s">
        <v>449</v>
      </c>
      <c r="F345" s="301" t="s">
        <v>1029</v>
      </c>
      <c r="G345" s="301" t="s">
        <v>1065</v>
      </c>
      <c r="H345" s="301" t="s">
        <v>1166</v>
      </c>
    </row>
    <row r="346" spans="4:8" ht="12.75" customHeight="1" x14ac:dyDescent="0.25">
      <c r="D346" s="301" t="s">
        <v>1167</v>
      </c>
      <c r="E346" s="301" t="s">
        <v>449</v>
      </c>
      <c r="F346" s="301" t="s">
        <v>1029</v>
      </c>
      <c r="G346" s="301" t="s">
        <v>1065</v>
      </c>
      <c r="H346" s="301" t="s">
        <v>1168</v>
      </c>
    </row>
    <row r="347" spans="4:8" ht="12.75" customHeight="1" x14ac:dyDescent="0.25">
      <c r="D347" s="301" t="s">
        <v>1169</v>
      </c>
      <c r="E347" s="301" t="s">
        <v>449</v>
      </c>
      <c r="F347" s="301" t="s">
        <v>1029</v>
      </c>
      <c r="G347" s="301" t="s">
        <v>1065</v>
      </c>
      <c r="H347" s="301" t="s">
        <v>1170</v>
      </c>
    </row>
    <row r="348" spans="4:8" ht="12.75" customHeight="1" x14ac:dyDescent="0.25">
      <c r="D348" s="301" t="s">
        <v>1171</v>
      </c>
      <c r="E348" s="301" t="s">
        <v>449</v>
      </c>
      <c r="F348" s="301" t="s">
        <v>1029</v>
      </c>
      <c r="G348" s="301" t="s">
        <v>1065</v>
      </c>
      <c r="H348" s="301" t="s">
        <v>1172</v>
      </c>
    </row>
    <row r="349" spans="4:8" ht="12.75" customHeight="1" x14ac:dyDescent="0.25">
      <c r="D349" s="301" t="s">
        <v>1173</v>
      </c>
      <c r="E349" s="301" t="s">
        <v>449</v>
      </c>
      <c r="F349" s="301" t="s">
        <v>1029</v>
      </c>
      <c r="G349" s="301" t="s">
        <v>1065</v>
      </c>
      <c r="H349" s="301" t="s">
        <v>1174</v>
      </c>
    </row>
    <row r="350" spans="4:8" ht="12.75" customHeight="1" x14ac:dyDescent="0.25">
      <c r="D350" s="301" t="s">
        <v>1175</v>
      </c>
      <c r="E350" s="301" t="s">
        <v>449</v>
      </c>
      <c r="F350" s="301" t="s">
        <v>1029</v>
      </c>
      <c r="G350" s="301" t="s">
        <v>1065</v>
      </c>
      <c r="H350" s="301" t="s">
        <v>1176</v>
      </c>
    </row>
    <row r="351" spans="4:8" ht="12.75" customHeight="1" x14ac:dyDescent="0.25">
      <c r="D351" s="301" t="s">
        <v>1177</v>
      </c>
      <c r="E351" s="301" t="s">
        <v>449</v>
      </c>
      <c r="F351" s="301" t="s">
        <v>1029</v>
      </c>
      <c r="G351" s="301" t="s">
        <v>1065</v>
      </c>
      <c r="H351" s="301" t="s">
        <v>1178</v>
      </c>
    </row>
    <row r="352" spans="4:8" ht="12.75" customHeight="1" x14ac:dyDescent="0.25">
      <c r="D352" s="301" t="s">
        <v>1179</v>
      </c>
      <c r="E352" s="301" t="s">
        <v>449</v>
      </c>
      <c r="F352" s="301" t="s">
        <v>1029</v>
      </c>
      <c r="G352" s="301" t="s">
        <v>1065</v>
      </c>
      <c r="H352" s="301" t="s">
        <v>1180</v>
      </c>
    </row>
    <row r="353" spans="4:8" ht="12.75" customHeight="1" x14ac:dyDescent="0.25">
      <c r="D353" s="301" t="s">
        <v>1181</v>
      </c>
      <c r="E353" s="301" t="s">
        <v>449</v>
      </c>
      <c r="F353" s="301" t="s">
        <v>1029</v>
      </c>
      <c r="G353" s="301" t="s">
        <v>1065</v>
      </c>
      <c r="H353" s="301" t="s">
        <v>1182</v>
      </c>
    </row>
    <row r="354" spans="4:8" ht="12.75" customHeight="1" x14ac:dyDescent="0.25">
      <c r="D354" s="301" t="s">
        <v>1183</v>
      </c>
      <c r="E354" s="301" t="s">
        <v>449</v>
      </c>
      <c r="F354" s="301" t="s">
        <v>1029</v>
      </c>
      <c r="G354" s="301" t="s">
        <v>1065</v>
      </c>
      <c r="H354" s="301" t="s">
        <v>1184</v>
      </c>
    </row>
    <row r="355" spans="4:8" ht="12.75" customHeight="1" x14ac:dyDescent="0.25">
      <c r="D355" s="301" t="s">
        <v>1185</v>
      </c>
      <c r="E355" s="301" t="s">
        <v>449</v>
      </c>
      <c r="F355" s="301" t="s">
        <v>1029</v>
      </c>
      <c r="G355" s="301" t="s">
        <v>1065</v>
      </c>
      <c r="H355" s="301" t="s">
        <v>1186</v>
      </c>
    </row>
    <row r="356" spans="4:8" ht="12.75" customHeight="1" x14ac:dyDescent="0.25">
      <c r="D356" s="301" t="s">
        <v>1187</v>
      </c>
      <c r="E356" s="301" t="s">
        <v>449</v>
      </c>
      <c r="F356" s="301" t="s">
        <v>607</v>
      </c>
      <c r="G356" s="301" t="s">
        <v>1188</v>
      </c>
      <c r="H356" s="301" t="s">
        <v>1189</v>
      </c>
    </row>
    <row r="357" spans="4:8" ht="12.75" customHeight="1" x14ac:dyDescent="0.25">
      <c r="D357" s="301" t="s">
        <v>1190</v>
      </c>
      <c r="E357" s="301" t="s">
        <v>425</v>
      </c>
      <c r="F357" s="301" t="s">
        <v>426</v>
      </c>
      <c r="G357" s="301" t="s">
        <v>1191</v>
      </c>
      <c r="H357" s="301" t="s">
        <v>1192</v>
      </c>
    </row>
    <row r="358" spans="4:8" ht="12.75" customHeight="1" x14ac:dyDescent="0.25">
      <c r="D358" s="301" t="s">
        <v>1193</v>
      </c>
      <c r="E358" s="301" t="s">
        <v>432</v>
      </c>
      <c r="F358" s="301" t="s">
        <v>479</v>
      </c>
      <c r="G358" s="301" t="s">
        <v>480</v>
      </c>
      <c r="H358" s="301" t="s">
        <v>1194</v>
      </c>
    </row>
    <row r="359" spans="4:8" ht="12.75" customHeight="1" x14ac:dyDescent="0.25">
      <c r="D359" s="306" t="s">
        <v>1195</v>
      </c>
      <c r="E359" s="306" t="s">
        <v>458</v>
      </c>
      <c r="F359" s="306" t="s">
        <v>660</v>
      </c>
      <c r="G359" s="306" t="s">
        <v>661</v>
      </c>
      <c r="H359" s="306" t="s">
        <v>1196</v>
      </c>
    </row>
    <row r="360" spans="4:8" ht="12.75" customHeight="1" x14ac:dyDescent="0.25">
      <c r="D360" s="301" t="s">
        <v>1197</v>
      </c>
      <c r="E360" s="301" t="s">
        <v>443</v>
      </c>
      <c r="F360" s="301" t="s">
        <v>444</v>
      </c>
      <c r="G360" s="301" t="s">
        <v>1198</v>
      </c>
      <c r="H360" s="301" t="s">
        <v>1199</v>
      </c>
    </row>
    <row r="361" spans="4:8" ht="12.75" customHeight="1" x14ac:dyDescent="0.25">
      <c r="D361" s="301" t="s">
        <v>1200</v>
      </c>
      <c r="E361" s="301" t="s">
        <v>425</v>
      </c>
      <c r="F361" s="301" t="s">
        <v>573</v>
      </c>
      <c r="G361" s="301" t="s">
        <v>574</v>
      </c>
      <c r="H361" s="301" t="s">
        <v>1201</v>
      </c>
    </row>
    <row r="362" spans="4:8" ht="12.75" customHeight="1" x14ac:dyDescent="0.25">
      <c r="D362" s="301" t="s">
        <v>1202</v>
      </c>
      <c r="E362" s="301" t="s">
        <v>425</v>
      </c>
      <c r="F362" s="301" t="s">
        <v>573</v>
      </c>
      <c r="G362" s="301" t="s">
        <v>574</v>
      </c>
      <c r="H362" s="301" t="s">
        <v>1203</v>
      </c>
    </row>
    <row r="363" spans="4:8" ht="12.75" customHeight="1" x14ac:dyDescent="0.25">
      <c r="D363" s="301" t="s">
        <v>1204</v>
      </c>
      <c r="E363" s="301" t="s">
        <v>425</v>
      </c>
      <c r="F363" s="301" t="s">
        <v>573</v>
      </c>
      <c r="G363" s="301" t="s">
        <v>1205</v>
      </c>
      <c r="H363" s="301" t="s">
        <v>1206</v>
      </c>
    </row>
    <row r="364" spans="4:8" ht="12.75" customHeight="1" x14ac:dyDescent="0.25">
      <c r="D364" s="301" t="s">
        <v>1207</v>
      </c>
      <c r="E364" s="301" t="s">
        <v>425</v>
      </c>
      <c r="F364" s="301" t="s">
        <v>426</v>
      </c>
      <c r="G364" s="301" t="s">
        <v>427</v>
      </c>
      <c r="H364" s="301" t="s">
        <v>1208</v>
      </c>
    </row>
    <row r="365" spans="4:8" ht="12.75" customHeight="1" x14ac:dyDescent="0.25">
      <c r="D365" s="301" t="s">
        <v>1209</v>
      </c>
      <c r="E365" s="301" t="s">
        <v>425</v>
      </c>
      <c r="F365" s="301" t="s">
        <v>426</v>
      </c>
      <c r="G365" s="301" t="s">
        <v>1210</v>
      </c>
      <c r="H365" s="301" t="s">
        <v>1211</v>
      </c>
    </row>
    <row r="366" spans="4:8" ht="12.75" customHeight="1" x14ac:dyDescent="0.25">
      <c r="D366" s="301" t="s">
        <v>1212</v>
      </c>
      <c r="E366" s="301" t="s">
        <v>425</v>
      </c>
      <c r="F366" s="301" t="s">
        <v>573</v>
      </c>
      <c r="G366" s="308" t="s">
        <v>1213</v>
      </c>
      <c r="H366" s="301" t="s">
        <v>1214</v>
      </c>
    </row>
    <row r="367" spans="4:8" ht="12.75" customHeight="1" x14ac:dyDescent="0.25">
      <c r="D367" s="301" t="s">
        <v>1215</v>
      </c>
      <c r="E367" s="301" t="s">
        <v>425</v>
      </c>
      <c r="F367" s="301" t="s">
        <v>573</v>
      </c>
      <c r="G367" s="301" t="s">
        <v>1216</v>
      </c>
      <c r="H367" s="301" t="s">
        <v>1217</v>
      </c>
    </row>
    <row r="368" spans="4:8" ht="12.75" customHeight="1" x14ac:dyDescent="0.25">
      <c r="D368" s="301" t="s">
        <v>1218</v>
      </c>
      <c r="E368" s="301" t="s">
        <v>432</v>
      </c>
      <c r="F368" s="301" t="s">
        <v>433</v>
      </c>
      <c r="G368" s="301" t="s">
        <v>487</v>
      </c>
      <c r="H368" s="301" t="s">
        <v>1219</v>
      </c>
    </row>
    <row r="369" spans="4:8" ht="12.75" customHeight="1" x14ac:dyDescent="0.25">
      <c r="D369" s="301" t="s">
        <v>1220</v>
      </c>
      <c r="E369" s="301" t="s">
        <v>425</v>
      </c>
      <c r="F369" s="301" t="s">
        <v>426</v>
      </c>
      <c r="G369" s="301" t="s">
        <v>427</v>
      </c>
      <c r="H369" s="301" t="s">
        <v>1221</v>
      </c>
    </row>
    <row r="370" spans="4:8" ht="12.75" customHeight="1" x14ac:dyDescent="0.25">
      <c r="D370" s="301" t="s">
        <v>1222</v>
      </c>
      <c r="E370" s="301" t="s">
        <v>425</v>
      </c>
      <c r="F370" s="301" t="s">
        <v>573</v>
      </c>
      <c r="G370" s="301" t="s">
        <v>1223</v>
      </c>
      <c r="H370" s="301" t="s">
        <v>1224</v>
      </c>
    </row>
    <row r="371" spans="4:8" ht="12.75" customHeight="1" x14ac:dyDescent="0.25">
      <c r="D371" s="301" t="s">
        <v>1225</v>
      </c>
      <c r="E371" s="301" t="s">
        <v>461</v>
      </c>
      <c r="F371" s="301" t="s">
        <v>461</v>
      </c>
      <c r="G371" s="301" t="s">
        <v>461</v>
      </c>
      <c r="H371" s="301" t="s">
        <v>1226</v>
      </c>
    </row>
    <row r="372" spans="4:8" ht="12.75" customHeight="1" x14ac:dyDescent="0.25">
      <c r="D372" s="301" t="s">
        <v>1227</v>
      </c>
      <c r="E372" s="301" t="s">
        <v>461</v>
      </c>
      <c r="F372" s="301" t="s">
        <v>461</v>
      </c>
      <c r="G372" s="301" t="s">
        <v>461</v>
      </c>
      <c r="H372" s="301" t="s">
        <v>1228</v>
      </c>
    </row>
    <row r="373" spans="4:8" ht="12.75" customHeight="1" x14ac:dyDescent="0.25">
      <c r="D373" s="301" t="s">
        <v>1229</v>
      </c>
      <c r="E373" s="301" t="s">
        <v>443</v>
      </c>
      <c r="F373" s="301" t="s">
        <v>444</v>
      </c>
      <c r="G373" s="301" t="s">
        <v>445</v>
      </c>
      <c r="H373" s="301" t="s">
        <v>1230</v>
      </c>
    </row>
    <row r="374" spans="4:8" ht="12.75" customHeight="1" x14ac:dyDescent="0.25">
      <c r="D374" s="301" t="s">
        <v>1231</v>
      </c>
      <c r="E374" s="301" t="s">
        <v>452</v>
      </c>
      <c r="F374" s="301" t="s">
        <v>693</v>
      </c>
      <c r="G374" s="301" t="s">
        <v>501</v>
      </c>
      <c r="H374" s="301" t="s">
        <v>1232</v>
      </c>
    </row>
    <row r="375" spans="4:8" ht="12.75" customHeight="1" x14ac:dyDescent="0.25">
      <c r="D375" s="301" t="s">
        <v>1233</v>
      </c>
      <c r="E375" s="301" t="s">
        <v>432</v>
      </c>
      <c r="F375" s="301" t="s">
        <v>433</v>
      </c>
      <c r="G375" s="301" t="s">
        <v>434</v>
      </c>
      <c r="H375" s="301" t="s">
        <v>1234</v>
      </c>
    </row>
    <row r="376" spans="4:8" ht="12.75" customHeight="1" x14ac:dyDescent="0.25">
      <c r="D376" s="301" t="s">
        <v>1235</v>
      </c>
      <c r="E376" s="301" t="s">
        <v>452</v>
      </c>
      <c r="F376" s="301" t="s">
        <v>693</v>
      </c>
      <c r="G376" s="301" t="s">
        <v>501</v>
      </c>
      <c r="H376" s="301" t="s">
        <v>1236</v>
      </c>
    </row>
    <row r="377" spans="4:8" ht="12.75" customHeight="1" x14ac:dyDescent="0.25">
      <c r="D377" s="301" t="s">
        <v>1237</v>
      </c>
      <c r="E377" s="301" t="s">
        <v>425</v>
      </c>
      <c r="F377" s="301" t="s">
        <v>1238</v>
      </c>
      <c r="G377" s="301" t="s">
        <v>1239</v>
      </c>
      <c r="H377" s="301" t="s">
        <v>1240</v>
      </c>
    </row>
    <row r="378" spans="4:8" ht="12.75" customHeight="1" x14ac:dyDescent="0.25">
      <c r="D378" s="301" t="s">
        <v>1241</v>
      </c>
      <c r="E378" s="301" t="s">
        <v>425</v>
      </c>
      <c r="F378" s="301" t="s">
        <v>1238</v>
      </c>
      <c r="G378" s="301" t="s">
        <v>1239</v>
      </c>
      <c r="H378" s="301" t="s">
        <v>1242</v>
      </c>
    </row>
    <row r="379" spans="4:8" ht="12.75" customHeight="1" x14ac:dyDescent="0.25">
      <c r="D379" s="301" t="s">
        <v>1243</v>
      </c>
      <c r="E379" s="301" t="s">
        <v>425</v>
      </c>
      <c r="F379" s="301" t="s">
        <v>1244</v>
      </c>
      <c r="G379" s="301" t="s">
        <v>1245</v>
      </c>
      <c r="H379" s="301" t="s">
        <v>1246</v>
      </c>
    </row>
    <row r="380" spans="4:8" ht="12.75" customHeight="1" x14ac:dyDescent="0.25">
      <c r="D380" s="301" t="s">
        <v>1247</v>
      </c>
      <c r="E380" s="301" t="s">
        <v>425</v>
      </c>
      <c r="F380" s="301" t="s">
        <v>573</v>
      </c>
      <c r="G380" s="301" t="s">
        <v>1248</v>
      </c>
      <c r="H380" s="301" t="s">
        <v>1249</v>
      </c>
    </row>
    <row r="381" spans="4:8" ht="12.75" customHeight="1" x14ac:dyDescent="0.25">
      <c r="D381" s="301" t="s">
        <v>1250</v>
      </c>
      <c r="E381" s="301" t="s">
        <v>425</v>
      </c>
      <c r="F381" s="301" t="s">
        <v>573</v>
      </c>
      <c r="G381" s="301" t="s">
        <v>1251</v>
      </c>
      <c r="H381" s="301" t="s">
        <v>1252</v>
      </c>
    </row>
    <row r="382" spans="4:8" ht="12.75" customHeight="1" x14ac:dyDescent="0.25">
      <c r="D382" s="301" t="s">
        <v>1253</v>
      </c>
      <c r="E382" s="301" t="s">
        <v>425</v>
      </c>
      <c r="F382" s="301" t="s">
        <v>573</v>
      </c>
      <c r="G382" s="308" t="s">
        <v>1254</v>
      </c>
      <c r="H382" s="301" t="s">
        <v>1255</v>
      </c>
    </row>
    <row r="383" spans="4:8" ht="12.75" customHeight="1" x14ac:dyDescent="0.25">
      <c r="D383" s="301" t="s">
        <v>1256</v>
      </c>
      <c r="E383" s="301" t="s">
        <v>425</v>
      </c>
      <c r="F383" s="301" t="s">
        <v>573</v>
      </c>
      <c r="G383" s="308" t="s">
        <v>1213</v>
      </c>
      <c r="H383" s="301" t="s">
        <v>1257</v>
      </c>
    </row>
    <row r="384" spans="4:8" ht="12.75" customHeight="1" x14ac:dyDescent="0.25">
      <c r="D384" s="301" t="s">
        <v>1258</v>
      </c>
      <c r="E384" s="301" t="s">
        <v>425</v>
      </c>
      <c r="F384" s="301" t="s">
        <v>573</v>
      </c>
      <c r="G384" s="301" t="s">
        <v>574</v>
      </c>
      <c r="H384" s="301" t="s">
        <v>1259</v>
      </c>
    </row>
    <row r="385" spans="4:8" ht="12.75" customHeight="1" x14ac:dyDescent="0.25">
      <c r="D385" s="301" t="s">
        <v>1260</v>
      </c>
      <c r="E385" s="301" t="s">
        <v>425</v>
      </c>
      <c r="F385" s="301" t="s">
        <v>573</v>
      </c>
      <c r="G385" s="308" t="s">
        <v>1213</v>
      </c>
      <c r="H385" s="301" t="s">
        <v>1261</v>
      </c>
    </row>
    <row r="386" spans="4:8" ht="12.75" customHeight="1" x14ac:dyDescent="0.25">
      <c r="D386" s="301" t="s">
        <v>1262</v>
      </c>
      <c r="E386" s="301" t="s">
        <v>425</v>
      </c>
      <c r="F386" s="301" t="s">
        <v>573</v>
      </c>
      <c r="G386" s="301" t="s">
        <v>574</v>
      </c>
      <c r="H386" s="301" t="s">
        <v>1263</v>
      </c>
    </row>
    <row r="387" spans="4:8" ht="12.75" customHeight="1" x14ac:dyDescent="0.25">
      <c r="D387" s="301" t="s">
        <v>1264</v>
      </c>
      <c r="E387" s="301" t="s">
        <v>425</v>
      </c>
      <c r="F387" s="301" t="s">
        <v>573</v>
      </c>
      <c r="G387" s="301" t="s">
        <v>574</v>
      </c>
      <c r="H387" s="301" t="s">
        <v>1265</v>
      </c>
    </row>
    <row r="388" spans="4:8" ht="12.75" customHeight="1" x14ac:dyDescent="0.25">
      <c r="D388" s="301" t="s">
        <v>1266</v>
      </c>
      <c r="E388" s="301" t="s">
        <v>425</v>
      </c>
      <c r="F388" s="301" t="s">
        <v>573</v>
      </c>
      <c r="G388" s="301" t="s">
        <v>577</v>
      </c>
      <c r="H388" s="301" t="s">
        <v>1267</v>
      </c>
    </row>
    <row r="389" spans="4:8" ht="12.75" customHeight="1" x14ac:dyDescent="0.25">
      <c r="D389" s="301" t="s">
        <v>1268</v>
      </c>
      <c r="E389" s="301" t="s">
        <v>464</v>
      </c>
      <c r="F389" s="301" t="s">
        <v>464</v>
      </c>
      <c r="G389" s="301" t="s">
        <v>464</v>
      </c>
      <c r="H389" s="301" t="s">
        <v>1269</v>
      </c>
    </row>
    <row r="390" spans="4:8" ht="12.75" customHeight="1" x14ac:dyDescent="0.25">
      <c r="D390" s="301" t="s">
        <v>1270</v>
      </c>
      <c r="E390" s="301" t="s">
        <v>464</v>
      </c>
      <c r="F390" s="301" t="s">
        <v>464</v>
      </c>
      <c r="G390" s="301" t="s">
        <v>464</v>
      </c>
      <c r="H390" s="301" t="s">
        <v>1271</v>
      </c>
    </row>
    <row r="391" spans="4:8" ht="12.75" customHeight="1" x14ac:dyDescent="0.25">
      <c r="D391" s="301" t="s">
        <v>1272</v>
      </c>
      <c r="E391" s="301" t="s">
        <v>464</v>
      </c>
      <c r="F391" s="301" t="s">
        <v>464</v>
      </c>
      <c r="G391" s="301" t="s">
        <v>464</v>
      </c>
      <c r="H391" s="301" t="s">
        <v>1273</v>
      </c>
    </row>
    <row r="392" spans="4:8" ht="12.75" customHeight="1" x14ac:dyDescent="0.25">
      <c r="D392" s="301" t="s">
        <v>1274</v>
      </c>
      <c r="E392" s="301" t="s">
        <v>464</v>
      </c>
      <c r="F392" s="301" t="s">
        <v>464</v>
      </c>
      <c r="G392" s="301" t="s">
        <v>464</v>
      </c>
      <c r="H392" s="301" t="s">
        <v>1275</v>
      </c>
    </row>
    <row r="393" spans="4:8" ht="12.75" customHeight="1" x14ac:dyDescent="0.25">
      <c r="D393" s="301" t="s">
        <v>1276</v>
      </c>
      <c r="E393" s="301" t="s">
        <v>432</v>
      </c>
      <c r="F393" s="301" t="s">
        <v>479</v>
      </c>
      <c r="G393" s="301" t="s">
        <v>480</v>
      </c>
      <c r="H393" s="301" t="s">
        <v>1277</v>
      </c>
    </row>
    <row r="394" spans="4:8" ht="12.75" customHeight="1" x14ac:dyDescent="0.25">
      <c r="D394" s="301" t="s">
        <v>1278</v>
      </c>
      <c r="E394" s="301" t="s">
        <v>437</v>
      </c>
      <c r="F394" s="301" t="s">
        <v>1279</v>
      </c>
      <c r="G394" s="301" t="s">
        <v>1280</v>
      </c>
      <c r="H394" s="301" t="s">
        <v>1281</v>
      </c>
    </row>
    <row r="395" spans="4:8" ht="12.75" customHeight="1" x14ac:dyDescent="0.25">
      <c r="D395" s="301" t="s">
        <v>1282</v>
      </c>
      <c r="E395" s="301" t="s">
        <v>443</v>
      </c>
      <c r="F395" s="301" t="s">
        <v>444</v>
      </c>
      <c r="G395" s="301" t="s">
        <v>445</v>
      </c>
      <c r="H395" s="301" t="s">
        <v>1283</v>
      </c>
    </row>
    <row r="396" spans="4:8" ht="12.75" customHeight="1" x14ac:dyDescent="0.25">
      <c r="D396" s="301" t="s">
        <v>1284</v>
      </c>
      <c r="E396" s="301" t="s">
        <v>437</v>
      </c>
      <c r="F396" s="301" t="s">
        <v>1279</v>
      </c>
      <c r="G396" s="301" t="s">
        <v>1280</v>
      </c>
      <c r="H396" s="301" t="s">
        <v>1285</v>
      </c>
    </row>
    <row r="397" spans="4:8" ht="12.75" customHeight="1" x14ac:dyDescent="0.25">
      <c r="D397" s="301" t="s">
        <v>1286</v>
      </c>
      <c r="E397" s="301" t="s">
        <v>443</v>
      </c>
      <c r="F397" s="301" t="s">
        <v>444</v>
      </c>
      <c r="G397" s="301" t="s">
        <v>445</v>
      </c>
      <c r="H397" s="301" t="s">
        <v>1287</v>
      </c>
    </row>
    <row r="398" spans="4:8" ht="12.75" customHeight="1" x14ac:dyDescent="0.25">
      <c r="D398" s="301" t="s">
        <v>1288</v>
      </c>
      <c r="E398" s="301" t="s">
        <v>425</v>
      </c>
      <c r="F398" s="301" t="s">
        <v>1238</v>
      </c>
      <c r="G398" s="301" t="s">
        <v>1239</v>
      </c>
      <c r="H398" s="301" t="s">
        <v>1289</v>
      </c>
    </row>
    <row r="399" spans="4:8" ht="12.75" customHeight="1" x14ac:dyDescent="0.25">
      <c r="D399" s="301" t="s">
        <v>1290</v>
      </c>
      <c r="E399" s="301" t="s">
        <v>432</v>
      </c>
      <c r="F399" s="301" t="s">
        <v>433</v>
      </c>
      <c r="G399" s="301" t="s">
        <v>1291</v>
      </c>
      <c r="H399" s="301" t="s">
        <v>1292</v>
      </c>
    </row>
    <row r="400" spans="4:8" ht="12.75" customHeight="1" x14ac:dyDescent="0.25">
      <c r="D400" s="301" t="s">
        <v>1293</v>
      </c>
      <c r="E400" s="301" t="s">
        <v>432</v>
      </c>
      <c r="F400" s="301" t="s">
        <v>433</v>
      </c>
      <c r="G400" s="301" t="s">
        <v>1291</v>
      </c>
      <c r="H400" s="301" t="s">
        <v>1294</v>
      </c>
    </row>
    <row r="401" spans="4:8" ht="12.75" customHeight="1" x14ac:dyDescent="0.25">
      <c r="D401" s="301" t="s">
        <v>1295</v>
      </c>
      <c r="E401" s="301" t="s">
        <v>432</v>
      </c>
      <c r="F401" s="301" t="s">
        <v>479</v>
      </c>
      <c r="G401" s="301" t="s">
        <v>480</v>
      </c>
      <c r="H401" s="301" t="s">
        <v>1296</v>
      </c>
    </row>
    <row r="402" spans="4:8" ht="12.75" customHeight="1" x14ac:dyDescent="0.25">
      <c r="D402" s="301" t="s">
        <v>1297</v>
      </c>
      <c r="E402" s="301" t="s">
        <v>432</v>
      </c>
      <c r="F402" s="301" t="s">
        <v>479</v>
      </c>
      <c r="G402" s="301" t="s">
        <v>480</v>
      </c>
      <c r="H402" s="301" t="s">
        <v>1298</v>
      </c>
    </row>
    <row r="403" spans="4:8" ht="12.75" customHeight="1" x14ac:dyDescent="0.25">
      <c r="D403" s="301" t="s">
        <v>1299</v>
      </c>
      <c r="E403" s="301" t="s">
        <v>432</v>
      </c>
      <c r="F403" s="301" t="s">
        <v>433</v>
      </c>
      <c r="G403" s="301" t="s">
        <v>434</v>
      </c>
      <c r="H403" s="301" t="s">
        <v>1300</v>
      </c>
    </row>
    <row r="404" spans="4:8" ht="12.75" customHeight="1" x14ac:dyDescent="0.25">
      <c r="D404" s="301" t="s">
        <v>1301</v>
      </c>
      <c r="E404" s="301" t="s">
        <v>464</v>
      </c>
      <c r="F404" s="301" t="s">
        <v>464</v>
      </c>
      <c r="G404" s="301" t="s">
        <v>464</v>
      </c>
      <c r="H404" s="301" t="s">
        <v>1302</v>
      </c>
    </row>
    <row r="405" spans="4:8" ht="12.75" customHeight="1" x14ac:dyDescent="0.25">
      <c r="D405" s="301" t="s">
        <v>1303</v>
      </c>
      <c r="E405" s="301" t="s">
        <v>432</v>
      </c>
      <c r="F405" s="301" t="s">
        <v>479</v>
      </c>
      <c r="G405" s="301" t="s">
        <v>480</v>
      </c>
      <c r="H405" s="301" t="s">
        <v>1304</v>
      </c>
    </row>
    <row r="406" spans="4:8" ht="12.75" customHeight="1" x14ac:dyDescent="0.25">
      <c r="D406" s="301" t="s">
        <v>1305</v>
      </c>
      <c r="E406" s="301" t="s">
        <v>432</v>
      </c>
      <c r="F406" s="301" t="s">
        <v>433</v>
      </c>
      <c r="G406" s="301" t="s">
        <v>434</v>
      </c>
      <c r="H406" s="301" t="s">
        <v>1306</v>
      </c>
    </row>
    <row r="407" spans="4:8" ht="12.75" customHeight="1" x14ac:dyDescent="0.25">
      <c r="D407" s="301" t="s">
        <v>1307</v>
      </c>
      <c r="E407" s="301" t="s">
        <v>471</v>
      </c>
      <c r="F407" s="301" t="s">
        <v>471</v>
      </c>
      <c r="G407" s="301" t="s">
        <v>1308</v>
      </c>
      <c r="H407" s="301" t="s">
        <v>1309</v>
      </c>
    </row>
    <row r="408" spans="4:8" ht="12.75" customHeight="1" x14ac:dyDescent="0.25">
      <c r="D408" s="301" t="s">
        <v>1310</v>
      </c>
      <c r="E408" s="301" t="s">
        <v>443</v>
      </c>
      <c r="F408" s="301" t="s">
        <v>444</v>
      </c>
      <c r="G408" s="301" t="s">
        <v>445</v>
      </c>
      <c r="H408" s="301" t="s">
        <v>1311</v>
      </c>
    </row>
    <row r="409" spans="4:8" ht="12.75" customHeight="1" x14ac:dyDescent="0.25">
      <c r="D409" s="301" t="s">
        <v>1312</v>
      </c>
      <c r="E409" s="301" t="s">
        <v>449</v>
      </c>
      <c r="F409" s="301" t="s">
        <v>607</v>
      </c>
      <c r="G409" s="301" t="s">
        <v>1188</v>
      </c>
      <c r="H409" s="301" t="s">
        <v>1313</v>
      </c>
    </row>
    <row r="410" spans="4:8" ht="12.75" customHeight="1" x14ac:dyDescent="0.25">
      <c r="D410" s="301" t="s">
        <v>1314</v>
      </c>
      <c r="E410" s="301" t="s">
        <v>449</v>
      </c>
      <c r="F410" s="301" t="s">
        <v>607</v>
      </c>
      <c r="G410" s="301" t="s">
        <v>1188</v>
      </c>
      <c r="H410" s="307" t="s">
        <v>1315</v>
      </c>
    </row>
    <row r="411" spans="4:8" ht="12.75" customHeight="1" x14ac:dyDescent="0.25">
      <c r="D411" s="301" t="s">
        <v>1316</v>
      </c>
      <c r="E411" s="301" t="s">
        <v>449</v>
      </c>
      <c r="F411" s="301" t="s">
        <v>607</v>
      </c>
      <c r="G411" s="301" t="s">
        <v>1188</v>
      </c>
      <c r="H411" s="307" t="s">
        <v>1317</v>
      </c>
    </row>
    <row r="412" spans="4:8" ht="12.75" customHeight="1" x14ac:dyDescent="0.25">
      <c r="D412" s="301" t="s">
        <v>1318</v>
      </c>
      <c r="E412" s="301" t="s">
        <v>449</v>
      </c>
      <c r="F412" s="301" t="s">
        <v>607</v>
      </c>
      <c r="G412" s="301" t="s">
        <v>1188</v>
      </c>
      <c r="H412" s="301" t="s">
        <v>1319</v>
      </c>
    </row>
    <row r="413" spans="4:8" ht="12.75" customHeight="1" x14ac:dyDescent="0.25">
      <c r="D413" s="301" t="s">
        <v>1320</v>
      </c>
      <c r="E413" s="301" t="s">
        <v>471</v>
      </c>
      <c r="F413" s="301" t="s">
        <v>471</v>
      </c>
      <c r="G413" s="301" t="s">
        <v>1321</v>
      </c>
      <c r="H413" s="301" t="s">
        <v>1322</v>
      </c>
    </row>
    <row r="414" spans="4:8" ht="12.75" customHeight="1" x14ac:dyDescent="0.25">
      <c r="D414" s="301" t="s">
        <v>1323</v>
      </c>
      <c r="E414" s="301" t="s">
        <v>449</v>
      </c>
      <c r="F414" s="301" t="s">
        <v>607</v>
      </c>
      <c r="G414" s="301" t="s">
        <v>1188</v>
      </c>
      <c r="H414" s="301" t="s">
        <v>1324</v>
      </c>
    </row>
    <row r="415" spans="4:8" ht="12.75" customHeight="1" x14ac:dyDescent="0.25">
      <c r="D415" s="301" t="s">
        <v>1325</v>
      </c>
      <c r="E415" s="301" t="s">
        <v>449</v>
      </c>
      <c r="F415" s="301" t="s">
        <v>607</v>
      </c>
      <c r="G415" s="301" t="s">
        <v>1188</v>
      </c>
      <c r="H415" s="307" t="s">
        <v>1326</v>
      </c>
    </row>
    <row r="416" spans="4:8" ht="12.75" customHeight="1" x14ac:dyDescent="0.25">
      <c r="D416" s="301" t="s">
        <v>1327</v>
      </c>
      <c r="E416" s="301" t="s">
        <v>449</v>
      </c>
      <c r="F416" s="301" t="s">
        <v>607</v>
      </c>
      <c r="G416" s="301" t="s">
        <v>1188</v>
      </c>
      <c r="H416" s="307" t="s">
        <v>1328</v>
      </c>
    </row>
    <row r="417" spans="4:8" ht="12.75" customHeight="1" x14ac:dyDescent="0.25">
      <c r="D417" s="301" t="s">
        <v>1329</v>
      </c>
      <c r="E417" s="301" t="s">
        <v>449</v>
      </c>
      <c r="F417" s="301" t="s">
        <v>607</v>
      </c>
      <c r="G417" s="301" t="s">
        <v>1188</v>
      </c>
      <c r="H417" s="301" t="s">
        <v>1330</v>
      </c>
    </row>
    <row r="418" spans="4:8" ht="12.75" customHeight="1" x14ac:dyDescent="0.25">
      <c r="D418" s="301" t="s">
        <v>1308</v>
      </c>
      <c r="E418" s="301" t="s">
        <v>471</v>
      </c>
      <c r="F418" s="301" t="s">
        <v>471</v>
      </c>
      <c r="G418" s="301" t="s">
        <v>1308</v>
      </c>
      <c r="H418" s="301" t="s">
        <v>1331</v>
      </c>
    </row>
    <row r="419" spans="4:8" ht="12.75" customHeight="1" x14ac:dyDescent="0.25">
      <c r="D419" s="301" t="s">
        <v>1332</v>
      </c>
      <c r="E419" s="301" t="s">
        <v>443</v>
      </c>
      <c r="F419" s="301" t="s">
        <v>444</v>
      </c>
      <c r="G419" s="301" t="s">
        <v>445</v>
      </c>
      <c r="H419" s="301" t="s">
        <v>1333</v>
      </c>
    </row>
    <row r="420" spans="4:8" ht="12.75" customHeight="1" x14ac:dyDescent="0.25">
      <c r="D420" s="301" t="s">
        <v>1334</v>
      </c>
      <c r="E420" s="301" t="s">
        <v>449</v>
      </c>
      <c r="F420" s="301" t="s">
        <v>607</v>
      </c>
      <c r="G420" s="301" t="s">
        <v>1188</v>
      </c>
      <c r="H420" s="301" t="s">
        <v>1335</v>
      </c>
    </row>
    <row r="421" spans="4:8" ht="12.75" customHeight="1" x14ac:dyDescent="0.25">
      <c r="D421" s="301" t="s">
        <v>1336</v>
      </c>
      <c r="E421" s="301" t="s">
        <v>449</v>
      </c>
      <c r="F421" s="301" t="s">
        <v>607</v>
      </c>
      <c r="G421" s="301" t="s">
        <v>1188</v>
      </c>
      <c r="H421" s="307" t="s">
        <v>1337</v>
      </c>
    </row>
    <row r="422" spans="4:8" ht="12.75" customHeight="1" x14ac:dyDescent="0.25">
      <c r="D422" s="301" t="s">
        <v>1338</v>
      </c>
      <c r="E422" s="301" t="s">
        <v>471</v>
      </c>
      <c r="F422" s="301" t="s">
        <v>471</v>
      </c>
      <c r="G422" s="301" t="s">
        <v>1339</v>
      </c>
      <c r="H422" s="301" t="s">
        <v>1340</v>
      </c>
    </row>
    <row r="423" spans="4:8" ht="12.75" customHeight="1" x14ac:dyDescent="0.25">
      <c r="D423" s="301" t="s">
        <v>1341</v>
      </c>
      <c r="E423" s="301" t="s">
        <v>471</v>
      </c>
      <c r="F423" s="301" t="s">
        <v>471</v>
      </c>
      <c r="G423" s="301" t="s">
        <v>1339</v>
      </c>
      <c r="H423" s="301" t="s">
        <v>1342</v>
      </c>
    </row>
    <row r="424" spans="4:8" ht="12.75" customHeight="1" x14ac:dyDescent="0.25">
      <c r="D424" s="301" t="s">
        <v>1343</v>
      </c>
      <c r="E424" s="301" t="s">
        <v>471</v>
      </c>
      <c r="F424" s="301" t="s">
        <v>471</v>
      </c>
      <c r="G424" s="301" t="s">
        <v>1339</v>
      </c>
      <c r="H424" s="301" t="s">
        <v>1344</v>
      </c>
    </row>
    <row r="425" spans="4:8" ht="12.75" customHeight="1" x14ac:dyDescent="0.25">
      <c r="D425" s="301" t="s">
        <v>1345</v>
      </c>
      <c r="E425" s="301" t="s">
        <v>471</v>
      </c>
      <c r="F425" s="301" t="s">
        <v>471</v>
      </c>
      <c r="G425" s="301" t="s">
        <v>1321</v>
      </c>
      <c r="H425" s="301" t="s">
        <v>1346</v>
      </c>
    </row>
    <row r="426" spans="4:8" ht="12.75" customHeight="1" x14ac:dyDescent="0.25">
      <c r="D426" s="301" t="s">
        <v>1347</v>
      </c>
      <c r="E426" s="301" t="s">
        <v>471</v>
      </c>
      <c r="F426" s="301" t="s">
        <v>471</v>
      </c>
      <c r="G426" s="301" t="s">
        <v>1348</v>
      </c>
      <c r="H426" s="301" t="s">
        <v>1349</v>
      </c>
    </row>
    <row r="427" spans="4:8" ht="12.75" customHeight="1" x14ac:dyDescent="0.25">
      <c r="D427" s="301" t="s">
        <v>1350</v>
      </c>
      <c r="E427" s="301" t="s">
        <v>471</v>
      </c>
      <c r="F427" s="301" t="s">
        <v>471</v>
      </c>
      <c r="G427" s="301" t="s">
        <v>1351</v>
      </c>
      <c r="H427" s="301" t="s">
        <v>1352</v>
      </c>
    </row>
    <row r="428" spans="4:8" ht="12.75" customHeight="1" x14ac:dyDescent="0.25">
      <c r="D428" s="301" t="s">
        <v>1353</v>
      </c>
      <c r="E428" s="301" t="s">
        <v>471</v>
      </c>
      <c r="F428" s="301" t="s">
        <v>471</v>
      </c>
      <c r="G428" s="301" t="s">
        <v>1321</v>
      </c>
      <c r="H428" s="301" t="s">
        <v>1354</v>
      </c>
    </row>
    <row r="429" spans="4:8" ht="12.75" customHeight="1" x14ac:dyDescent="0.25">
      <c r="D429" s="301" t="s">
        <v>1355</v>
      </c>
      <c r="E429" s="301" t="s">
        <v>471</v>
      </c>
      <c r="F429" s="301" t="s">
        <v>471</v>
      </c>
      <c r="G429" s="301" t="s">
        <v>1351</v>
      </c>
      <c r="H429" s="301" t="s">
        <v>1356</v>
      </c>
    </row>
    <row r="430" spans="4:8" ht="12.75" customHeight="1" x14ac:dyDescent="0.25">
      <c r="D430" s="301" t="s">
        <v>1357</v>
      </c>
      <c r="E430" s="301" t="s">
        <v>471</v>
      </c>
      <c r="F430" s="301" t="s">
        <v>471</v>
      </c>
      <c r="G430" s="301" t="s">
        <v>1358</v>
      </c>
      <c r="H430" s="301" t="s">
        <v>1359</v>
      </c>
    </row>
    <row r="431" spans="4:8" ht="12.75" customHeight="1" x14ac:dyDescent="0.25">
      <c r="D431" s="301" t="s">
        <v>1360</v>
      </c>
      <c r="E431" s="301" t="s">
        <v>471</v>
      </c>
      <c r="F431" s="301" t="s">
        <v>471</v>
      </c>
      <c r="G431" s="301" t="s">
        <v>1351</v>
      </c>
      <c r="H431" s="301" t="s">
        <v>1361</v>
      </c>
    </row>
    <row r="432" spans="4:8" ht="12.75" customHeight="1" x14ac:dyDescent="0.25">
      <c r="D432" s="301" t="s">
        <v>1362</v>
      </c>
      <c r="E432" s="301" t="s">
        <v>471</v>
      </c>
      <c r="F432" s="301" t="s">
        <v>471</v>
      </c>
      <c r="G432" s="301" t="s">
        <v>1339</v>
      </c>
      <c r="H432" s="301" t="s">
        <v>1363</v>
      </c>
    </row>
    <row r="433" spans="4:8" ht="12.75" customHeight="1" x14ac:dyDescent="0.25">
      <c r="D433" s="301" t="s">
        <v>1364</v>
      </c>
      <c r="E433" s="301" t="s">
        <v>471</v>
      </c>
      <c r="F433" s="301" t="s">
        <v>471</v>
      </c>
      <c r="G433" s="301" t="s">
        <v>1321</v>
      </c>
      <c r="H433" s="301" t="s">
        <v>1365</v>
      </c>
    </row>
    <row r="434" spans="4:8" ht="12.75" customHeight="1" x14ac:dyDescent="0.25">
      <c r="D434" s="301" t="s">
        <v>1366</v>
      </c>
      <c r="E434" s="301" t="s">
        <v>471</v>
      </c>
      <c r="F434" s="301" t="s">
        <v>471</v>
      </c>
      <c r="G434" s="301" t="s">
        <v>1339</v>
      </c>
      <c r="H434" s="301" t="s">
        <v>1367</v>
      </c>
    </row>
    <row r="435" spans="4:8" ht="12.75" customHeight="1" x14ac:dyDescent="0.25">
      <c r="D435" s="301" t="s">
        <v>1368</v>
      </c>
      <c r="E435" s="301" t="s">
        <v>471</v>
      </c>
      <c r="F435" s="301" t="s">
        <v>471</v>
      </c>
      <c r="G435" s="301" t="s">
        <v>1321</v>
      </c>
      <c r="H435" s="301" t="s">
        <v>1369</v>
      </c>
    </row>
    <row r="436" spans="4:8" ht="12.75" customHeight="1" x14ac:dyDescent="0.25">
      <c r="D436" s="301" t="s">
        <v>1370</v>
      </c>
      <c r="E436" s="301" t="s">
        <v>425</v>
      </c>
      <c r="F436" s="301" t="s">
        <v>1371</v>
      </c>
      <c r="G436" s="301" t="s">
        <v>1371</v>
      </c>
      <c r="H436" s="301" t="s">
        <v>1372</v>
      </c>
    </row>
    <row r="437" spans="4:8" ht="12.75" customHeight="1" x14ac:dyDescent="0.25">
      <c r="D437" s="301" t="s">
        <v>1373</v>
      </c>
      <c r="E437" s="301" t="s">
        <v>425</v>
      </c>
      <c r="F437" s="301" t="s">
        <v>1374</v>
      </c>
      <c r="G437" s="301" t="s">
        <v>1375</v>
      </c>
      <c r="H437" s="301" t="s">
        <v>1376</v>
      </c>
    </row>
    <row r="438" spans="4:8" ht="12.75" customHeight="1" x14ac:dyDescent="0.25">
      <c r="D438" s="301" t="s">
        <v>1377</v>
      </c>
      <c r="E438" s="301" t="s">
        <v>425</v>
      </c>
      <c r="F438" s="301" t="s">
        <v>1244</v>
      </c>
      <c r="G438" s="301" t="s">
        <v>1245</v>
      </c>
      <c r="H438" s="301" t="s">
        <v>1378</v>
      </c>
    </row>
    <row r="439" spans="4:8" ht="12.75" customHeight="1" x14ac:dyDescent="0.25">
      <c r="D439" s="301" t="s">
        <v>1379</v>
      </c>
      <c r="E439" s="301" t="s">
        <v>425</v>
      </c>
      <c r="F439" s="301" t="s">
        <v>1380</v>
      </c>
      <c r="G439" s="301" t="s">
        <v>1381</v>
      </c>
      <c r="H439" s="301" t="s">
        <v>1382</v>
      </c>
    </row>
    <row r="440" spans="4:8" ht="12.75" customHeight="1" x14ac:dyDescent="0.25">
      <c r="D440" s="301" t="s">
        <v>1383</v>
      </c>
      <c r="E440" s="301" t="s">
        <v>425</v>
      </c>
      <c r="F440" s="301" t="s">
        <v>573</v>
      </c>
      <c r="G440" s="301" t="s">
        <v>1384</v>
      </c>
      <c r="H440" s="301" t="s">
        <v>1385</v>
      </c>
    </row>
    <row r="441" spans="4:8" ht="12.75" customHeight="1" x14ac:dyDescent="0.25">
      <c r="D441" s="301" t="s">
        <v>1386</v>
      </c>
      <c r="E441" s="301" t="s">
        <v>425</v>
      </c>
      <c r="F441" s="301" t="s">
        <v>1374</v>
      </c>
      <c r="G441" s="301" t="s">
        <v>1387</v>
      </c>
      <c r="H441" s="301" t="s">
        <v>1388</v>
      </c>
    </row>
    <row r="442" spans="4:8" ht="12.75" customHeight="1" x14ac:dyDescent="0.25">
      <c r="D442" s="301" t="s">
        <v>1389</v>
      </c>
      <c r="E442" s="301" t="s">
        <v>443</v>
      </c>
      <c r="F442" s="301" t="s">
        <v>444</v>
      </c>
      <c r="G442" s="301" t="s">
        <v>445</v>
      </c>
      <c r="H442" s="301" t="s">
        <v>1390</v>
      </c>
    </row>
    <row r="443" spans="4:8" ht="12.75" customHeight="1" x14ac:dyDescent="0.25">
      <c r="D443" s="301" t="s">
        <v>1391</v>
      </c>
      <c r="E443" s="301" t="s">
        <v>425</v>
      </c>
      <c r="F443" s="301" t="s">
        <v>573</v>
      </c>
      <c r="G443" s="301" t="s">
        <v>574</v>
      </c>
      <c r="H443" s="301" t="s">
        <v>1392</v>
      </c>
    </row>
    <row r="444" spans="4:8" ht="12.75" customHeight="1" x14ac:dyDescent="0.25">
      <c r="D444" s="301" t="s">
        <v>1393</v>
      </c>
      <c r="E444" s="301" t="s">
        <v>425</v>
      </c>
      <c r="F444" s="301" t="s">
        <v>1374</v>
      </c>
      <c r="G444" s="301" t="s">
        <v>1394</v>
      </c>
      <c r="H444" s="301" t="s">
        <v>1395</v>
      </c>
    </row>
    <row r="445" spans="4:8" ht="12.75" customHeight="1" x14ac:dyDescent="0.25">
      <c r="D445" s="301" t="s">
        <v>1396</v>
      </c>
      <c r="E445" s="301" t="s">
        <v>443</v>
      </c>
      <c r="F445" s="301" t="s">
        <v>444</v>
      </c>
      <c r="G445" s="301" t="s">
        <v>445</v>
      </c>
      <c r="H445" s="301" t="s">
        <v>1397</v>
      </c>
    </row>
    <row r="446" spans="4:8" ht="12.75" customHeight="1" x14ac:dyDescent="0.25">
      <c r="D446" s="301" t="s">
        <v>1398</v>
      </c>
      <c r="E446" s="301" t="s">
        <v>425</v>
      </c>
      <c r="F446" s="301" t="s">
        <v>1380</v>
      </c>
      <c r="G446" s="301" t="s">
        <v>1399</v>
      </c>
      <c r="H446" s="301" t="s">
        <v>1400</v>
      </c>
    </row>
    <row r="447" spans="4:8" ht="12.75" customHeight="1" x14ac:dyDescent="0.25">
      <c r="D447" s="301" t="s">
        <v>1401</v>
      </c>
      <c r="E447" s="301" t="s">
        <v>425</v>
      </c>
      <c r="F447" s="301" t="s">
        <v>1244</v>
      </c>
      <c r="G447" s="301" t="s">
        <v>1245</v>
      </c>
      <c r="H447" s="301" t="s">
        <v>1402</v>
      </c>
    </row>
    <row r="448" spans="4:8" ht="12.75" customHeight="1" x14ac:dyDescent="0.25">
      <c r="D448" s="301" t="s">
        <v>1403</v>
      </c>
      <c r="E448" s="301" t="s">
        <v>425</v>
      </c>
      <c r="F448" s="301" t="s">
        <v>573</v>
      </c>
      <c r="G448" s="301" t="s">
        <v>1248</v>
      </c>
      <c r="H448" s="301" t="s">
        <v>1404</v>
      </c>
    </row>
    <row r="449" spans="4:8" ht="12.75" customHeight="1" x14ac:dyDescent="0.25">
      <c r="D449" s="301" t="s">
        <v>1405</v>
      </c>
      <c r="E449" s="301" t="s">
        <v>425</v>
      </c>
      <c r="F449" s="301" t="s">
        <v>1374</v>
      </c>
      <c r="G449" s="301" t="s">
        <v>1406</v>
      </c>
      <c r="H449" s="301" t="s">
        <v>1407</v>
      </c>
    </row>
    <row r="450" spans="4:8" ht="12.75" customHeight="1" x14ac:dyDescent="0.25">
      <c r="D450" s="301" t="s">
        <v>1408</v>
      </c>
      <c r="E450" s="301" t="s">
        <v>425</v>
      </c>
      <c r="F450" s="301" t="s">
        <v>1380</v>
      </c>
      <c r="G450" s="301" t="s">
        <v>1409</v>
      </c>
      <c r="H450" s="301" t="s">
        <v>1410</v>
      </c>
    </row>
    <row r="451" spans="4:8" ht="12.75" customHeight="1" x14ac:dyDescent="0.25">
      <c r="D451" s="301" t="s">
        <v>1411</v>
      </c>
      <c r="E451" s="301" t="s">
        <v>425</v>
      </c>
      <c r="F451" s="301" t="s">
        <v>1380</v>
      </c>
      <c r="G451" s="301" t="s">
        <v>1409</v>
      </c>
      <c r="H451" s="301" t="s">
        <v>1412</v>
      </c>
    </row>
    <row r="452" spans="4:8" ht="12.75" customHeight="1" x14ac:dyDescent="0.25">
      <c r="D452" s="301" t="s">
        <v>1413</v>
      </c>
      <c r="E452" s="301" t="s">
        <v>425</v>
      </c>
      <c r="F452" s="301" t="s">
        <v>1380</v>
      </c>
      <c r="G452" s="301" t="s">
        <v>1409</v>
      </c>
      <c r="H452" s="301" t="s">
        <v>1414</v>
      </c>
    </row>
    <row r="453" spans="4:8" ht="12.75" customHeight="1" x14ac:dyDescent="0.25">
      <c r="D453" s="301" t="s">
        <v>1415</v>
      </c>
      <c r="E453" s="301" t="s">
        <v>425</v>
      </c>
      <c r="F453" s="301" t="s">
        <v>426</v>
      </c>
      <c r="G453" s="301" t="s">
        <v>584</v>
      </c>
      <c r="H453" s="301" t="s">
        <v>1416</v>
      </c>
    </row>
    <row r="454" spans="4:8" ht="12.75" customHeight="1" x14ac:dyDescent="0.25">
      <c r="D454" s="301" t="s">
        <v>1417</v>
      </c>
      <c r="E454" s="301" t="s">
        <v>425</v>
      </c>
      <c r="F454" s="301" t="s">
        <v>1374</v>
      </c>
      <c r="G454" s="301" t="s">
        <v>1418</v>
      </c>
      <c r="H454" s="301" t="s">
        <v>1419</v>
      </c>
    </row>
    <row r="455" spans="4:8" ht="12.75" customHeight="1" x14ac:dyDescent="0.25">
      <c r="D455" s="301" t="s">
        <v>1420</v>
      </c>
      <c r="E455" s="301" t="s">
        <v>425</v>
      </c>
      <c r="F455" s="301" t="s">
        <v>573</v>
      </c>
      <c r="G455" s="301" t="s">
        <v>1216</v>
      </c>
      <c r="H455" s="301" t="s">
        <v>1421</v>
      </c>
    </row>
    <row r="456" spans="4:8" ht="12.75" customHeight="1" x14ac:dyDescent="0.25">
      <c r="D456" s="301" t="s">
        <v>1422</v>
      </c>
      <c r="E456" s="301" t="s">
        <v>425</v>
      </c>
      <c r="F456" s="301" t="s">
        <v>573</v>
      </c>
      <c r="G456" s="301" t="s">
        <v>1216</v>
      </c>
      <c r="H456" s="301" t="s">
        <v>1423</v>
      </c>
    </row>
    <row r="457" spans="4:8" ht="12.75" customHeight="1" x14ac:dyDescent="0.25">
      <c r="D457" s="301" t="s">
        <v>1424</v>
      </c>
      <c r="E457" s="301" t="s">
        <v>425</v>
      </c>
      <c r="F457" s="301" t="s">
        <v>573</v>
      </c>
      <c r="G457" s="301" t="s">
        <v>574</v>
      </c>
      <c r="H457" s="301" t="s">
        <v>1425</v>
      </c>
    </row>
    <row r="458" spans="4:8" ht="12.75" customHeight="1" x14ac:dyDescent="0.25">
      <c r="D458" s="301" t="s">
        <v>1426</v>
      </c>
      <c r="E458" s="301" t="s">
        <v>425</v>
      </c>
      <c r="F458" s="301" t="s">
        <v>546</v>
      </c>
      <c r="G458" s="301" t="s">
        <v>1427</v>
      </c>
      <c r="H458" s="301" t="s">
        <v>1428</v>
      </c>
    </row>
    <row r="459" spans="4:8" ht="12.75" customHeight="1" x14ac:dyDescent="0.25">
      <c r="D459" s="301" t="s">
        <v>1429</v>
      </c>
      <c r="E459" s="301" t="s">
        <v>425</v>
      </c>
      <c r="F459" s="301" t="s">
        <v>426</v>
      </c>
      <c r="G459" s="301" t="s">
        <v>1191</v>
      </c>
      <c r="H459" s="301" t="s">
        <v>1430</v>
      </c>
    </row>
    <row r="460" spans="4:8" ht="12.75" customHeight="1" x14ac:dyDescent="0.25">
      <c r="D460" s="301" t="s">
        <v>1431</v>
      </c>
      <c r="E460" s="301" t="s">
        <v>425</v>
      </c>
      <c r="F460" s="301" t="s">
        <v>1244</v>
      </c>
      <c r="G460" s="301" t="s">
        <v>1432</v>
      </c>
      <c r="H460" s="301" t="s">
        <v>1433</v>
      </c>
    </row>
    <row r="461" spans="4:8" ht="12.75" customHeight="1" x14ac:dyDescent="0.25">
      <c r="D461" s="301" t="s">
        <v>1434</v>
      </c>
      <c r="E461" s="301" t="s">
        <v>425</v>
      </c>
      <c r="F461" s="301" t="s">
        <v>1374</v>
      </c>
      <c r="G461" s="301" t="s">
        <v>1394</v>
      </c>
      <c r="H461" s="301" t="s">
        <v>1435</v>
      </c>
    </row>
    <row r="462" spans="4:8" ht="12.75" customHeight="1" x14ac:dyDescent="0.25">
      <c r="D462" s="301" t="s">
        <v>1436</v>
      </c>
      <c r="E462" s="301" t="s">
        <v>443</v>
      </c>
      <c r="F462" s="301" t="s">
        <v>444</v>
      </c>
      <c r="G462" s="301" t="s">
        <v>445</v>
      </c>
      <c r="H462" s="301" t="s">
        <v>1437</v>
      </c>
    </row>
    <row r="463" spans="4:8" ht="12.75" customHeight="1" x14ac:dyDescent="0.25">
      <c r="D463" s="301" t="s">
        <v>1438</v>
      </c>
      <c r="E463" s="301" t="s">
        <v>425</v>
      </c>
      <c r="F463" s="301" t="s">
        <v>1374</v>
      </c>
      <c r="G463" s="301" t="s">
        <v>1394</v>
      </c>
      <c r="H463" s="301" t="s">
        <v>1439</v>
      </c>
    </row>
    <row r="464" spans="4:8" ht="12.75" customHeight="1" x14ac:dyDescent="0.25">
      <c r="D464" s="301" t="s">
        <v>1440</v>
      </c>
      <c r="E464" s="301" t="s">
        <v>443</v>
      </c>
      <c r="F464" s="301" t="s">
        <v>444</v>
      </c>
      <c r="G464" s="301" t="s">
        <v>445</v>
      </c>
      <c r="H464" s="301" t="s">
        <v>1441</v>
      </c>
    </row>
    <row r="465" spans="4:8" ht="12.75" customHeight="1" x14ac:dyDescent="0.25">
      <c r="D465" s="301" t="s">
        <v>1442</v>
      </c>
      <c r="E465" s="301" t="s">
        <v>425</v>
      </c>
      <c r="F465" s="301" t="s">
        <v>1380</v>
      </c>
      <c r="G465" s="301" t="s">
        <v>1399</v>
      </c>
      <c r="H465" s="301" t="s">
        <v>1443</v>
      </c>
    </row>
    <row r="466" spans="4:8" ht="12.75" customHeight="1" x14ac:dyDescent="0.25">
      <c r="D466" s="301" t="s">
        <v>1444</v>
      </c>
      <c r="E466" s="301" t="s">
        <v>425</v>
      </c>
      <c r="F466" s="301" t="s">
        <v>1380</v>
      </c>
      <c r="G466" s="301" t="s">
        <v>1445</v>
      </c>
      <c r="H466" s="301" t="s">
        <v>1446</v>
      </c>
    </row>
    <row r="467" spans="4:8" ht="12.75" customHeight="1" x14ac:dyDescent="0.25">
      <c r="D467" s="301" t="s">
        <v>1447</v>
      </c>
      <c r="E467" s="301" t="s">
        <v>425</v>
      </c>
      <c r="F467" s="301" t="s">
        <v>1371</v>
      </c>
      <c r="G467" s="301" t="s">
        <v>1371</v>
      </c>
      <c r="H467" s="301" t="s">
        <v>1448</v>
      </c>
    </row>
    <row r="468" spans="4:8" ht="12.75" customHeight="1" x14ac:dyDescent="0.25">
      <c r="D468" s="301" t="s">
        <v>1449</v>
      </c>
      <c r="E468" s="301" t="s">
        <v>425</v>
      </c>
      <c r="F468" s="301" t="s">
        <v>1371</v>
      </c>
      <c r="G468" s="301" t="s">
        <v>1371</v>
      </c>
      <c r="H468" s="301" t="s">
        <v>1450</v>
      </c>
    </row>
    <row r="469" spans="4:8" ht="12.75" customHeight="1" x14ac:dyDescent="0.25">
      <c r="D469" s="301" t="s">
        <v>1451</v>
      </c>
      <c r="E469" s="301" t="s">
        <v>425</v>
      </c>
      <c r="F469" s="301" t="s">
        <v>1380</v>
      </c>
      <c r="G469" s="301" t="s">
        <v>1409</v>
      </c>
      <c r="H469" s="301" t="s">
        <v>1452</v>
      </c>
    </row>
    <row r="470" spans="4:8" ht="12.75" customHeight="1" x14ac:dyDescent="0.25">
      <c r="D470" s="301" t="s">
        <v>1453</v>
      </c>
      <c r="E470" s="301" t="s">
        <v>425</v>
      </c>
      <c r="F470" s="301" t="s">
        <v>426</v>
      </c>
      <c r="G470" s="301" t="s">
        <v>584</v>
      </c>
      <c r="H470" s="301" t="s">
        <v>1454</v>
      </c>
    </row>
    <row r="471" spans="4:8" ht="12.75" customHeight="1" x14ac:dyDescent="0.25">
      <c r="D471" s="301" t="s">
        <v>1455</v>
      </c>
      <c r="E471" s="301" t="s">
        <v>425</v>
      </c>
      <c r="F471" s="301" t="s">
        <v>1374</v>
      </c>
      <c r="G471" s="301" t="s">
        <v>1456</v>
      </c>
      <c r="H471" s="301" t="s">
        <v>1457</v>
      </c>
    </row>
    <row r="472" spans="4:8" ht="12.75" customHeight="1" x14ac:dyDescent="0.25">
      <c r="D472" s="301" t="s">
        <v>1458</v>
      </c>
      <c r="E472" s="301" t="s">
        <v>425</v>
      </c>
      <c r="F472" s="301" t="s">
        <v>1374</v>
      </c>
      <c r="G472" s="301" t="s">
        <v>1406</v>
      </c>
      <c r="H472" s="301" t="s">
        <v>1459</v>
      </c>
    </row>
    <row r="473" spans="4:8" ht="12.75" customHeight="1" x14ac:dyDescent="0.25">
      <c r="D473" s="301" t="s">
        <v>1460</v>
      </c>
      <c r="E473" s="301" t="s">
        <v>425</v>
      </c>
      <c r="F473" s="301" t="s">
        <v>1371</v>
      </c>
      <c r="G473" s="301" t="s">
        <v>1371</v>
      </c>
      <c r="H473" s="301" t="s">
        <v>1461</v>
      </c>
    </row>
    <row r="474" spans="4:8" ht="12.75" customHeight="1" x14ac:dyDescent="0.25">
      <c r="D474" s="301" t="s">
        <v>1462</v>
      </c>
      <c r="E474" s="301" t="s">
        <v>425</v>
      </c>
      <c r="F474" s="301" t="s">
        <v>1374</v>
      </c>
      <c r="G474" s="301" t="s">
        <v>1463</v>
      </c>
      <c r="H474" s="301" t="s">
        <v>1464</v>
      </c>
    </row>
    <row r="475" spans="4:8" ht="12.75" customHeight="1" x14ac:dyDescent="0.25">
      <c r="D475" s="301" t="s">
        <v>1465</v>
      </c>
      <c r="E475" s="301" t="s">
        <v>425</v>
      </c>
      <c r="F475" s="301" t="s">
        <v>1371</v>
      </c>
      <c r="G475" s="301" t="s">
        <v>1371</v>
      </c>
      <c r="H475" s="301" t="s">
        <v>1466</v>
      </c>
    </row>
    <row r="476" spans="4:8" ht="12.75" customHeight="1" x14ac:dyDescent="0.25">
      <c r="D476" s="301" t="s">
        <v>1467</v>
      </c>
      <c r="E476" s="301" t="s">
        <v>425</v>
      </c>
      <c r="F476" s="301" t="s">
        <v>426</v>
      </c>
      <c r="G476" s="301" t="s">
        <v>1191</v>
      </c>
      <c r="H476" s="301" t="s">
        <v>1468</v>
      </c>
    </row>
    <row r="477" spans="4:8" ht="12.75" customHeight="1" x14ac:dyDescent="0.25">
      <c r="D477" s="301" t="s">
        <v>1469</v>
      </c>
      <c r="E477" s="301" t="s">
        <v>425</v>
      </c>
      <c r="F477" s="301" t="s">
        <v>426</v>
      </c>
      <c r="G477" s="301" t="s">
        <v>1191</v>
      </c>
      <c r="H477" s="301" t="s">
        <v>1470</v>
      </c>
    </row>
    <row r="478" spans="4:8" ht="12.75" customHeight="1" x14ac:dyDescent="0.25">
      <c r="D478" s="301" t="s">
        <v>1471</v>
      </c>
      <c r="E478" s="301" t="s">
        <v>425</v>
      </c>
      <c r="F478" s="301" t="s">
        <v>426</v>
      </c>
      <c r="G478" s="301" t="s">
        <v>1191</v>
      </c>
      <c r="H478" s="301" t="s">
        <v>1472</v>
      </c>
    </row>
    <row r="479" spans="4:8" ht="12.75" customHeight="1" x14ac:dyDescent="0.25">
      <c r="D479" s="301" t="s">
        <v>1473</v>
      </c>
      <c r="E479" s="301" t="s">
        <v>425</v>
      </c>
      <c r="F479" s="301" t="s">
        <v>1371</v>
      </c>
      <c r="G479" s="301" t="s">
        <v>1371</v>
      </c>
      <c r="H479" s="301" t="s">
        <v>1474</v>
      </c>
    </row>
    <row r="480" spans="4:8" ht="12.75" customHeight="1" x14ac:dyDescent="0.25">
      <c r="D480" s="301" t="s">
        <v>1475</v>
      </c>
      <c r="E480" s="301" t="s">
        <v>425</v>
      </c>
      <c r="F480" s="301" t="s">
        <v>426</v>
      </c>
      <c r="G480" s="301" t="s">
        <v>584</v>
      </c>
      <c r="H480" s="301" t="s">
        <v>1476</v>
      </c>
    </row>
    <row r="481" spans="4:8" ht="12.75" customHeight="1" x14ac:dyDescent="0.25">
      <c r="D481" s="301" t="s">
        <v>1477</v>
      </c>
      <c r="E481" s="301" t="s">
        <v>425</v>
      </c>
      <c r="F481" s="301" t="s">
        <v>546</v>
      </c>
      <c r="G481" s="301" t="s">
        <v>1427</v>
      </c>
      <c r="H481" s="301" t="s">
        <v>1478</v>
      </c>
    </row>
    <row r="482" spans="4:8" ht="12.75" customHeight="1" x14ac:dyDescent="0.25">
      <c r="D482" s="301" t="s">
        <v>1479</v>
      </c>
      <c r="E482" s="301" t="s">
        <v>425</v>
      </c>
      <c r="F482" s="301" t="s">
        <v>426</v>
      </c>
      <c r="G482" s="301" t="s">
        <v>1210</v>
      </c>
      <c r="H482" s="301" t="s">
        <v>1480</v>
      </c>
    </row>
    <row r="483" spans="4:8" ht="12.75" customHeight="1" x14ac:dyDescent="0.25">
      <c r="D483" s="301" t="s">
        <v>1481</v>
      </c>
      <c r="E483" s="301" t="s">
        <v>425</v>
      </c>
      <c r="F483" s="301" t="s">
        <v>1380</v>
      </c>
      <c r="G483" s="301" t="s">
        <v>1409</v>
      </c>
      <c r="H483" s="301" t="s">
        <v>1482</v>
      </c>
    </row>
    <row r="484" spans="4:8" ht="12.75" customHeight="1" x14ac:dyDescent="0.25">
      <c r="D484" s="301" t="s">
        <v>1483</v>
      </c>
      <c r="E484" s="301" t="s">
        <v>425</v>
      </c>
      <c r="F484" s="301" t="s">
        <v>1374</v>
      </c>
      <c r="G484" s="301" t="s">
        <v>1463</v>
      </c>
      <c r="H484" s="301" t="s">
        <v>1484</v>
      </c>
    </row>
    <row r="485" spans="4:8" ht="12.75" customHeight="1" x14ac:dyDescent="0.25">
      <c r="D485" s="301" t="s">
        <v>1485</v>
      </c>
      <c r="E485" s="301" t="s">
        <v>425</v>
      </c>
      <c r="F485" s="301" t="s">
        <v>1371</v>
      </c>
      <c r="G485" s="301" t="s">
        <v>1371</v>
      </c>
      <c r="H485" s="301" t="s">
        <v>1486</v>
      </c>
    </row>
    <row r="486" spans="4:8" ht="12.75" customHeight="1" x14ac:dyDescent="0.25">
      <c r="D486" s="301" t="s">
        <v>1487</v>
      </c>
      <c r="E486" s="301" t="s">
        <v>425</v>
      </c>
      <c r="F486" s="301" t="s">
        <v>1371</v>
      </c>
      <c r="G486" s="301" t="s">
        <v>1371</v>
      </c>
      <c r="H486" s="301" t="s">
        <v>1488</v>
      </c>
    </row>
    <row r="487" spans="4:8" ht="12.75" customHeight="1" x14ac:dyDescent="0.25">
      <c r="D487" s="301" t="s">
        <v>1489</v>
      </c>
      <c r="E487" s="301" t="s">
        <v>425</v>
      </c>
      <c r="F487" s="301" t="s">
        <v>1371</v>
      </c>
      <c r="G487" s="301" t="s">
        <v>1371</v>
      </c>
      <c r="H487" s="301" t="s">
        <v>1490</v>
      </c>
    </row>
    <row r="488" spans="4:8" ht="12.75" customHeight="1" x14ac:dyDescent="0.25">
      <c r="D488" s="301" t="s">
        <v>1491</v>
      </c>
      <c r="E488" s="301" t="s">
        <v>425</v>
      </c>
      <c r="F488" s="301" t="s">
        <v>426</v>
      </c>
      <c r="G488" s="301" t="s">
        <v>1191</v>
      </c>
      <c r="H488" s="301" t="s">
        <v>1492</v>
      </c>
    </row>
    <row r="489" spans="4:8" ht="12.75" customHeight="1" x14ac:dyDescent="0.25">
      <c r="D489" s="301" t="s">
        <v>1493</v>
      </c>
      <c r="E489" s="301" t="s">
        <v>425</v>
      </c>
      <c r="F489" s="301" t="s">
        <v>546</v>
      </c>
      <c r="G489" s="301" t="s">
        <v>1427</v>
      </c>
      <c r="H489" s="301" t="s">
        <v>1494</v>
      </c>
    </row>
    <row r="490" spans="4:8" ht="12.75" customHeight="1" x14ac:dyDescent="0.25">
      <c r="D490" s="301" t="s">
        <v>1495</v>
      </c>
      <c r="E490" s="301" t="s">
        <v>425</v>
      </c>
      <c r="F490" s="301" t="s">
        <v>546</v>
      </c>
      <c r="G490" s="301" t="s">
        <v>1427</v>
      </c>
      <c r="H490" s="301" t="s">
        <v>1496</v>
      </c>
    </row>
    <row r="491" spans="4:8" ht="12.75" customHeight="1" x14ac:dyDescent="0.25">
      <c r="D491" s="301" t="s">
        <v>1497</v>
      </c>
      <c r="E491" s="301" t="s">
        <v>425</v>
      </c>
      <c r="F491" s="301" t="s">
        <v>573</v>
      </c>
      <c r="G491" s="301" t="s">
        <v>574</v>
      </c>
      <c r="H491" s="301" t="s">
        <v>1498</v>
      </c>
    </row>
    <row r="492" spans="4:8" ht="12.75" customHeight="1" x14ac:dyDescent="0.25">
      <c r="D492" s="301" t="s">
        <v>1499</v>
      </c>
      <c r="E492" s="301" t="s">
        <v>425</v>
      </c>
      <c r="F492" s="301" t="s">
        <v>1244</v>
      </c>
      <c r="G492" s="301" t="s">
        <v>1245</v>
      </c>
      <c r="H492" s="301" t="s">
        <v>1500</v>
      </c>
    </row>
    <row r="493" spans="4:8" ht="12.75" customHeight="1" x14ac:dyDescent="0.25">
      <c r="D493" s="301" t="s">
        <v>1501</v>
      </c>
      <c r="E493" s="301" t="s">
        <v>425</v>
      </c>
      <c r="F493" s="301" t="s">
        <v>1374</v>
      </c>
      <c r="G493" s="301" t="s">
        <v>1463</v>
      </c>
      <c r="H493" s="301" t="s">
        <v>1502</v>
      </c>
    </row>
    <row r="494" spans="4:8" ht="12.75" customHeight="1" x14ac:dyDescent="0.25">
      <c r="D494" s="301" t="s">
        <v>1503</v>
      </c>
      <c r="E494" s="301" t="s">
        <v>425</v>
      </c>
      <c r="F494" s="301" t="s">
        <v>426</v>
      </c>
      <c r="G494" s="301" t="s">
        <v>1191</v>
      </c>
      <c r="H494" s="301" t="s">
        <v>1504</v>
      </c>
    </row>
    <row r="495" spans="4:8" ht="12.75" customHeight="1" x14ac:dyDescent="0.25">
      <c r="D495" s="301" t="s">
        <v>1505</v>
      </c>
      <c r="E495" s="301" t="s">
        <v>425</v>
      </c>
      <c r="F495" s="301" t="s">
        <v>426</v>
      </c>
      <c r="G495" s="301" t="s">
        <v>584</v>
      </c>
      <c r="H495" s="301" t="s">
        <v>1506</v>
      </c>
    </row>
    <row r="496" spans="4:8" ht="12.75" customHeight="1" x14ac:dyDescent="0.25">
      <c r="D496" s="301" t="s">
        <v>1507</v>
      </c>
      <c r="E496" s="301" t="s">
        <v>425</v>
      </c>
      <c r="F496" s="301" t="s">
        <v>1371</v>
      </c>
      <c r="G496" s="301" t="s">
        <v>1371</v>
      </c>
      <c r="H496" s="301" t="s">
        <v>1508</v>
      </c>
    </row>
    <row r="497" spans="4:8" ht="12.75" customHeight="1" x14ac:dyDescent="0.25">
      <c r="D497" s="301" t="s">
        <v>1509</v>
      </c>
      <c r="E497" s="301" t="s">
        <v>425</v>
      </c>
      <c r="F497" s="301" t="s">
        <v>573</v>
      </c>
      <c r="G497" s="301" t="s">
        <v>1251</v>
      </c>
      <c r="H497" s="301" t="s">
        <v>1510</v>
      </c>
    </row>
    <row r="498" spans="4:8" ht="12.75" customHeight="1" x14ac:dyDescent="0.25">
      <c r="D498" s="301" t="s">
        <v>1511</v>
      </c>
      <c r="E498" s="301" t="s">
        <v>425</v>
      </c>
      <c r="F498" s="301" t="s">
        <v>1244</v>
      </c>
      <c r="G498" s="301" t="s">
        <v>1245</v>
      </c>
      <c r="H498" s="301" t="s">
        <v>1512</v>
      </c>
    </row>
    <row r="499" spans="4:8" ht="12.75" customHeight="1" x14ac:dyDescent="0.25">
      <c r="D499" s="301" t="s">
        <v>1513</v>
      </c>
      <c r="E499" s="301" t="s">
        <v>425</v>
      </c>
      <c r="F499" s="301" t="s">
        <v>426</v>
      </c>
      <c r="G499" s="301" t="s">
        <v>1191</v>
      </c>
      <c r="H499" s="301" t="s">
        <v>1514</v>
      </c>
    </row>
    <row r="500" spans="4:8" ht="12.75" customHeight="1" x14ac:dyDescent="0.25">
      <c r="D500" s="301" t="s">
        <v>1515</v>
      </c>
      <c r="E500" s="301" t="s">
        <v>425</v>
      </c>
      <c r="F500" s="301" t="s">
        <v>1380</v>
      </c>
      <c r="G500" s="301" t="s">
        <v>1381</v>
      </c>
      <c r="H500" s="301" t="s">
        <v>1516</v>
      </c>
    </row>
    <row r="501" spans="4:8" ht="12.75" customHeight="1" x14ac:dyDescent="0.25">
      <c r="D501" s="301" t="s">
        <v>1517</v>
      </c>
      <c r="E501" s="301" t="s">
        <v>425</v>
      </c>
      <c r="F501" s="301" t="s">
        <v>426</v>
      </c>
      <c r="G501" s="301" t="s">
        <v>584</v>
      </c>
      <c r="H501" s="301" t="s">
        <v>1518</v>
      </c>
    </row>
    <row r="502" spans="4:8" ht="12.75" customHeight="1" x14ac:dyDescent="0.25">
      <c r="D502" s="301" t="s">
        <v>1519</v>
      </c>
      <c r="E502" s="301" t="s">
        <v>425</v>
      </c>
      <c r="F502" s="301" t="s">
        <v>1244</v>
      </c>
      <c r="G502" s="301" t="s">
        <v>1432</v>
      </c>
      <c r="H502" s="301" t="s">
        <v>1520</v>
      </c>
    </row>
    <row r="503" spans="4:8" ht="12.75" customHeight="1" x14ac:dyDescent="0.25">
      <c r="D503" s="301" t="s">
        <v>1521</v>
      </c>
      <c r="E503" s="301" t="s">
        <v>425</v>
      </c>
      <c r="F503" s="301" t="s">
        <v>1374</v>
      </c>
      <c r="G503" s="301" t="s">
        <v>1463</v>
      </c>
      <c r="H503" s="301" t="s">
        <v>1522</v>
      </c>
    </row>
    <row r="504" spans="4:8" ht="12.75" customHeight="1" x14ac:dyDescent="0.25">
      <c r="D504" s="301" t="s">
        <v>1523</v>
      </c>
      <c r="E504" s="301" t="s">
        <v>425</v>
      </c>
      <c r="F504" s="301" t="s">
        <v>426</v>
      </c>
      <c r="G504" s="301" t="s">
        <v>1191</v>
      </c>
      <c r="H504" s="301" t="s">
        <v>1524</v>
      </c>
    </row>
    <row r="505" spans="4:8" ht="12.75" customHeight="1" x14ac:dyDescent="0.25">
      <c r="D505" s="301" t="s">
        <v>1525</v>
      </c>
      <c r="E505" s="301" t="s">
        <v>425</v>
      </c>
      <c r="F505" s="301" t="s">
        <v>1380</v>
      </c>
      <c r="G505" s="301" t="s">
        <v>1526</v>
      </c>
      <c r="H505" s="301" t="s">
        <v>1527</v>
      </c>
    </row>
    <row r="506" spans="4:8" ht="12.75" customHeight="1" x14ac:dyDescent="0.25">
      <c r="D506" s="301" t="s">
        <v>1528</v>
      </c>
      <c r="E506" s="301" t="s">
        <v>425</v>
      </c>
      <c r="F506" s="301" t="s">
        <v>1380</v>
      </c>
      <c r="G506" s="301" t="s">
        <v>1529</v>
      </c>
      <c r="H506" s="301" t="s">
        <v>1530</v>
      </c>
    </row>
    <row r="507" spans="4:8" ht="12.75" customHeight="1" x14ac:dyDescent="0.25">
      <c r="D507" s="301" t="s">
        <v>1531</v>
      </c>
      <c r="E507" s="301" t="s">
        <v>425</v>
      </c>
      <c r="F507" s="301" t="s">
        <v>1380</v>
      </c>
      <c r="G507" s="301" t="s">
        <v>1399</v>
      </c>
      <c r="H507" s="301" t="s">
        <v>1532</v>
      </c>
    </row>
    <row r="508" spans="4:8" ht="12.75" customHeight="1" x14ac:dyDescent="0.25">
      <c r="D508" s="301" t="s">
        <v>1533</v>
      </c>
      <c r="E508" s="301" t="s">
        <v>425</v>
      </c>
      <c r="F508" s="301" t="s">
        <v>426</v>
      </c>
      <c r="G508" s="301" t="s">
        <v>1534</v>
      </c>
      <c r="H508" s="301" t="s">
        <v>1535</v>
      </c>
    </row>
    <row r="509" spans="4:8" ht="12.75" customHeight="1" x14ac:dyDescent="0.25">
      <c r="D509" s="301" t="s">
        <v>1536</v>
      </c>
      <c r="E509" s="301" t="s">
        <v>425</v>
      </c>
      <c r="F509" s="301" t="s">
        <v>1380</v>
      </c>
      <c r="G509" s="301" t="s">
        <v>1409</v>
      </c>
      <c r="H509" s="301" t="s">
        <v>1537</v>
      </c>
    </row>
    <row r="510" spans="4:8" ht="12.75" customHeight="1" x14ac:dyDescent="0.25">
      <c r="D510" s="301" t="s">
        <v>1538</v>
      </c>
      <c r="E510" s="301" t="s">
        <v>425</v>
      </c>
      <c r="F510" s="301" t="s">
        <v>546</v>
      </c>
      <c r="G510" s="301" t="s">
        <v>1427</v>
      </c>
      <c r="H510" s="301" t="s">
        <v>1539</v>
      </c>
    </row>
    <row r="511" spans="4:8" ht="12.75" customHeight="1" x14ac:dyDescent="0.25">
      <c r="D511" s="301" t="s">
        <v>1540</v>
      </c>
      <c r="E511" s="301" t="s">
        <v>425</v>
      </c>
      <c r="F511" s="301" t="s">
        <v>573</v>
      </c>
      <c r="G511" s="308" t="s">
        <v>1254</v>
      </c>
      <c r="H511" s="301" t="s">
        <v>1541</v>
      </c>
    </row>
    <row r="512" spans="4:8" ht="12.75" customHeight="1" x14ac:dyDescent="0.25">
      <c r="D512" s="301" t="s">
        <v>1542</v>
      </c>
      <c r="E512" s="301" t="s">
        <v>425</v>
      </c>
      <c r="F512" s="301" t="s">
        <v>426</v>
      </c>
      <c r="G512" s="301" t="s">
        <v>1534</v>
      </c>
      <c r="H512" s="301" t="s">
        <v>1543</v>
      </c>
    </row>
    <row r="513" spans="4:8" ht="12.75" customHeight="1" x14ac:dyDescent="0.25">
      <c r="D513" s="301" t="s">
        <v>1544</v>
      </c>
      <c r="E513" s="301" t="s">
        <v>425</v>
      </c>
      <c r="F513" s="301" t="s">
        <v>1238</v>
      </c>
      <c r="G513" s="301" t="s">
        <v>1239</v>
      </c>
      <c r="H513" s="301" t="s">
        <v>1545</v>
      </c>
    </row>
    <row r="514" spans="4:8" ht="12.75" customHeight="1" x14ac:dyDescent="0.25">
      <c r="D514" s="301" t="s">
        <v>1546</v>
      </c>
      <c r="E514" s="301" t="s">
        <v>425</v>
      </c>
      <c r="F514" s="301" t="s">
        <v>1380</v>
      </c>
      <c r="G514" s="301" t="s">
        <v>1547</v>
      </c>
      <c r="H514" s="301" t="s">
        <v>1548</v>
      </c>
    </row>
    <row r="515" spans="4:8" ht="12.75" customHeight="1" x14ac:dyDescent="0.25">
      <c r="D515" s="301" t="s">
        <v>1549</v>
      </c>
      <c r="E515" s="301" t="s">
        <v>425</v>
      </c>
      <c r="F515" s="301" t="s">
        <v>1380</v>
      </c>
      <c r="G515" s="301" t="s">
        <v>1547</v>
      </c>
      <c r="H515" s="301" t="s">
        <v>1550</v>
      </c>
    </row>
    <row r="516" spans="4:8" ht="12.75" customHeight="1" x14ac:dyDescent="0.25">
      <c r="D516" s="301" t="s">
        <v>1551</v>
      </c>
      <c r="E516" s="301" t="s">
        <v>425</v>
      </c>
      <c r="F516" s="301" t="s">
        <v>426</v>
      </c>
      <c r="G516" s="301" t="s">
        <v>1191</v>
      </c>
      <c r="H516" s="301" t="s">
        <v>1552</v>
      </c>
    </row>
    <row r="517" spans="4:8" ht="12.75" customHeight="1" x14ac:dyDescent="0.25">
      <c r="D517" s="301" t="s">
        <v>1553</v>
      </c>
      <c r="E517" s="301" t="s">
        <v>425</v>
      </c>
      <c r="F517" s="301" t="s">
        <v>1374</v>
      </c>
      <c r="G517" s="301" t="s">
        <v>1463</v>
      </c>
      <c r="H517" s="301" t="s">
        <v>1554</v>
      </c>
    </row>
    <row r="518" spans="4:8" ht="12.75" customHeight="1" x14ac:dyDescent="0.25">
      <c r="D518" s="301" t="s">
        <v>1555</v>
      </c>
      <c r="E518" s="301" t="s">
        <v>425</v>
      </c>
      <c r="F518" s="301" t="s">
        <v>426</v>
      </c>
      <c r="G518" s="301" t="s">
        <v>1191</v>
      </c>
      <c r="H518" s="301" t="s">
        <v>1556</v>
      </c>
    </row>
    <row r="519" spans="4:8" ht="12.75" customHeight="1" x14ac:dyDescent="0.25">
      <c r="D519" s="301" t="s">
        <v>1557</v>
      </c>
      <c r="E519" s="301" t="s">
        <v>425</v>
      </c>
      <c r="F519" s="301" t="s">
        <v>1371</v>
      </c>
      <c r="G519" s="301" t="s">
        <v>1371</v>
      </c>
      <c r="H519" s="301" t="s">
        <v>1558</v>
      </c>
    </row>
    <row r="520" spans="4:8" ht="12.75" customHeight="1" x14ac:dyDescent="0.25">
      <c r="D520" s="301" t="s">
        <v>1559</v>
      </c>
      <c r="E520" s="301" t="s">
        <v>425</v>
      </c>
      <c r="F520" s="301" t="s">
        <v>426</v>
      </c>
      <c r="G520" s="301" t="s">
        <v>1534</v>
      </c>
      <c r="H520" s="301" t="s">
        <v>1560</v>
      </c>
    </row>
    <row r="521" spans="4:8" ht="12.75" customHeight="1" x14ac:dyDescent="0.25">
      <c r="D521" s="301" t="s">
        <v>1561</v>
      </c>
      <c r="E521" s="301" t="s">
        <v>425</v>
      </c>
      <c r="F521" s="301" t="s">
        <v>1380</v>
      </c>
      <c r="G521" s="301" t="s">
        <v>1409</v>
      </c>
      <c r="H521" s="301" t="s">
        <v>1562</v>
      </c>
    </row>
    <row r="522" spans="4:8" ht="12.75" customHeight="1" x14ac:dyDescent="0.25">
      <c r="D522" s="301" t="s">
        <v>1563</v>
      </c>
      <c r="E522" s="301" t="s">
        <v>425</v>
      </c>
      <c r="F522" s="301" t="s">
        <v>1380</v>
      </c>
      <c r="G522" s="301" t="s">
        <v>1399</v>
      </c>
      <c r="H522" s="301" t="s">
        <v>1564</v>
      </c>
    </row>
    <row r="523" spans="4:8" ht="12.75" customHeight="1" x14ac:dyDescent="0.25">
      <c r="D523" s="301" t="s">
        <v>1565</v>
      </c>
      <c r="E523" s="301" t="s">
        <v>425</v>
      </c>
      <c r="F523" s="301" t="s">
        <v>573</v>
      </c>
      <c r="G523" s="308" t="s">
        <v>1254</v>
      </c>
      <c r="H523" s="301" t="s">
        <v>1566</v>
      </c>
    </row>
    <row r="524" spans="4:8" ht="12.75" customHeight="1" x14ac:dyDescent="0.25">
      <c r="D524" s="301" t="s">
        <v>1567</v>
      </c>
      <c r="E524" s="301" t="s">
        <v>425</v>
      </c>
      <c r="F524" s="301" t="s">
        <v>1380</v>
      </c>
      <c r="G524" s="301" t="s">
        <v>1568</v>
      </c>
      <c r="H524" s="301" t="s">
        <v>1569</v>
      </c>
    </row>
    <row r="525" spans="4:8" ht="12.75" customHeight="1" x14ac:dyDescent="0.25">
      <c r="D525" s="301" t="s">
        <v>1570</v>
      </c>
      <c r="E525" s="301" t="s">
        <v>425</v>
      </c>
      <c r="F525" s="301" t="s">
        <v>1380</v>
      </c>
      <c r="G525" s="301" t="s">
        <v>1526</v>
      </c>
      <c r="H525" s="301" t="s">
        <v>1571</v>
      </c>
    </row>
    <row r="526" spans="4:8" ht="12.75" customHeight="1" x14ac:dyDescent="0.25">
      <c r="D526" s="301" t="s">
        <v>1572</v>
      </c>
      <c r="E526" s="301" t="s">
        <v>425</v>
      </c>
      <c r="F526" s="301" t="s">
        <v>546</v>
      </c>
      <c r="G526" s="301" t="s">
        <v>1427</v>
      </c>
      <c r="H526" s="301" t="s">
        <v>1573</v>
      </c>
    </row>
    <row r="527" spans="4:8" ht="12.75" customHeight="1" x14ac:dyDescent="0.25">
      <c r="D527" s="301" t="s">
        <v>1574</v>
      </c>
      <c r="E527" s="301" t="s">
        <v>425</v>
      </c>
      <c r="F527" s="301" t="s">
        <v>1238</v>
      </c>
      <c r="G527" s="301" t="s">
        <v>1575</v>
      </c>
      <c r="H527" s="301" t="s">
        <v>1576</v>
      </c>
    </row>
    <row r="528" spans="4:8" ht="12.75" customHeight="1" x14ac:dyDescent="0.25">
      <c r="D528" s="301" t="s">
        <v>1577</v>
      </c>
      <c r="E528" s="301" t="s">
        <v>425</v>
      </c>
      <c r="F528" s="301" t="s">
        <v>1380</v>
      </c>
      <c r="G528" s="301" t="s">
        <v>1409</v>
      </c>
      <c r="H528" s="301" t="s">
        <v>1578</v>
      </c>
    </row>
    <row r="529" spans="4:8" ht="12.75" customHeight="1" x14ac:dyDescent="0.25">
      <c r="D529" s="301" t="s">
        <v>1579</v>
      </c>
      <c r="E529" s="301" t="s">
        <v>425</v>
      </c>
      <c r="F529" s="301" t="s">
        <v>426</v>
      </c>
      <c r="G529" s="301" t="s">
        <v>427</v>
      </c>
      <c r="H529" s="301" t="s">
        <v>1580</v>
      </c>
    </row>
    <row r="530" spans="4:8" ht="12.75" customHeight="1" x14ac:dyDescent="0.25">
      <c r="D530" s="301" t="s">
        <v>1581</v>
      </c>
      <c r="E530" s="301" t="s">
        <v>425</v>
      </c>
      <c r="F530" s="301" t="s">
        <v>1380</v>
      </c>
      <c r="G530" s="301" t="s">
        <v>1409</v>
      </c>
      <c r="H530" s="301" t="s">
        <v>1582</v>
      </c>
    </row>
    <row r="531" spans="4:8" ht="12.75" customHeight="1" x14ac:dyDescent="0.25">
      <c r="D531" s="301" t="s">
        <v>1583</v>
      </c>
      <c r="E531" s="301" t="s">
        <v>425</v>
      </c>
      <c r="F531" s="301" t="s">
        <v>1374</v>
      </c>
      <c r="G531" s="301" t="s">
        <v>1463</v>
      </c>
      <c r="H531" s="301" t="s">
        <v>1584</v>
      </c>
    </row>
    <row r="532" spans="4:8" ht="12.75" customHeight="1" x14ac:dyDescent="0.25">
      <c r="D532" s="301" t="s">
        <v>1585</v>
      </c>
      <c r="E532" s="301" t="s">
        <v>425</v>
      </c>
      <c r="F532" s="301" t="s">
        <v>1244</v>
      </c>
      <c r="G532" s="301" t="s">
        <v>1586</v>
      </c>
      <c r="H532" s="301" t="s">
        <v>1587</v>
      </c>
    </row>
    <row r="533" spans="4:8" ht="12.75" customHeight="1" x14ac:dyDescent="0.25">
      <c r="D533" s="301" t="s">
        <v>1588</v>
      </c>
      <c r="E533" s="301" t="s">
        <v>425</v>
      </c>
      <c r="F533" s="301" t="s">
        <v>426</v>
      </c>
      <c r="G533" s="301" t="s">
        <v>1191</v>
      </c>
      <c r="H533" s="301" t="s">
        <v>1589</v>
      </c>
    </row>
    <row r="534" spans="4:8" ht="12.75" customHeight="1" x14ac:dyDescent="0.25">
      <c r="D534" s="301" t="s">
        <v>1590</v>
      </c>
      <c r="E534" s="301" t="s">
        <v>425</v>
      </c>
      <c r="F534" s="301" t="s">
        <v>1374</v>
      </c>
      <c r="G534" s="301" t="s">
        <v>1406</v>
      </c>
      <c r="H534" s="301" t="s">
        <v>1591</v>
      </c>
    </row>
    <row r="535" spans="4:8" ht="12.75" customHeight="1" x14ac:dyDescent="0.25">
      <c r="D535" s="301" t="s">
        <v>1592</v>
      </c>
      <c r="E535" s="301" t="s">
        <v>425</v>
      </c>
      <c r="F535" s="301" t="s">
        <v>1371</v>
      </c>
      <c r="G535" s="301" t="s">
        <v>1371</v>
      </c>
      <c r="H535" s="301" t="s">
        <v>1593</v>
      </c>
    </row>
    <row r="536" spans="4:8" ht="12.75" customHeight="1" x14ac:dyDescent="0.25">
      <c r="D536" s="301" t="s">
        <v>1594</v>
      </c>
      <c r="E536" s="301" t="s">
        <v>425</v>
      </c>
      <c r="F536" s="301" t="s">
        <v>1380</v>
      </c>
      <c r="G536" s="301" t="s">
        <v>1409</v>
      </c>
      <c r="H536" s="301" t="s">
        <v>1595</v>
      </c>
    </row>
    <row r="537" spans="4:8" ht="12.75" customHeight="1" x14ac:dyDescent="0.25">
      <c r="D537" s="301" t="s">
        <v>1596</v>
      </c>
      <c r="E537" s="301" t="s">
        <v>425</v>
      </c>
      <c r="F537" s="301" t="s">
        <v>573</v>
      </c>
      <c r="G537" s="301" t="s">
        <v>1597</v>
      </c>
      <c r="H537" s="301" t="s">
        <v>1598</v>
      </c>
    </row>
    <row r="538" spans="4:8" ht="12.75" customHeight="1" x14ac:dyDescent="0.25">
      <c r="D538" s="301" t="s">
        <v>1599</v>
      </c>
      <c r="E538" s="301" t="s">
        <v>425</v>
      </c>
      <c r="F538" s="301" t="s">
        <v>426</v>
      </c>
      <c r="G538" s="301" t="s">
        <v>1534</v>
      </c>
      <c r="H538" s="301" t="s">
        <v>1600</v>
      </c>
    </row>
    <row r="539" spans="4:8" ht="12.75" customHeight="1" x14ac:dyDescent="0.25">
      <c r="D539" s="301" t="s">
        <v>1601</v>
      </c>
      <c r="E539" s="301" t="s">
        <v>425</v>
      </c>
      <c r="F539" s="301" t="s">
        <v>573</v>
      </c>
      <c r="G539" s="301" t="s">
        <v>574</v>
      </c>
      <c r="H539" s="301" t="s">
        <v>1602</v>
      </c>
    </row>
    <row r="540" spans="4:8" ht="12.75" customHeight="1" x14ac:dyDescent="0.25">
      <c r="D540" s="301" t="s">
        <v>1603</v>
      </c>
      <c r="E540" s="301" t="s">
        <v>425</v>
      </c>
      <c r="F540" s="301" t="s">
        <v>1380</v>
      </c>
      <c r="G540" s="301" t="s">
        <v>1409</v>
      </c>
      <c r="H540" s="301" t="s">
        <v>1604</v>
      </c>
    </row>
    <row r="541" spans="4:8" ht="12.75" customHeight="1" x14ac:dyDescent="0.25">
      <c r="D541" s="301" t="s">
        <v>1605</v>
      </c>
      <c r="E541" s="301" t="s">
        <v>425</v>
      </c>
      <c r="F541" s="301" t="s">
        <v>573</v>
      </c>
      <c r="G541" s="301" t="s">
        <v>1205</v>
      </c>
      <c r="H541" s="301" t="s">
        <v>1606</v>
      </c>
    </row>
    <row r="542" spans="4:8" ht="12.75" customHeight="1" x14ac:dyDescent="0.25">
      <c r="D542" s="301" t="s">
        <v>1607</v>
      </c>
      <c r="E542" s="301" t="s">
        <v>425</v>
      </c>
      <c r="F542" s="301" t="s">
        <v>426</v>
      </c>
      <c r="G542" s="301" t="s">
        <v>584</v>
      </c>
      <c r="H542" s="301" t="s">
        <v>1608</v>
      </c>
    </row>
    <row r="543" spans="4:8" ht="12.75" customHeight="1" x14ac:dyDescent="0.25">
      <c r="D543" s="301" t="s">
        <v>1609</v>
      </c>
      <c r="E543" s="301" t="s">
        <v>425</v>
      </c>
      <c r="F543" s="301" t="s">
        <v>1371</v>
      </c>
      <c r="G543" s="301" t="s">
        <v>1371</v>
      </c>
      <c r="H543" s="301" t="s">
        <v>1610</v>
      </c>
    </row>
    <row r="544" spans="4:8" ht="12.75" customHeight="1" x14ac:dyDescent="0.25">
      <c r="D544" s="301" t="s">
        <v>1611</v>
      </c>
      <c r="E544" s="301" t="s">
        <v>425</v>
      </c>
      <c r="F544" s="301" t="s">
        <v>1380</v>
      </c>
      <c r="G544" s="301" t="s">
        <v>1409</v>
      </c>
      <c r="H544" s="301" t="s">
        <v>1612</v>
      </c>
    </row>
    <row r="545" spans="4:8" ht="12.75" customHeight="1" x14ac:dyDescent="0.25">
      <c r="D545" s="301" t="s">
        <v>1613</v>
      </c>
      <c r="E545" s="301" t="s">
        <v>425</v>
      </c>
      <c r="F545" s="301" t="s">
        <v>1374</v>
      </c>
      <c r="G545" s="301" t="s">
        <v>1406</v>
      </c>
      <c r="H545" s="301" t="s">
        <v>1614</v>
      </c>
    </row>
    <row r="546" spans="4:8" ht="12.75" customHeight="1" x14ac:dyDescent="0.25">
      <c r="D546" s="301" t="s">
        <v>1615</v>
      </c>
      <c r="E546" s="301" t="s">
        <v>425</v>
      </c>
      <c r="F546" s="301" t="s">
        <v>426</v>
      </c>
      <c r="G546" s="301" t="s">
        <v>584</v>
      </c>
      <c r="H546" s="301" t="s">
        <v>1616</v>
      </c>
    </row>
    <row r="547" spans="4:8" ht="12.75" customHeight="1" x14ac:dyDescent="0.25">
      <c r="D547" s="301" t="s">
        <v>1617</v>
      </c>
      <c r="E547" s="301" t="s">
        <v>425</v>
      </c>
      <c r="F547" s="301" t="s">
        <v>546</v>
      </c>
      <c r="G547" s="301" t="s">
        <v>1427</v>
      </c>
      <c r="H547" s="301" t="s">
        <v>1618</v>
      </c>
    </row>
    <row r="548" spans="4:8" ht="12.75" customHeight="1" x14ac:dyDescent="0.25">
      <c r="D548" s="301" t="s">
        <v>1619</v>
      </c>
      <c r="E548" s="301" t="s">
        <v>425</v>
      </c>
      <c r="F548" s="301" t="s">
        <v>573</v>
      </c>
      <c r="G548" s="308" t="s">
        <v>1213</v>
      </c>
      <c r="H548" s="301" t="s">
        <v>1620</v>
      </c>
    </row>
    <row r="549" spans="4:8" ht="12.75" customHeight="1" x14ac:dyDescent="0.25">
      <c r="D549" s="301" t="s">
        <v>1621</v>
      </c>
      <c r="E549" s="301" t="s">
        <v>425</v>
      </c>
      <c r="F549" s="301" t="s">
        <v>1244</v>
      </c>
      <c r="G549" s="301" t="s">
        <v>1586</v>
      </c>
      <c r="H549" s="301" t="s">
        <v>1622</v>
      </c>
    </row>
    <row r="550" spans="4:8" ht="12.75" customHeight="1" x14ac:dyDescent="0.25">
      <c r="D550" s="301" t="s">
        <v>1623</v>
      </c>
      <c r="E550" s="301" t="s">
        <v>425</v>
      </c>
      <c r="F550" s="301" t="s">
        <v>1244</v>
      </c>
      <c r="G550" s="301" t="s">
        <v>1586</v>
      </c>
      <c r="H550" s="301" t="s">
        <v>1624</v>
      </c>
    </row>
    <row r="551" spans="4:8" ht="12.75" customHeight="1" x14ac:dyDescent="0.25">
      <c r="D551" s="301" t="s">
        <v>1625</v>
      </c>
      <c r="E551" s="301" t="s">
        <v>425</v>
      </c>
      <c r="F551" s="301" t="s">
        <v>573</v>
      </c>
      <c r="G551" s="301" t="s">
        <v>1626</v>
      </c>
      <c r="H551" s="301" t="s">
        <v>1627</v>
      </c>
    </row>
    <row r="552" spans="4:8" ht="12.75" customHeight="1" x14ac:dyDescent="0.25">
      <c r="D552" s="301" t="s">
        <v>1628</v>
      </c>
      <c r="E552" s="301" t="s">
        <v>471</v>
      </c>
      <c r="F552" s="301" t="s">
        <v>471</v>
      </c>
      <c r="G552" s="301" t="s">
        <v>1348</v>
      </c>
      <c r="H552" s="301" t="s">
        <v>1629</v>
      </c>
    </row>
    <row r="553" spans="4:8" ht="12.75" customHeight="1" x14ac:dyDescent="0.25">
      <c r="D553" s="301" t="s">
        <v>1630</v>
      </c>
      <c r="E553" s="301" t="s">
        <v>425</v>
      </c>
      <c r="F553" s="301" t="s">
        <v>426</v>
      </c>
      <c r="G553" s="301" t="s">
        <v>1534</v>
      </c>
      <c r="H553" s="301" t="s">
        <v>1631</v>
      </c>
    </row>
    <row r="554" spans="4:8" ht="12.75" customHeight="1" x14ac:dyDescent="0.25">
      <c r="D554" s="301" t="s">
        <v>1632</v>
      </c>
      <c r="E554" s="301" t="s">
        <v>425</v>
      </c>
      <c r="F554" s="301" t="s">
        <v>1380</v>
      </c>
      <c r="G554" s="301" t="s">
        <v>1409</v>
      </c>
      <c r="H554" s="301" t="s">
        <v>1633</v>
      </c>
    </row>
    <row r="555" spans="4:8" ht="12.75" customHeight="1" x14ac:dyDescent="0.25">
      <c r="D555" s="301" t="s">
        <v>1634</v>
      </c>
      <c r="E555" s="301" t="s">
        <v>425</v>
      </c>
      <c r="F555" s="301" t="s">
        <v>426</v>
      </c>
      <c r="G555" s="301" t="s">
        <v>1534</v>
      </c>
      <c r="H555" s="301" t="s">
        <v>1635</v>
      </c>
    </row>
    <row r="556" spans="4:8" ht="12.75" customHeight="1" x14ac:dyDescent="0.25">
      <c r="D556" s="301" t="s">
        <v>1636</v>
      </c>
      <c r="E556" s="301" t="s">
        <v>425</v>
      </c>
      <c r="F556" s="301" t="s">
        <v>1380</v>
      </c>
      <c r="G556" s="301" t="s">
        <v>1409</v>
      </c>
      <c r="H556" s="301" t="s">
        <v>1637</v>
      </c>
    </row>
    <row r="557" spans="4:8" ht="12.75" customHeight="1" x14ac:dyDescent="0.25">
      <c r="D557" s="301" t="s">
        <v>1638</v>
      </c>
      <c r="E557" s="301" t="s">
        <v>425</v>
      </c>
      <c r="F557" s="301" t="s">
        <v>426</v>
      </c>
      <c r="G557" s="301" t="s">
        <v>584</v>
      </c>
      <c r="H557" s="301" t="s">
        <v>1639</v>
      </c>
    </row>
    <row r="558" spans="4:8" ht="12.75" customHeight="1" x14ac:dyDescent="0.25">
      <c r="D558" s="301" t="s">
        <v>1640</v>
      </c>
      <c r="E558" s="301" t="s">
        <v>425</v>
      </c>
      <c r="F558" s="301" t="s">
        <v>426</v>
      </c>
      <c r="G558" s="301" t="s">
        <v>584</v>
      </c>
      <c r="H558" s="301" t="s">
        <v>1641</v>
      </c>
    </row>
    <row r="559" spans="4:8" ht="12.75" customHeight="1" x14ac:dyDescent="0.25">
      <c r="D559" s="301" t="s">
        <v>1642</v>
      </c>
      <c r="E559" s="301" t="s">
        <v>425</v>
      </c>
      <c r="F559" s="301" t="s">
        <v>573</v>
      </c>
      <c r="G559" s="308" t="s">
        <v>1254</v>
      </c>
      <c r="H559" s="301" t="s">
        <v>1643</v>
      </c>
    </row>
    <row r="560" spans="4:8" ht="12.75" customHeight="1" x14ac:dyDescent="0.25">
      <c r="D560" s="301" t="s">
        <v>1644</v>
      </c>
      <c r="E560" s="301" t="s">
        <v>425</v>
      </c>
      <c r="F560" s="301" t="s">
        <v>1244</v>
      </c>
      <c r="G560" s="301" t="s">
        <v>1432</v>
      </c>
      <c r="H560" s="301" t="s">
        <v>1645</v>
      </c>
    </row>
    <row r="561" spans="4:8" ht="12.75" customHeight="1" x14ac:dyDescent="0.25">
      <c r="D561" s="301" t="s">
        <v>1646</v>
      </c>
      <c r="E561" s="301" t="s">
        <v>425</v>
      </c>
      <c r="F561" s="301" t="s">
        <v>1244</v>
      </c>
      <c r="G561" s="301" t="s">
        <v>1432</v>
      </c>
      <c r="H561" s="301" t="s">
        <v>1647</v>
      </c>
    </row>
    <row r="562" spans="4:8" ht="12.75" customHeight="1" x14ac:dyDescent="0.25">
      <c r="D562" s="301" t="s">
        <v>1648</v>
      </c>
      <c r="E562" s="301" t="s">
        <v>425</v>
      </c>
      <c r="F562" s="301" t="s">
        <v>1380</v>
      </c>
      <c r="G562" s="301" t="s">
        <v>1409</v>
      </c>
      <c r="H562" s="301" t="s">
        <v>1649</v>
      </c>
    </row>
    <row r="563" spans="4:8" ht="12.75" customHeight="1" x14ac:dyDescent="0.25">
      <c r="D563" s="301" t="s">
        <v>1650</v>
      </c>
      <c r="E563" s="301" t="s">
        <v>425</v>
      </c>
      <c r="F563" s="301" t="s">
        <v>426</v>
      </c>
      <c r="G563" s="301" t="s">
        <v>584</v>
      </c>
      <c r="H563" s="301" t="s">
        <v>1651</v>
      </c>
    </row>
    <row r="564" spans="4:8" ht="12.75" customHeight="1" x14ac:dyDescent="0.25">
      <c r="D564" s="301" t="s">
        <v>1652</v>
      </c>
      <c r="E564" s="301" t="s">
        <v>425</v>
      </c>
      <c r="F564" s="301" t="s">
        <v>1371</v>
      </c>
      <c r="G564" s="301" t="s">
        <v>1371</v>
      </c>
      <c r="H564" s="301" t="s">
        <v>1653</v>
      </c>
    </row>
    <row r="565" spans="4:8" ht="12.75" customHeight="1" x14ac:dyDescent="0.25">
      <c r="D565" s="301" t="s">
        <v>1654</v>
      </c>
      <c r="E565" s="301" t="s">
        <v>425</v>
      </c>
      <c r="F565" s="301" t="s">
        <v>1374</v>
      </c>
      <c r="G565" s="301" t="s">
        <v>1655</v>
      </c>
      <c r="H565" s="301" t="s">
        <v>1656</v>
      </c>
    </row>
    <row r="566" spans="4:8" ht="12.75" customHeight="1" x14ac:dyDescent="0.25">
      <c r="D566" s="301" t="s">
        <v>1657</v>
      </c>
      <c r="E566" s="301" t="s">
        <v>425</v>
      </c>
      <c r="F566" s="301" t="s">
        <v>1374</v>
      </c>
      <c r="G566" s="301" t="s">
        <v>1406</v>
      </c>
      <c r="H566" s="301" t="s">
        <v>1658</v>
      </c>
    </row>
    <row r="567" spans="4:8" ht="12.75" customHeight="1" x14ac:dyDescent="0.25">
      <c r="D567" s="301" t="s">
        <v>1659</v>
      </c>
      <c r="E567" s="301" t="s">
        <v>425</v>
      </c>
      <c r="F567" s="301" t="s">
        <v>1374</v>
      </c>
      <c r="G567" s="301" t="s">
        <v>1406</v>
      </c>
      <c r="H567" s="301" t="s">
        <v>1660</v>
      </c>
    </row>
    <row r="568" spans="4:8" ht="12.75" customHeight="1" x14ac:dyDescent="0.25">
      <c r="D568" s="301" t="s">
        <v>1661</v>
      </c>
      <c r="E568" s="301" t="s">
        <v>425</v>
      </c>
      <c r="F568" s="301" t="s">
        <v>1374</v>
      </c>
      <c r="G568" s="301" t="s">
        <v>1406</v>
      </c>
      <c r="H568" s="301" t="s">
        <v>1662</v>
      </c>
    </row>
    <row r="569" spans="4:8" ht="12.75" customHeight="1" x14ac:dyDescent="0.25">
      <c r="D569" s="301" t="s">
        <v>1663</v>
      </c>
      <c r="E569" s="301" t="s">
        <v>425</v>
      </c>
      <c r="F569" s="301" t="s">
        <v>1380</v>
      </c>
      <c r="G569" s="301" t="s">
        <v>1445</v>
      </c>
      <c r="H569" s="301" t="s">
        <v>1664</v>
      </c>
    </row>
    <row r="570" spans="4:8" ht="12.75" customHeight="1" x14ac:dyDescent="0.25">
      <c r="D570" s="301" t="s">
        <v>1665</v>
      </c>
      <c r="E570" s="301" t="s">
        <v>425</v>
      </c>
      <c r="F570" s="301" t="s">
        <v>546</v>
      </c>
      <c r="G570" s="301" t="s">
        <v>1427</v>
      </c>
      <c r="H570" s="301" t="s">
        <v>1666</v>
      </c>
    </row>
    <row r="571" spans="4:8" ht="12.75" customHeight="1" x14ac:dyDescent="0.25">
      <c r="D571" s="301" t="s">
        <v>1667</v>
      </c>
      <c r="E571" s="301" t="s">
        <v>425</v>
      </c>
      <c r="F571" s="301" t="s">
        <v>573</v>
      </c>
      <c r="G571" s="301" t="s">
        <v>574</v>
      </c>
      <c r="H571" s="301" t="s">
        <v>1668</v>
      </c>
    </row>
    <row r="572" spans="4:8" ht="12.75" customHeight="1" x14ac:dyDescent="0.25">
      <c r="D572" s="301" t="s">
        <v>1669</v>
      </c>
      <c r="E572" s="301" t="s">
        <v>425</v>
      </c>
      <c r="F572" s="301" t="s">
        <v>1244</v>
      </c>
      <c r="G572" s="301" t="s">
        <v>1432</v>
      </c>
      <c r="H572" s="301" t="s">
        <v>1670</v>
      </c>
    </row>
    <row r="573" spans="4:8" ht="12.75" customHeight="1" x14ac:dyDescent="0.25">
      <c r="D573" s="301" t="s">
        <v>1671</v>
      </c>
      <c r="E573" s="301" t="s">
        <v>425</v>
      </c>
      <c r="F573" s="301" t="s">
        <v>426</v>
      </c>
      <c r="G573" s="301" t="s">
        <v>584</v>
      </c>
      <c r="H573" s="301" t="s">
        <v>1672</v>
      </c>
    </row>
    <row r="574" spans="4:8" ht="12.75" customHeight="1" x14ac:dyDescent="0.25">
      <c r="D574" s="301" t="s">
        <v>1673</v>
      </c>
      <c r="E574" s="301" t="s">
        <v>425</v>
      </c>
      <c r="F574" s="301" t="s">
        <v>573</v>
      </c>
      <c r="G574" s="308" t="s">
        <v>1213</v>
      </c>
      <c r="H574" s="301" t="s">
        <v>1674</v>
      </c>
    </row>
    <row r="575" spans="4:8" ht="12.75" customHeight="1" x14ac:dyDescent="0.25">
      <c r="D575" s="301" t="s">
        <v>1675</v>
      </c>
      <c r="E575" s="301" t="s">
        <v>425</v>
      </c>
      <c r="F575" s="301" t="s">
        <v>1380</v>
      </c>
      <c r="G575" s="301" t="s">
        <v>1381</v>
      </c>
      <c r="H575" s="301" t="s">
        <v>1676</v>
      </c>
    </row>
    <row r="576" spans="4:8" ht="12.75" customHeight="1" x14ac:dyDescent="0.25">
      <c r="D576" s="301" t="s">
        <v>1677</v>
      </c>
      <c r="E576" s="301" t="s">
        <v>425</v>
      </c>
      <c r="F576" s="301" t="s">
        <v>426</v>
      </c>
      <c r="G576" s="301" t="s">
        <v>584</v>
      </c>
      <c r="H576" s="301" t="s">
        <v>1678</v>
      </c>
    </row>
    <row r="577" spans="4:8" ht="12.75" customHeight="1" x14ac:dyDescent="0.25">
      <c r="D577" s="301" t="s">
        <v>1679</v>
      </c>
      <c r="E577" s="301" t="s">
        <v>425</v>
      </c>
      <c r="F577" s="301" t="s">
        <v>1238</v>
      </c>
      <c r="G577" s="301" t="s">
        <v>1575</v>
      </c>
      <c r="H577" s="301" t="s">
        <v>1680</v>
      </c>
    </row>
    <row r="578" spans="4:8" ht="12.75" customHeight="1" x14ac:dyDescent="0.25">
      <c r="D578" s="301" t="s">
        <v>1681</v>
      </c>
      <c r="E578" s="301" t="s">
        <v>425</v>
      </c>
      <c r="F578" s="301" t="s">
        <v>1380</v>
      </c>
      <c r="G578" s="301" t="s">
        <v>1409</v>
      </c>
      <c r="H578" s="301" t="s">
        <v>1682</v>
      </c>
    </row>
    <row r="579" spans="4:8" ht="12.75" customHeight="1" x14ac:dyDescent="0.25">
      <c r="D579" s="301" t="s">
        <v>1683</v>
      </c>
      <c r="E579" s="301" t="s">
        <v>425</v>
      </c>
      <c r="F579" s="301" t="s">
        <v>1684</v>
      </c>
      <c r="G579" s="301" t="s">
        <v>1685</v>
      </c>
      <c r="H579" s="301" t="s">
        <v>1686</v>
      </c>
    </row>
    <row r="580" spans="4:8" ht="12.75" customHeight="1" x14ac:dyDescent="0.25">
      <c r="D580" s="301" t="s">
        <v>1687</v>
      </c>
      <c r="E580" s="301" t="s">
        <v>425</v>
      </c>
      <c r="F580" s="301" t="s">
        <v>1371</v>
      </c>
      <c r="G580" s="301" t="s">
        <v>1371</v>
      </c>
      <c r="H580" s="301" t="s">
        <v>1688</v>
      </c>
    </row>
    <row r="581" spans="4:8" ht="12.75" customHeight="1" x14ac:dyDescent="0.25">
      <c r="D581" s="301" t="s">
        <v>1689</v>
      </c>
      <c r="E581" s="301" t="s">
        <v>425</v>
      </c>
      <c r="F581" s="301" t="s">
        <v>1374</v>
      </c>
      <c r="G581" s="301" t="s">
        <v>1406</v>
      </c>
      <c r="H581" s="301" t="s">
        <v>1690</v>
      </c>
    </row>
    <row r="582" spans="4:8" ht="12.75" customHeight="1" x14ac:dyDescent="0.25">
      <c r="D582" s="301" t="s">
        <v>1691</v>
      </c>
      <c r="E582" s="301" t="s">
        <v>425</v>
      </c>
      <c r="F582" s="301" t="s">
        <v>1244</v>
      </c>
      <c r="G582" s="301" t="s">
        <v>1432</v>
      </c>
      <c r="H582" s="301" t="s">
        <v>1692</v>
      </c>
    </row>
    <row r="583" spans="4:8" ht="12.75" customHeight="1" x14ac:dyDescent="0.25">
      <c r="D583" s="301" t="s">
        <v>1693</v>
      </c>
      <c r="E583" s="301" t="s">
        <v>425</v>
      </c>
      <c r="F583" s="301" t="s">
        <v>1244</v>
      </c>
      <c r="G583" s="301" t="s">
        <v>1245</v>
      </c>
      <c r="H583" s="301" t="s">
        <v>1694</v>
      </c>
    </row>
    <row r="584" spans="4:8" ht="12.75" customHeight="1" x14ac:dyDescent="0.25">
      <c r="D584" s="301" t="s">
        <v>1695</v>
      </c>
      <c r="E584" s="301" t="s">
        <v>425</v>
      </c>
      <c r="F584" s="301" t="s">
        <v>1244</v>
      </c>
      <c r="G584" s="301" t="s">
        <v>1432</v>
      </c>
      <c r="H584" s="301" t="s">
        <v>1696</v>
      </c>
    </row>
    <row r="585" spans="4:8" ht="12.75" customHeight="1" x14ac:dyDescent="0.25">
      <c r="D585" s="301" t="s">
        <v>1697</v>
      </c>
      <c r="E585" s="301" t="s">
        <v>425</v>
      </c>
      <c r="F585" s="301" t="s">
        <v>1380</v>
      </c>
      <c r="G585" s="301" t="s">
        <v>1409</v>
      </c>
      <c r="H585" s="301" t="s">
        <v>1698</v>
      </c>
    </row>
    <row r="586" spans="4:8" ht="12.75" customHeight="1" x14ac:dyDescent="0.25">
      <c r="D586" s="301" t="s">
        <v>1699</v>
      </c>
      <c r="E586" s="301" t="s">
        <v>425</v>
      </c>
      <c r="F586" s="301" t="s">
        <v>426</v>
      </c>
      <c r="G586" s="301" t="s">
        <v>427</v>
      </c>
      <c r="H586" s="301" t="s">
        <v>1700</v>
      </c>
    </row>
    <row r="587" spans="4:8" ht="12.75" customHeight="1" x14ac:dyDescent="0.25">
      <c r="D587" s="301" t="s">
        <v>1701</v>
      </c>
      <c r="E587" s="301" t="s">
        <v>425</v>
      </c>
      <c r="F587" s="301" t="s">
        <v>1380</v>
      </c>
      <c r="G587" s="301" t="s">
        <v>1547</v>
      </c>
      <c r="H587" s="301" t="s">
        <v>1702</v>
      </c>
    </row>
    <row r="588" spans="4:8" ht="12.75" customHeight="1" x14ac:dyDescent="0.25">
      <c r="D588" s="301" t="s">
        <v>1703</v>
      </c>
      <c r="E588" s="301" t="s">
        <v>425</v>
      </c>
      <c r="F588" s="301" t="s">
        <v>1380</v>
      </c>
      <c r="G588" s="301" t="s">
        <v>1529</v>
      </c>
      <c r="H588" s="301" t="s">
        <v>1704</v>
      </c>
    </row>
    <row r="589" spans="4:8" ht="12.75" customHeight="1" x14ac:dyDescent="0.25">
      <c r="D589" s="301" t="s">
        <v>1705</v>
      </c>
      <c r="E589" s="301" t="s">
        <v>425</v>
      </c>
      <c r="F589" s="301" t="s">
        <v>1380</v>
      </c>
      <c r="G589" s="301" t="s">
        <v>1381</v>
      </c>
      <c r="H589" s="301" t="s">
        <v>1706</v>
      </c>
    </row>
    <row r="590" spans="4:8" ht="12.75" customHeight="1" x14ac:dyDescent="0.25">
      <c r="D590" s="301" t="s">
        <v>1707</v>
      </c>
      <c r="E590" s="301" t="s">
        <v>425</v>
      </c>
      <c r="F590" s="301" t="s">
        <v>1244</v>
      </c>
      <c r="G590" s="301" t="s">
        <v>1432</v>
      </c>
      <c r="H590" s="301" t="s">
        <v>1708</v>
      </c>
    </row>
    <row r="591" spans="4:8" ht="12.75" customHeight="1" x14ac:dyDescent="0.25">
      <c r="D591" s="301" t="s">
        <v>1709</v>
      </c>
      <c r="E591" s="301" t="s">
        <v>425</v>
      </c>
      <c r="F591" s="301" t="s">
        <v>1374</v>
      </c>
      <c r="G591" s="301" t="s">
        <v>1710</v>
      </c>
      <c r="H591" s="301" t="s">
        <v>1711</v>
      </c>
    </row>
    <row r="592" spans="4:8" ht="12.75" customHeight="1" x14ac:dyDescent="0.25">
      <c r="D592" s="301" t="s">
        <v>1712</v>
      </c>
      <c r="E592" s="301" t="s">
        <v>425</v>
      </c>
      <c r="F592" s="301" t="s">
        <v>1684</v>
      </c>
      <c r="G592" s="301" t="s">
        <v>1713</v>
      </c>
      <c r="H592" s="301" t="s">
        <v>1714</v>
      </c>
    </row>
    <row r="593" spans="4:8" ht="12.75" customHeight="1" x14ac:dyDescent="0.25">
      <c r="D593" s="301" t="s">
        <v>1715</v>
      </c>
      <c r="E593" s="301" t="s">
        <v>425</v>
      </c>
      <c r="F593" s="301" t="s">
        <v>1380</v>
      </c>
      <c r="G593" s="301" t="s">
        <v>1381</v>
      </c>
      <c r="H593" s="301" t="s">
        <v>1716</v>
      </c>
    </row>
    <row r="594" spans="4:8" ht="12.75" customHeight="1" x14ac:dyDescent="0.25">
      <c r="D594" s="301" t="s">
        <v>1717</v>
      </c>
      <c r="E594" s="301" t="s">
        <v>425</v>
      </c>
      <c r="F594" s="301" t="s">
        <v>1371</v>
      </c>
      <c r="G594" s="301" t="s">
        <v>1371</v>
      </c>
      <c r="H594" s="301" t="s">
        <v>1718</v>
      </c>
    </row>
    <row r="595" spans="4:8" ht="12.75" customHeight="1" x14ac:dyDescent="0.25">
      <c r="D595" s="301" t="s">
        <v>1719</v>
      </c>
      <c r="E595" s="301" t="s">
        <v>425</v>
      </c>
      <c r="F595" s="301" t="s">
        <v>1380</v>
      </c>
      <c r="G595" s="301" t="s">
        <v>1399</v>
      </c>
      <c r="H595" s="301" t="s">
        <v>1720</v>
      </c>
    </row>
    <row r="596" spans="4:8" ht="12.75" customHeight="1" x14ac:dyDescent="0.25">
      <c r="D596" s="301" t="s">
        <v>1721</v>
      </c>
      <c r="E596" s="301" t="s">
        <v>425</v>
      </c>
      <c r="F596" s="301" t="s">
        <v>1238</v>
      </c>
      <c r="G596" s="301" t="s">
        <v>1239</v>
      </c>
      <c r="H596" s="301" t="s">
        <v>1722</v>
      </c>
    </row>
    <row r="597" spans="4:8" ht="12.75" customHeight="1" x14ac:dyDescent="0.25">
      <c r="D597" s="301" t="s">
        <v>1723</v>
      </c>
      <c r="E597" s="301" t="s">
        <v>425</v>
      </c>
      <c r="F597" s="301" t="s">
        <v>426</v>
      </c>
      <c r="G597" s="301" t="s">
        <v>1191</v>
      </c>
      <c r="H597" s="301" t="s">
        <v>1724</v>
      </c>
    </row>
    <row r="598" spans="4:8" ht="12.75" customHeight="1" x14ac:dyDescent="0.25">
      <c r="D598" s="301" t="s">
        <v>1725</v>
      </c>
      <c r="E598" s="301" t="s">
        <v>425</v>
      </c>
      <c r="F598" s="301" t="s">
        <v>573</v>
      </c>
      <c r="G598" s="301" t="s">
        <v>574</v>
      </c>
      <c r="H598" s="301" t="s">
        <v>1726</v>
      </c>
    </row>
    <row r="599" spans="4:8" ht="12.75" customHeight="1" x14ac:dyDescent="0.25">
      <c r="D599" s="301" t="s">
        <v>1727</v>
      </c>
      <c r="E599" s="301" t="s">
        <v>425</v>
      </c>
      <c r="F599" s="301" t="s">
        <v>1380</v>
      </c>
      <c r="G599" s="301" t="s">
        <v>1526</v>
      </c>
      <c r="H599" s="301" t="s">
        <v>1728</v>
      </c>
    </row>
    <row r="600" spans="4:8" ht="12.75" customHeight="1" x14ac:dyDescent="0.25">
      <c r="D600" s="301" t="s">
        <v>1729</v>
      </c>
      <c r="E600" s="301" t="s">
        <v>425</v>
      </c>
      <c r="F600" s="301" t="s">
        <v>573</v>
      </c>
      <c r="G600" s="301" t="s">
        <v>1626</v>
      </c>
      <c r="H600" s="301" t="s">
        <v>1730</v>
      </c>
    </row>
    <row r="601" spans="4:8" ht="12.75" customHeight="1" x14ac:dyDescent="0.25">
      <c r="D601" s="301" t="s">
        <v>1731</v>
      </c>
      <c r="E601" s="301" t="s">
        <v>425</v>
      </c>
      <c r="F601" s="301" t="s">
        <v>1374</v>
      </c>
      <c r="G601" s="301" t="s">
        <v>1394</v>
      </c>
      <c r="H601" s="301" t="s">
        <v>1732</v>
      </c>
    </row>
    <row r="602" spans="4:8" ht="12.75" customHeight="1" x14ac:dyDescent="0.25">
      <c r="D602" s="301" t="s">
        <v>1733</v>
      </c>
      <c r="E602" s="301" t="s">
        <v>443</v>
      </c>
      <c r="F602" s="301" t="s">
        <v>444</v>
      </c>
      <c r="G602" s="301" t="s">
        <v>445</v>
      </c>
      <c r="H602" s="301" t="s">
        <v>1734</v>
      </c>
    </row>
    <row r="603" spans="4:8" ht="12.75" customHeight="1" x14ac:dyDescent="0.25">
      <c r="D603" s="301" t="s">
        <v>1735</v>
      </c>
      <c r="E603" s="301" t="s">
        <v>425</v>
      </c>
      <c r="F603" s="301" t="s">
        <v>1374</v>
      </c>
      <c r="G603" s="301" t="s">
        <v>1736</v>
      </c>
      <c r="H603" s="301" t="s">
        <v>1737</v>
      </c>
    </row>
    <row r="604" spans="4:8" ht="12.75" customHeight="1" x14ac:dyDescent="0.25">
      <c r="D604" s="301" t="s">
        <v>1738</v>
      </c>
      <c r="E604" s="301" t="s">
        <v>443</v>
      </c>
      <c r="F604" s="301" t="s">
        <v>444</v>
      </c>
      <c r="G604" s="301" t="s">
        <v>445</v>
      </c>
      <c r="H604" s="301" t="s">
        <v>1739</v>
      </c>
    </row>
    <row r="605" spans="4:8" ht="12.75" customHeight="1" x14ac:dyDescent="0.25">
      <c r="D605" s="301" t="s">
        <v>1740</v>
      </c>
      <c r="E605" s="301" t="s">
        <v>425</v>
      </c>
      <c r="F605" s="301" t="s">
        <v>573</v>
      </c>
      <c r="G605" s="308" t="s">
        <v>1254</v>
      </c>
      <c r="H605" s="301" t="s">
        <v>1741</v>
      </c>
    </row>
    <row r="606" spans="4:8" ht="12.75" customHeight="1" x14ac:dyDescent="0.25">
      <c r="D606" s="301" t="s">
        <v>1742</v>
      </c>
      <c r="E606" s="301" t="s">
        <v>425</v>
      </c>
      <c r="F606" s="301" t="s">
        <v>573</v>
      </c>
      <c r="G606" s="301" t="s">
        <v>574</v>
      </c>
      <c r="H606" s="301" t="s">
        <v>1743</v>
      </c>
    </row>
    <row r="607" spans="4:8" ht="12.75" customHeight="1" x14ac:dyDescent="0.25">
      <c r="D607" s="301" t="s">
        <v>1744</v>
      </c>
      <c r="E607" s="301" t="s">
        <v>425</v>
      </c>
      <c r="F607" s="301" t="s">
        <v>1374</v>
      </c>
      <c r="G607" s="301" t="s">
        <v>1406</v>
      </c>
      <c r="H607" s="301" t="s">
        <v>1745</v>
      </c>
    </row>
    <row r="608" spans="4:8" ht="12.75" customHeight="1" x14ac:dyDescent="0.25">
      <c r="D608" s="301" t="s">
        <v>1746</v>
      </c>
      <c r="E608" s="301" t="s">
        <v>425</v>
      </c>
      <c r="F608" s="301" t="s">
        <v>573</v>
      </c>
      <c r="G608" s="308" t="s">
        <v>1254</v>
      </c>
      <c r="H608" s="301" t="s">
        <v>1747</v>
      </c>
    </row>
    <row r="609" spans="4:8" ht="12.75" customHeight="1" x14ac:dyDescent="0.25">
      <c r="D609" s="301" t="s">
        <v>1748</v>
      </c>
      <c r="E609" s="301" t="s">
        <v>425</v>
      </c>
      <c r="F609" s="301" t="s">
        <v>426</v>
      </c>
      <c r="G609" s="301" t="s">
        <v>1534</v>
      </c>
      <c r="H609" s="301" t="s">
        <v>1749</v>
      </c>
    </row>
    <row r="610" spans="4:8" ht="12.75" customHeight="1" x14ac:dyDescent="0.25">
      <c r="D610" s="301" t="s">
        <v>1750</v>
      </c>
      <c r="E610" s="301" t="s">
        <v>425</v>
      </c>
      <c r="F610" s="301" t="s">
        <v>573</v>
      </c>
      <c r="G610" s="301" t="s">
        <v>574</v>
      </c>
      <c r="H610" s="301" t="s">
        <v>1751</v>
      </c>
    </row>
    <row r="611" spans="4:8" ht="12.75" customHeight="1" x14ac:dyDescent="0.25">
      <c r="D611" s="301" t="s">
        <v>1752</v>
      </c>
      <c r="E611" s="301" t="s">
        <v>425</v>
      </c>
      <c r="F611" s="301" t="s">
        <v>1380</v>
      </c>
      <c r="G611" s="301" t="s">
        <v>1409</v>
      </c>
      <c r="H611" s="301" t="s">
        <v>1753</v>
      </c>
    </row>
    <row r="612" spans="4:8" ht="12.75" customHeight="1" x14ac:dyDescent="0.25">
      <c r="D612" s="301" t="s">
        <v>1754</v>
      </c>
      <c r="E612" s="301" t="s">
        <v>425</v>
      </c>
      <c r="F612" s="301" t="s">
        <v>573</v>
      </c>
      <c r="G612" s="301" t="s">
        <v>574</v>
      </c>
      <c r="H612" s="301" t="s">
        <v>1755</v>
      </c>
    </row>
    <row r="613" spans="4:8" ht="12.75" customHeight="1" x14ac:dyDescent="0.25">
      <c r="D613" s="301" t="s">
        <v>1756</v>
      </c>
      <c r="E613" s="301" t="s">
        <v>425</v>
      </c>
      <c r="F613" s="301" t="s">
        <v>1380</v>
      </c>
      <c r="G613" s="301" t="s">
        <v>1381</v>
      </c>
      <c r="H613" s="301" t="s">
        <v>1757</v>
      </c>
    </row>
    <row r="614" spans="4:8" ht="12.75" customHeight="1" x14ac:dyDescent="0.25">
      <c r="D614" s="301" t="s">
        <v>1758</v>
      </c>
      <c r="E614" s="301" t="s">
        <v>425</v>
      </c>
      <c r="F614" s="301" t="s">
        <v>573</v>
      </c>
      <c r="G614" s="301" t="s">
        <v>574</v>
      </c>
      <c r="H614" s="301" t="s">
        <v>1759</v>
      </c>
    </row>
    <row r="615" spans="4:8" ht="12.75" customHeight="1" x14ac:dyDescent="0.25">
      <c r="D615" s="301" t="s">
        <v>1760</v>
      </c>
      <c r="E615" s="301" t="s">
        <v>425</v>
      </c>
      <c r="F615" s="301" t="s">
        <v>1374</v>
      </c>
      <c r="G615" s="301" t="s">
        <v>1406</v>
      </c>
      <c r="H615" s="301" t="s">
        <v>1761</v>
      </c>
    </row>
    <row r="616" spans="4:8" ht="12.75" customHeight="1" x14ac:dyDescent="0.25">
      <c r="D616" s="301" t="s">
        <v>1762</v>
      </c>
      <c r="E616" s="301" t="s">
        <v>425</v>
      </c>
      <c r="F616" s="301" t="s">
        <v>426</v>
      </c>
      <c r="G616" s="301" t="s">
        <v>427</v>
      </c>
      <c r="H616" s="301" t="s">
        <v>1763</v>
      </c>
    </row>
    <row r="617" spans="4:8" ht="12.75" customHeight="1" x14ac:dyDescent="0.25">
      <c r="D617" s="301" t="s">
        <v>1764</v>
      </c>
      <c r="E617" s="301" t="s">
        <v>425</v>
      </c>
      <c r="F617" s="301" t="s">
        <v>426</v>
      </c>
      <c r="G617" s="301" t="s">
        <v>1210</v>
      </c>
      <c r="H617" s="301" t="s">
        <v>1765</v>
      </c>
    </row>
    <row r="618" spans="4:8" ht="12.75" customHeight="1" x14ac:dyDescent="0.25">
      <c r="D618" s="301" t="s">
        <v>1766</v>
      </c>
      <c r="E618" s="301" t="s">
        <v>425</v>
      </c>
      <c r="F618" s="301" t="s">
        <v>426</v>
      </c>
      <c r="G618" s="301" t="s">
        <v>1210</v>
      </c>
      <c r="H618" s="301" t="s">
        <v>1767</v>
      </c>
    </row>
    <row r="619" spans="4:8" ht="12.75" customHeight="1" x14ac:dyDescent="0.25">
      <c r="D619" s="301" t="s">
        <v>1768</v>
      </c>
      <c r="E619" s="301" t="s">
        <v>425</v>
      </c>
      <c r="F619" s="301" t="s">
        <v>426</v>
      </c>
      <c r="G619" s="301" t="s">
        <v>427</v>
      </c>
      <c r="H619" s="301" t="s">
        <v>1769</v>
      </c>
    </row>
    <row r="620" spans="4:8" ht="12.75" customHeight="1" x14ac:dyDescent="0.25">
      <c r="D620" s="301" t="s">
        <v>1770</v>
      </c>
      <c r="E620" s="301" t="s">
        <v>425</v>
      </c>
      <c r="F620" s="301" t="s">
        <v>426</v>
      </c>
      <c r="G620" s="301" t="s">
        <v>1534</v>
      </c>
      <c r="H620" s="301" t="s">
        <v>1771</v>
      </c>
    </row>
    <row r="621" spans="4:8" ht="12.75" customHeight="1" x14ac:dyDescent="0.25">
      <c r="D621" s="301" t="s">
        <v>1772</v>
      </c>
      <c r="E621" s="301" t="s">
        <v>425</v>
      </c>
      <c r="F621" s="301" t="s">
        <v>426</v>
      </c>
      <c r="G621" s="301" t="s">
        <v>427</v>
      </c>
      <c r="H621" s="301" t="s">
        <v>1773</v>
      </c>
    </row>
    <row r="622" spans="4:8" ht="12.75" customHeight="1" x14ac:dyDescent="0.25">
      <c r="D622" s="301" t="s">
        <v>1774</v>
      </c>
      <c r="E622" s="301" t="s">
        <v>425</v>
      </c>
      <c r="F622" s="301" t="s">
        <v>426</v>
      </c>
      <c r="G622" s="301" t="s">
        <v>1210</v>
      </c>
      <c r="H622" s="301" t="s">
        <v>1775</v>
      </c>
    </row>
    <row r="623" spans="4:8" ht="12.75" customHeight="1" x14ac:dyDescent="0.25">
      <c r="D623" s="301" t="s">
        <v>1776</v>
      </c>
      <c r="E623" s="301" t="s">
        <v>425</v>
      </c>
      <c r="F623" s="301" t="s">
        <v>426</v>
      </c>
      <c r="G623" s="301" t="s">
        <v>427</v>
      </c>
      <c r="H623" s="301" t="s">
        <v>1777</v>
      </c>
    </row>
    <row r="624" spans="4:8" ht="12.75" customHeight="1" x14ac:dyDescent="0.25">
      <c r="D624" s="301" t="s">
        <v>1778</v>
      </c>
      <c r="E624" s="301" t="s">
        <v>425</v>
      </c>
      <c r="F624" s="301" t="s">
        <v>1380</v>
      </c>
      <c r="G624" s="301" t="s">
        <v>1409</v>
      </c>
      <c r="H624" s="301" t="s">
        <v>1779</v>
      </c>
    </row>
    <row r="625" spans="4:8" ht="12.75" customHeight="1" x14ac:dyDescent="0.25">
      <c r="D625" s="301" t="s">
        <v>1780</v>
      </c>
      <c r="E625" s="301" t="s">
        <v>425</v>
      </c>
      <c r="F625" s="301" t="s">
        <v>1371</v>
      </c>
      <c r="G625" s="301" t="s">
        <v>1371</v>
      </c>
      <c r="H625" s="301" t="s">
        <v>1781</v>
      </c>
    </row>
    <row r="626" spans="4:8" ht="12.75" customHeight="1" x14ac:dyDescent="0.25">
      <c r="D626" s="301" t="s">
        <v>1782</v>
      </c>
      <c r="E626" s="301" t="s">
        <v>425</v>
      </c>
      <c r="F626" s="301" t="s">
        <v>426</v>
      </c>
      <c r="G626" s="301" t="s">
        <v>1191</v>
      </c>
      <c r="H626" s="301" t="s">
        <v>1783</v>
      </c>
    </row>
    <row r="627" spans="4:8" ht="12.75" customHeight="1" x14ac:dyDescent="0.25">
      <c r="D627" s="301" t="s">
        <v>1784</v>
      </c>
      <c r="E627" s="301" t="s">
        <v>425</v>
      </c>
      <c r="F627" s="301" t="s">
        <v>1374</v>
      </c>
      <c r="G627" s="301" t="s">
        <v>1710</v>
      </c>
      <c r="H627" s="301" t="s">
        <v>1785</v>
      </c>
    </row>
    <row r="628" spans="4:8" ht="12.75" customHeight="1" x14ac:dyDescent="0.25">
      <c r="D628" s="301" t="s">
        <v>1786</v>
      </c>
      <c r="E628" s="301" t="s">
        <v>425</v>
      </c>
      <c r="F628" s="301" t="s">
        <v>1374</v>
      </c>
      <c r="G628" s="301" t="s">
        <v>1406</v>
      </c>
      <c r="H628" s="301" t="s">
        <v>1787</v>
      </c>
    </row>
    <row r="629" spans="4:8" ht="12.75" customHeight="1" x14ac:dyDescent="0.25">
      <c r="D629" s="301" t="s">
        <v>1788</v>
      </c>
      <c r="E629" s="301" t="s">
        <v>425</v>
      </c>
      <c r="F629" s="301" t="s">
        <v>426</v>
      </c>
      <c r="G629" s="301" t="s">
        <v>1534</v>
      </c>
      <c r="H629" s="301" t="s">
        <v>1789</v>
      </c>
    </row>
    <row r="630" spans="4:8" ht="12.75" customHeight="1" x14ac:dyDescent="0.25">
      <c r="D630" s="301" t="s">
        <v>1790</v>
      </c>
      <c r="E630" s="301" t="s">
        <v>425</v>
      </c>
      <c r="F630" s="301" t="s">
        <v>1374</v>
      </c>
      <c r="G630" s="301" t="s">
        <v>1406</v>
      </c>
      <c r="H630" s="301" t="s">
        <v>1791</v>
      </c>
    </row>
    <row r="631" spans="4:8" ht="12.75" customHeight="1" x14ac:dyDescent="0.25">
      <c r="D631" s="301" t="s">
        <v>1792</v>
      </c>
      <c r="E631" s="301" t="s">
        <v>425</v>
      </c>
      <c r="F631" s="301" t="s">
        <v>1374</v>
      </c>
      <c r="G631" s="301" t="s">
        <v>1655</v>
      </c>
      <c r="H631" s="301" t="s">
        <v>1793</v>
      </c>
    </row>
    <row r="632" spans="4:8" ht="12.75" customHeight="1" x14ac:dyDescent="0.25">
      <c r="D632" s="301" t="s">
        <v>1794</v>
      </c>
      <c r="E632" s="301" t="s">
        <v>425</v>
      </c>
      <c r="F632" s="301" t="s">
        <v>573</v>
      </c>
      <c r="G632" s="301" t="s">
        <v>574</v>
      </c>
      <c r="H632" s="301" t="s">
        <v>1795</v>
      </c>
    </row>
    <row r="633" spans="4:8" ht="12.75" customHeight="1" x14ac:dyDescent="0.25">
      <c r="D633" s="301" t="s">
        <v>1796</v>
      </c>
      <c r="E633" s="301" t="s">
        <v>425</v>
      </c>
      <c r="F633" s="301" t="s">
        <v>1380</v>
      </c>
      <c r="G633" s="301" t="s">
        <v>1409</v>
      </c>
      <c r="H633" s="301" t="s">
        <v>1797</v>
      </c>
    </row>
    <row r="634" spans="4:8" ht="12.75" customHeight="1" x14ac:dyDescent="0.25">
      <c r="D634" s="301" t="s">
        <v>1798</v>
      </c>
      <c r="E634" s="301" t="s">
        <v>425</v>
      </c>
      <c r="F634" s="301" t="s">
        <v>1371</v>
      </c>
      <c r="G634" s="301" t="s">
        <v>1371</v>
      </c>
      <c r="H634" s="301" t="s">
        <v>1799</v>
      </c>
    </row>
    <row r="635" spans="4:8" ht="12.75" customHeight="1" x14ac:dyDescent="0.25">
      <c r="D635" s="301" t="s">
        <v>1800</v>
      </c>
      <c r="E635" s="301" t="s">
        <v>425</v>
      </c>
      <c r="F635" s="301" t="s">
        <v>546</v>
      </c>
      <c r="G635" s="301" t="s">
        <v>1427</v>
      </c>
      <c r="H635" s="301" t="s">
        <v>1801</v>
      </c>
    </row>
    <row r="636" spans="4:8" ht="12.75" customHeight="1" x14ac:dyDescent="0.25">
      <c r="D636" s="301" t="s">
        <v>1802</v>
      </c>
      <c r="E636" s="301" t="s">
        <v>425</v>
      </c>
      <c r="F636" s="301" t="s">
        <v>1244</v>
      </c>
      <c r="G636" s="301" t="s">
        <v>1245</v>
      </c>
      <c r="H636" s="301" t="s">
        <v>1803</v>
      </c>
    </row>
    <row r="637" spans="4:8" ht="12.75" customHeight="1" x14ac:dyDescent="0.25">
      <c r="D637" s="301" t="s">
        <v>1804</v>
      </c>
      <c r="E637" s="301" t="s">
        <v>425</v>
      </c>
      <c r="F637" s="301" t="s">
        <v>1684</v>
      </c>
      <c r="G637" s="301" t="s">
        <v>1713</v>
      </c>
      <c r="H637" s="301" t="s">
        <v>1805</v>
      </c>
    </row>
    <row r="638" spans="4:8" ht="12.75" customHeight="1" x14ac:dyDescent="0.25">
      <c r="D638" s="301" t="s">
        <v>1806</v>
      </c>
      <c r="E638" s="301" t="s">
        <v>425</v>
      </c>
      <c r="F638" s="301" t="s">
        <v>1374</v>
      </c>
      <c r="G638" s="301" t="s">
        <v>1463</v>
      </c>
      <c r="H638" s="301" t="s">
        <v>1807</v>
      </c>
    </row>
    <row r="639" spans="4:8" ht="12.75" customHeight="1" x14ac:dyDescent="0.25">
      <c r="D639" s="301" t="s">
        <v>1808</v>
      </c>
      <c r="E639" s="301" t="s">
        <v>425</v>
      </c>
      <c r="F639" s="301" t="s">
        <v>1380</v>
      </c>
      <c r="G639" s="301" t="s">
        <v>1399</v>
      </c>
      <c r="H639" s="301" t="s">
        <v>1809</v>
      </c>
    </row>
    <row r="640" spans="4:8" ht="12.75" customHeight="1" x14ac:dyDescent="0.25">
      <c r="D640" s="301" t="s">
        <v>1810</v>
      </c>
      <c r="E640" s="301" t="s">
        <v>425</v>
      </c>
      <c r="F640" s="301" t="s">
        <v>1374</v>
      </c>
      <c r="G640" s="301" t="s">
        <v>1406</v>
      </c>
      <c r="H640" s="301" t="s">
        <v>1811</v>
      </c>
    </row>
    <row r="641" spans="4:8" ht="12.75" customHeight="1" x14ac:dyDescent="0.25">
      <c r="D641" s="301" t="s">
        <v>1812</v>
      </c>
      <c r="E641" s="301" t="s">
        <v>425</v>
      </c>
      <c r="F641" s="301" t="s">
        <v>1371</v>
      </c>
      <c r="G641" s="301" t="s">
        <v>1371</v>
      </c>
      <c r="H641" s="301" t="s">
        <v>1813</v>
      </c>
    </row>
    <row r="642" spans="4:8" ht="12.75" customHeight="1" x14ac:dyDescent="0.25">
      <c r="D642" s="301" t="s">
        <v>1814</v>
      </c>
      <c r="E642" s="301" t="s">
        <v>425</v>
      </c>
      <c r="F642" s="301" t="s">
        <v>573</v>
      </c>
      <c r="G642" s="308" t="s">
        <v>1254</v>
      </c>
      <c r="H642" s="301" t="s">
        <v>1815</v>
      </c>
    </row>
    <row r="643" spans="4:8" ht="12.75" customHeight="1" x14ac:dyDescent="0.25">
      <c r="D643" s="301" t="s">
        <v>1816</v>
      </c>
      <c r="E643" s="301" t="s">
        <v>425</v>
      </c>
      <c r="F643" s="301" t="s">
        <v>573</v>
      </c>
      <c r="G643" s="301" t="s">
        <v>574</v>
      </c>
      <c r="H643" s="301" t="s">
        <v>1817</v>
      </c>
    </row>
    <row r="644" spans="4:8" ht="12.75" customHeight="1" x14ac:dyDescent="0.25">
      <c r="D644" s="301" t="s">
        <v>1818</v>
      </c>
      <c r="E644" s="301" t="s">
        <v>425</v>
      </c>
      <c r="F644" s="301" t="s">
        <v>1238</v>
      </c>
      <c r="G644" s="301" t="s">
        <v>1239</v>
      </c>
      <c r="H644" s="301" t="s">
        <v>1819</v>
      </c>
    </row>
    <row r="645" spans="4:8" ht="12.75" customHeight="1" x14ac:dyDescent="0.25">
      <c r="D645" s="301" t="s">
        <v>1820</v>
      </c>
      <c r="E645" s="301" t="s">
        <v>425</v>
      </c>
      <c r="F645" s="301" t="s">
        <v>1244</v>
      </c>
      <c r="G645" s="301" t="s">
        <v>1245</v>
      </c>
      <c r="H645" s="301" t="s">
        <v>1821</v>
      </c>
    </row>
    <row r="646" spans="4:8" ht="12.75" customHeight="1" x14ac:dyDescent="0.25">
      <c r="D646" s="301" t="s">
        <v>1822</v>
      </c>
      <c r="E646" s="301" t="s">
        <v>425</v>
      </c>
      <c r="F646" s="301" t="s">
        <v>1374</v>
      </c>
      <c r="G646" s="301" t="s">
        <v>1456</v>
      </c>
      <c r="H646" s="301" t="s">
        <v>1823</v>
      </c>
    </row>
    <row r="647" spans="4:8" ht="12.75" customHeight="1" x14ac:dyDescent="0.25">
      <c r="D647" s="301" t="s">
        <v>1824</v>
      </c>
      <c r="E647" s="301" t="s">
        <v>425</v>
      </c>
      <c r="F647" s="301" t="s">
        <v>1374</v>
      </c>
      <c r="G647" s="301" t="s">
        <v>1456</v>
      </c>
      <c r="H647" s="301" t="s">
        <v>1825</v>
      </c>
    </row>
    <row r="648" spans="4:8" ht="12.75" customHeight="1" x14ac:dyDescent="0.25">
      <c r="D648" s="301" t="s">
        <v>1826</v>
      </c>
      <c r="E648" s="301" t="s">
        <v>425</v>
      </c>
      <c r="F648" s="301" t="s">
        <v>426</v>
      </c>
      <c r="G648" s="301" t="s">
        <v>584</v>
      </c>
      <c r="H648" s="301" t="s">
        <v>1827</v>
      </c>
    </row>
    <row r="649" spans="4:8" ht="12.75" customHeight="1" x14ac:dyDescent="0.25">
      <c r="D649" s="301" t="s">
        <v>1828</v>
      </c>
      <c r="E649" s="301" t="s">
        <v>425</v>
      </c>
      <c r="F649" s="301" t="s">
        <v>1244</v>
      </c>
      <c r="G649" s="301" t="s">
        <v>1245</v>
      </c>
      <c r="H649" s="301" t="s">
        <v>1829</v>
      </c>
    </row>
    <row r="650" spans="4:8" ht="12.75" customHeight="1" x14ac:dyDescent="0.25">
      <c r="D650" s="301" t="s">
        <v>1830</v>
      </c>
      <c r="E650" s="301" t="s">
        <v>425</v>
      </c>
      <c r="F650" s="301" t="s">
        <v>573</v>
      </c>
      <c r="G650" s="301" t="s">
        <v>1597</v>
      </c>
      <c r="H650" s="301" t="s">
        <v>1831</v>
      </c>
    </row>
    <row r="651" spans="4:8" ht="12.75" customHeight="1" x14ac:dyDescent="0.25">
      <c r="D651" s="301" t="s">
        <v>1832</v>
      </c>
      <c r="E651" s="301" t="s">
        <v>425</v>
      </c>
      <c r="F651" s="301" t="s">
        <v>546</v>
      </c>
      <c r="G651" s="301" t="s">
        <v>1427</v>
      </c>
      <c r="H651" s="301" t="s">
        <v>1833</v>
      </c>
    </row>
    <row r="652" spans="4:8" ht="12.75" customHeight="1" x14ac:dyDescent="0.25">
      <c r="D652" s="301" t="s">
        <v>1834</v>
      </c>
      <c r="E652" s="301" t="s">
        <v>425</v>
      </c>
      <c r="F652" s="301" t="s">
        <v>573</v>
      </c>
      <c r="G652" s="301" t="s">
        <v>1384</v>
      </c>
      <c r="H652" s="301" t="s">
        <v>1835</v>
      </c>
    </row>
    <row r="653" spans="4:8" ht="12.75" customHeight="1" x14ac:dyDescent="0.25">
      <c r="D653" s="301" t="s">
        <v>1836</v>
      </c>
      <c r="E653" s="301" t="s">
        <v>425</v>
      </c>
      <c r="F653" s="301" t="s">
        <v>426</v>
      </c>
      <c r="G653" s="301" t="s">
        <v>1534</v>
      </c>
      <c r="H653" s="301" t="s">
        <v>1837</v>
      </c>
    </row>
    <row r="654" spans="4:8" ht="12.75" customHeight="1" x14ac:dyDescent="0.25">
      <c r="D654" s="301" t="s">
        <v>1838</v>
      </c>
      <c r="E654" s="301" t="s">
        <v>425</v>
      </c>
      <c r="F654" s="301" t="s">
        <v>1380</v>
      </c>
      <c r="G654" s="301" t="s">
        <v>1381</v>
      </c>
      <c r="H654" s="301" t="s">
        <v>1839</v>
      </c>
    </row>
    <row r="655" spans="4:8" ht="12.75" customHeight="1" x14ac:dyDescent="0.25">
      <c r="D655" s="301" t="s">
        <v>1840</v>
      </c>
      <c r="E655" s="301" t="s">
        <v>425</v>
      </c>
      <c r="F655" s="301" t="s">
        <v>1380</v>
      </c>
      <c r="G655" s="301" t="s">
        <v>1381</v>
      </c>
      <c r="H655" s="301" t="s">
        <v>1841</v>
      </c>
    </row>
    <row r="656" spans="4:8" ht="12.75" customHeight="1" x14ac:dyDescent="0.25">
      <c r="D656" s="301" t="s">
        <v>1842</v>
      </c>
      <c r="E656" s="301" t="s">
        <v>425</v>
      </c>
      <c r="F656" s="301" t="s">
        <v>1380</v>
      </c>
      <c r="G656" s="301" t="s">
        <v>1381</v>
      </c>
      <c r="H656" s="301" t="s">
        <v>1843</v>
      </c>
    </row>
    <row r="657" spans="4:8" ht="12.75" customHeight="1" x14ac:dyDescent="0.25">
      <c r="D657" s="301" t="s">
        <v>1844</v>
      </c>
      <c r="E657" s="301" t="s">
        <v>425</v>
      </c>
      <c r="F657" s="301" t="s">
        <v>546</v>
      </c>
      <c r="G657" s="301" t="s">
        <v>1427</v>
      </c>
      <c r="H657" s="301" t="s">
        <v>1845</v>
      </c>
    </row>
    <row r="658" spans="4:8" ht="12.75" customHeight="1" x14ac:dyDescent="0.25">
      <c r="D658" s="301" t="s">
        <v>1846</v>
      </c>
      <c r="E658" s="301" t="s">
        <v>425</v>
      </c>
      <c r="F658" s="301" t="s">
        <v>573</v>
      </c>
      <c r="G658" s="301" t="s">
        <v>1223</v>
      </c>
      <c r="H658" s="301" t="s">
        <v>1847</v>
      </c>
    </row>
    <row r="659" spans="4:8" ht="12.75" customHeight="1" x14ac:dyDescent="0.25">
      <c r="D659" s="301" t="s">
        <v>1848</v>
      </c>
      <c r="E659" s="301" t="s">
        <v>425</v>
      </c>
      <c r="F659" s="301" t="s">
        <v>1371</v>
      </c>
      <c r="G659" s="301" t="s">
        <v>1371</v>
      </c>
      <c r="H659" s="301" t="s">
        <v>1849</v>
      </c>
    </row>
    <row r="660" spans="4:8" ht="12.75" customHeight="1" x14ac:dyDescent="0.25">
      <c r="D660" s="301" t="s">
        <v>1850</v>
      </c>
      <c r="E660" s="301" t="s">
        <v>425</v>
      </c>
      <c r="F660" s="301" t="s">
        <v>1380</v>
      </c>
      <c r="G660" s="301" t="s">
        <v>1399</v>
      </c>
      <c r="H660" s="301" t="s">
        <v>1851</v>
      </c>
    </row>
    <row r="661" spans="4:8" ht="12.75" customHeight="1" x14ac:dyDescent="0.25">
      <c r="D661" s="301" t="s">
        <v>1852</v>
      </c>
      <c r="E661" s="301" t="s">
        <v>425</v>
      </c>
      <c r="F661" s="301" t="s">
        <v>1374</v>
      </c>
      <c r="G661" s="301" t="s">
        <v>1736</v>
      </c>
      <c r="H661" s="301" t="s">
        <v>1853</v>
      </c>
    </row>
    <row r="662" spans="4:8" ht="12.75" customHeight="1" x14ac:dyDescent="0.25">
      <c r="D662" s="301" t="s">
        <v>1854</v>
      </c>
      <c r="E662" s="301" t="s">
        <v>443</v>
      </c>
      <c r="F662" s="301" t="s">
        <v>444</v>
      </c>
      <c r="G662" s="301" t="s">
        <v>445</v>
      </c>
      <c r="H662" s="301" t="s">
        <v>1855</v>
      </c>
    </row>
    <row r="663" spans="4:8" ht="12.75" customHeight="1" x14ac:dyDescent="0.25">
      <c r="D663" s="301" t="s">
        <v>1856</v>
      </c>
      <c r="E663" s="301" t="s">
        <v>425</v>
      </c>
      <c r="F663" s="301" t="s">
        <v>1244</v>
      </c>
      <c r="G663" s="301" t="s">
        <v>1245</v>
      </c>
      <c r="H663" s="301" t="s">
        <v>1857</v>
      </c>
    </row>
    <row r="664" spans="4:8" ht="12.75" customHeight="1" x14ac:dyDescent="0.25">
      <c r="D664" s="301" t="s">
        <v>1858</v>
      </c>
      <c r="E664" s="301" t="s">
        <v>425</v>
      </c>
      <c r="F664" s="301" t="s">
        <v>1374</v>
      </c>
      <c r="G664" s="301" t="s">
        <v>1406</v>
      </c>
      <c r="H664" s="301" t="s">
        <v>1859</v>
      </c>
    </row>
    <row r="665" spans="4:8" ht="12.75" customHeight="1" x14ac:dyDescent="0.25">
      <c r="D665" s="301" t="s">
        <v>1860</v>
      </c>
      <c r="E665" s="301" t="s">
        <v>425</v>
      </c>
      <c r="F665" s="301" t="s">
        <v>1371</v>
      </c>
      <c r="G665" s="301" t="s">
        <v>1371</v>
      </c>
      <c r="H665" s="301" t="s">
        <v>1861</v>
      </c>
    </row>
    <row r="666" spans="4:8" ht="12.75" customHeight="1" x14ac:dyDescent="0.25">
      <c r="D666" s="301" t="s">
        <v>1862</v>
      </c>
      <c r="E666" s="301" t="s">
        <v>425</v>
      </c>
      <c r="F666" s="301" t="s">
        <v>426</v>
      </c>
      <c r="G666" s="301" t="s">
        <v>1534</v>
      </c>
      <c r="H666" s="301" t="s">
        <v>1863</v>
      </c>
    </row>
    <row r="667" spans="4:8" ht="12.75" customHeight="1" x14ac:dyDescent="0.25">
      <c r="D667" s="301" t="s">
        <v>1864</v>
      </c>
      <c r="E667" s="301" t="s">
        <v>425</v>
      </c>
      <c r="F667" s="301" t="s">
        <v>1371</v>
      </c>
      <c r="G667" s="301" t="s">
        <v>1371</v>
      </c>
      <c r="H667" s="301" t="s">
        <v>1865</v>
      </c>
    </row>
    <row r="668" spans="4:8" ht="12.75" customHeight="1" x14ac:dyDescent="0.25">
      <c r="D668" s="301" t="s">
        <v>1866</v>
      </c>
      <c r="E668" s="301" t="s">
        <v>425</v>
      </c>
      <c r="F668" s="301" t="s">
        <v>1380</v>
      </c>
      <c r="G668" s="301" t="s">
        <v>1381</v>
      </c>
      <c r="H668" s="301" t="s">
        <v>1867</v>
      </c>
    </row>
    <row r="669" spans="4:8" ht="12.75" customHeight="1" x14ac:dyDescent="0.25">
      <c r="D669" s="301" t="s">
        <v>1868</v>
      </c>
      <c r="E669" s="301" t="s">
        <v>425</v>
      </c>
      <c r="F669" s="301" t="s">
        <v>1244</v>
      </c>
      <c r="G669" s="301" t="s">
        <v>1245</v>
      </c>
      <c r="H669" s="301" t="s">
        <v>1869</v>
      </c>
    </row>
    <row r="670" spans="4:8" ht="12.75" customHeight="1" x14ac:dyDescent="0.25">
      <c r="D670" s="301" t="s">
        <v>1870</v>
      </c>
      <c r="E670" s="301" t="s">
        <v>425</v>
      </c>
      <c r="F670" s="301" t="s">
        <v>546</v>
      </c>
      <c r="G670" s="301" t="s">
        <v>1427</v>
      </c>
      <c r="H670" s="301" t="s">
        <v>1871</v>
      </c>
    </row>
    <row r="671" spans="4:8" ht="12.75" customHeight="1" x14ac:dyDescent="0.25">
      <c r="D671" s="301" t="s">
        <v>1872</v>
      </c>
      <c r="E671" s="301" t="s">
        <v>425</v>
      </c>
      <c r="F671" s="301" t="s">
        <v>546</v>
      </c>
      <c r="G671" s="301" t="s">
        <v>1427</v>
      </c>
      <c r="H671" s="301" t="s">
        <v>1873</v>
      </c>
    </row>
    <row r="672" spans="4:8" ht="12.75" customHeight="1" x14ac:dyDescent="0.25">
      <c r="D672" s="301" t="s">
        <v>1874</v>
      </c>
      <c r="E672" s="301" t="s">
        <v>425</v>
      </c>
      <c r="F672" s="301" t="s">
        <v>1244</v>
      </c>
      <c r="G672" s="301" t="s">
        <v>1245</v>
      </c>
      <c r="H672" s="301" t="s">
        <v>1875</v>
      </c>
    </row>
    <row r="673" spans="4:8" ht="12.75" customHeight="1" x14ac:dyDescent="0.25">
      <c r="D673" s="301" t="s">
        <v>1876</v>
      </c>
      <c r="E673" s="301" t="s">
        <v>425</v>
      </c>
      <c r="F673" s="301" t="s">
        <v>1380</v>
      </c>
      <c r="G673" s="301" t="s">
        <v>1526</v>
      </c>
      <c r="H673" s="301" t="s">
        <v>1877</v>
      </c>
    </row>
    <row r="674" spans="4:8" ht="12.75" customHeight="1" x14ac:dyDescent="0.25">
      <c r="D674" s="301" t="s">
        <v>1878</v>
      </c>
      <c r="E674" s="301" t="s">
        <v>425</v>
      </c>
      <c r="F674" s="301" t="s">
        <v>1380</v>
      </c>
      <c r="G674" s="301" t="s">
        <v>1409</v>
      </c>
      <c r="H674" s="301" t="s">
        <v>1879</v>
      </c>
    </row>
    <row r="675" spans="4:8" ht="12.75" customHeight="1" x14ac:dyDescent="0.25">
      <c r="D675" s="301" t="s">
        <v>1880</v>
      </c>
      <c r="E675" s="301" t="s">
        <v>425</v>
      </c>
      <c r="F675" s="301" t="s">
        <v>1244</v>
      </c>
      <c r="G675" s="301" t="s">
        <v>1432</v>
      </c>
      <c r="H675" s="301" t="s">
        <v>1881</v>
      </c>
    </row>
    <row r="676" spans="4:8" ht="12.75" customHeight="1" x14ac:dyDescent="0.25">
      <c r="D676" s="301" t="s">
        <v>1882</v>
      </c>
      <c r="E676" s="301" t="s">
        <v>425</v>
      </c>
      <c r="F676" s="301" t="s">
        <v>1380</v>
      </c>
      <c r="G676" s="301" t="s">
        <v>1409</v>
      </c>
      <c r="H676" s="301" t="s">
        <v>1883</v>
      </c>
    </row>
    <row r="677" spans="4:8" ht="12.75" customHeight="1" x14ac:dyDescent="0.25">
      <c r="D677" s="301" t="s">
        <v>1884</v>
      </c>
      <c r="E677" s="301" t="s">
        <v>425</v>
      </c>
      <c r="F677" s="301" t="s">
        <v>1374</v>
      </c>
      <c r="G677" s="301" t="s">
        <v>1394</v>
      </c>
      <c r="H677" s="301" t="s">
        <v>1885</v>
      </c>
    </row>
    <row r="678" spans="4:8" ht="12.75" customHeight="1" x14ac:dyDescent="0.25">
      <c r="D678" s="301" t="s">
        <v>1886</v>
      </c>
      <c r="E678" s="301" t="s">
        <v>443</v>
      </c>
      <c r="F678" s="301" t="s">
        <v>444</v>
      </c>
      <c r="G678" s="301" t="s">
        <v>445</v>
      </c>
      <c r="H678" s="301" t="s">
        <v>1887</v>
      </c>
    </row>
    <row r="679" spans="4:8" ht="12.75" customHeight="1" x14ac:dyDescent="0.25">
      <c r="D679" s="301" t="s">
        <v>1888</v>
      </c>
      <c r="E679" s="301" t="s">
        <v>425</v>
      </c>
      <c r="F679" s="301" t="s">
        <v>426</v>
      </c>
      <c r="G679" s="301" t="s">
        <v>1534</v>
      </c>
      <c r="H679" s="301" t="s">
        <v>1889</v>
      </c>
    </row>
    <row r="680" spans="4:8" ht="12.75" customHeight="1" x14ac:dyDescent="0.25">
      <c r="D680" s="301" t="s">
        <v>1890</v>
      </c>
      <c r="E680" s="301" t="s">
        <v>425</v>
      </c>
      <c r="F680" s="301" t="s">
        <v>426</v>
      </c>
      <c r="G680" s="301" t="s">
        <v>1534</v>
      </c>
      <c r="H680" s="301" t="s">
        <v>1891</v>
      </c>
    </row>
    <row r="681" spans="4:8" ht="12.75" customHeight="1" x14ac:dyDescent="0.25">
      <c r="D681" s="301" t="s">
        <v>1892</v>
      </c>
      <c r="E681" s="301" t="s">
        <v>425</v>
      </c>
      <c r="F681" s="301" t="s">
        <v>1374</v>
      </c>
      <c r="G681" s="301" t="s">
        <v>1394</v>
      </c>
      <c r="H681" s="301" t="s">
        <v>1893</v>
      </c>
    </row>
    <row r="682" spans="4:8" ht="12.75" customHeight="1" x14ac:dyDescent="0.25">
      <c r="D682" s="301" t="s">
        <v>1894</v>
      </c>
      <c r="E682" s="301" t="s">
        <v>443</v>
      </c>
      <c r="F682" s="301" t="s">
        <v>444</v>
      </c>
      <c r="G682" s="301" t="s">
        <v>445</v>
      </c>
      <c r="H682" s="301" t="s">
        <v>1895</v>
      </c>
    </row>
    <row r="683" spans="4:8" ht="12.75" customHeight="1" x14ac:dyDescent="0.25">
      <c r="D683" s="301" t="s">
        <v>1896</v>
      </c>
      <c r="E683" s="301" t="s">
        <v>425</v>
      </c>
      <c r="F683" s="301" t="s">
        <v>426</v>
      </c>
      <c r="G683" s="301" t="s">
        <v>427</v>
      </c>
      <c r="H683" s="301" t="s">
        <v>1897</v>
      </c>
    </row>
    <row r="684" spans="4:8" ht="12.75" customHeight="1" x14ac:dyDescent="0.25">
      <c r="D684" s="301" t="s">
        <v>1898</v>
      </c>
      <c r="E684" s="301" t="s">
        <v>425</v>
      </c>
      <c r="F684" s="301" t="s">
        <v>573</v>
      </c>
      <c r="G684" s="301" t="s">
        <v>1248</v>
      </c>
      <c r="H684" s="301" t="s">
        <v>1899</v>
      </c>
    </row>
    <row r="685" spans="4:8" ht="12.75" customHeight="1" x14ac:dyDescent="0.25">
      <c r="D685" s="301" t="s">
        <v>1900</v>
      </c>
      <c r="E685" s="301" t="s">
        <v>425</v>
      </c>
      <c r="F685" s="301" t="s">
        <v>1380</v>
      </c>
      <c r="G685" s="301" t="s">
        <v>1901</v>
      </c>
      <c r="H685" s="301" t="s">
        <v>1902</v>
      </c>
    </row>
    <row r="686" spans="4:8" ht="12.75" customHeight="1" x14ac:dyDescent="0.25">
      <c r="D686" s="301" t="s">
        <v>1903</v>
      </c>
      <c r="E686" s="301" t="s">
        <v>425</v>
      </c>
      <c r="F686" s="301" t="s">
        <v>1380</v>
      </c>
      <c r="G686" s="301" t="s">
        <v>1409</v>
      </c>
      <c r="H686" s="301" t="s">
        <v>1904</v>
      </c>
    </row>
    <row r="687" spans="4:8" ht="12.75" customHeight="1" x14ac:dyDescent="0.25">
      <c r="D687" s="301" t="s">
        <v>1905</v>
      </c>
      <c r="E687" s="301" t="s">
        <v>425</v>
      </c>
      <c r="F687" s="301" t="s">
        <v>426</v>
      </c>
      <c r="G687" s="301" t="s">
        <v>584</v>
      </c>
      <c r="H687" s="301" t="s">
        <v>1906</v>
      </c>
    </row>
    <row r="688" spans="4:8" ht="12.75" customHeight="1" x14ac:dyDescent="0.25">
      <c r="D688" s="301" t="s">
        <v>1907</v>
      </c>
      <c r="E688" s="301" t="s">
        <v>425</v>
      </c>
      <c r="F688" s="301" t="s">
        <v>1380</v>
      </c>
      <c r="G688" s="301" t="s">
        <v>1409</v>
      </c>
      <c r="H688" s="301" t="s">
        <v>1908</v>
      </c>
    </row>
    <row r="689" spans="4:8" ht="12.75" customHeight="1" x14ac:dyDescent="0.25">
      <c r="D689" s="301" t="s">
        <v>1909</v>
      </c>
      <c r="E689" s="301" t="s">
        <v>425</v>
      </c>
      <c r="F689" s="301" t="s">
        <v>1238</v>
      </c>
      <c r="G689" s="301" t="s">
        <v>1575</v>
      </c>
      <c r="H689" s="301" t="s">
        <v>1910</v>
      </c>
    </row>
    <row r="690" spans="4:8" ht="12.75" customHeight="1" x14ac:dyDescent="0.25">
      <c r="D690" s="301" t="s">
        <v>1911</v>
      </c>
      <c r="E690" s="301" t="s">
        <v>425</v>
      </c>
      <c r="F690" s="301" t="s">
        <v>1371</v>
      </c>
      <c r="G690" s="301" t="s">
        <v>1371</v>
      </c>
      <c r="H690" s="301" t="s">
        <v>1912</v>
      </c>
    </row>
    <row r="691" spans="4:8" ht="12.75" customHeight="1" x14ac:dyDescent="0.25">
      <c r="D691" s="301" t="s">
        <v>1913</v>
      </c>
      <c r="E691" s="301" t="s">
        <v>425</v>
      </c>
      <c r="F691" s="301" t="s">
        <v>546</v>
      </c>
      <c r="G691" s="301" t="s">
        <v>1427</v>
      </c>
      <c r="H691" s="301" t="s">
        <v>1914</v>
      </c>
    </row>
    <row r="692" spans="4:8" ht="12.75" customHeight="1" x14ac:dyDescent="0.25">
      <c r="D692" s="301" t="s">
        <v>1915</v>
      </c>
      <c r="E692" s="301" t="s">
        <v>425</v>
      </c>
      <c r="F692" s="301" t="s">
        <v>426</v>
      </c>
      <c r="G692" s="301" t="s">
        <v>1191</v>
      </c>
      <c r="H692" s="301" t="s">
        <v>1916</v>
      </c>
    </row>
    <row r="693" spans="4:8" ht="12.75" customHeight="1" x14ac:dyDescent="0.25">
      <c r="D693" s="301" t="s">
        <v>1917</v>
      </c>
      <c r="E693" s="301" t="s">
        <v>425</v>
      </c>
      <c r="F693" s="301" t="s">
        <v>1374</v>
      </c>
      <c r="G693" s="301" t="s">
        <v>1456</v>
      </c>
      <c r="H693" s="301" t="s">
        <v>1918</v>
      </c>
    </row>
    <row r="694" spans="4:8" ht="12.75" customHeight="1" x14ac:dyDescent="0.25">
      <c r="D694" s="301" t="s">
        <v>1919</v>
      </c>
      <c r="E694" s="301" t="s">
        <v>425</v>
      </c>
      <c r="F694" s="301" t="s">
        <v>1684</v>
      </c>
      <c r="G694" s="301" t="s">
        <v>1713</v>
      </c>
      <c r="H694" s="301" t="s">
        <v>1920</v>
      </c>
    </row>
    <row r="695" spans="4:8" ht="12.75" customHeight="1" x14ac:dyDescent="0.25">
      <c r="D695" s="301" t="s">
        <v>1921</v>
      </c>
      <c r="E695" s="301" t="s">
        <v>425</v>
      </c>
      <c r="F695" s="301" t="s">
        <v>426</v>
      </c>
      <c r="G695" s="301" t="s">
        <v>427</v>
      </c>
      <c r="H695" s="301" t="s">
        <v>1922</v>
      </c>
    </row>
    <row r="696" spans="4:8" ht="12.75" customHeight="1" x14ac:dyDescent="0.25">
      <c r="D696" s="301" t="s">
        <v>1923</v>
      </c>
      <c r="E696" s="301" t="s">
        <v>425</v>
      </c>
      <c r="F696" s="301" t="s">
        <v>1380</v>
      </c>
      <c r="G696" s="301" t="s">
        <v>1409</v>
      </c>
      <c r="H696" s="301" t="s">
        <v>1924</v>
      </c>
    </row>
    <row r="697" spans="4:8" ht="12.75" customHeight="1" x14ac:dyDescent="0.25">
      <c r="D697" s="301" t="s">
        <v>1925</v>
      </c>
      <c r="E697" s="301" t="s">
        <v>425</v>
      </c>
      <c r="F697" s="301" t="s">
        <v>546</v>
      </c>
      <c r="G697" s="301" t="s">
        <v>1427</v>
      </c>
      <c r="H697" s="301" t="s">
        <v>1926</v>
      </c>
    </row>
    <row r="698" spans="4:8" ht="12.75" customHeight="1" x14ac:dyDescent="0.25">
      <c r="D698" s="301" t="s">
        <v>1927</v>
      </c>
      <c r="E698" s="301" t="s">
        <v>425</v>
      </c>
      <c r="F698" s="301" t="s">
        <v>1380</v>
      </c>
      <c r="G698" s="301" t="s">
        <v>1409</v>
      </c>
      <c r="H698" s="301" t="s">
        <v>1928</v>
      </c>
    </row>
    <row r="699" spans="4:8" ht="12.75" customHeight="1" x14ac:dyDescent="0.25">
      <c r="D699" s="301" t="s">
        <v>1929</v>
      </c>
      <c r="E699" s="301" t="s">
        <v>425</v>
      </c>
      <c r="F699" s="301" t="s">
        <v>1238</v>
      </c>
      <c r="G699" s="301" t="s">
        <v>1575</v>
      </c>
      <c r="H699" s="301" t="s">
        <v>1930</v>
      </c>
    </row>
    <row r="700" spans="4:8" ht="12.75" customHeight="1" x14ac:dyDescent="0.25">
      <c r="D700" s="301" t="s">
        <v>1931</v>
      </c>
      <c r="E700" s="301" t="s">
        <v>425</v>
      </c>
      <c r="F700" s="301" t="s">
        <v>1374</v>
      </c>
      <c r="G700" s="301" t="s">
        <v>1463</v>
      </c>
      <c r="H700" s="301" t="s">
        <v>1932</v>
      </c>
    </row>
    <row r="701" spans="4:8" ht="12.75" customHeight="1" x14ac:dyDescent="0.25">
      <c r="D701" s="301" t="s">
        <v>1933</v>
      </c>
      <c r="E701" s="301" t="s">
        <v>425</v>
      </c>
      <c r="F701" s="301" t="s">
        <v>1371</v>
      </c>
      <c r="G701" s="301" t="s">
        <v>1371</v>
      </c>
      <c r="H701" s="301" t="s">
        <v>1934</v>
      </c>
    </row>
    <row r="702" spans="4:8" ht="12.75" customHeight="1" x14ac:dyDescent="0.25">
      <c r="D702" s="301" t="s">
        <v>1935</v>
      </c>
      <c r="E702" s="301" t="s">
        <v>425</v>
      </c>
      <c r="F702" s="301" t="s">
        <v>1371</v>
      </c>
      <c r="G702" s="301" t="s">
        <v>1371</v>
      </c>
      <c r="H702" s="301" t="s">
        <v>1936</v>
      </c>
    </row>
    <row r="703" spans="4:8" ht="12.75" customHeight="1" x14ac:dyDescent="0.25">
      <c r="D703" s="301" t="s">
        <v>1937</v>
      </c>
      <c r="E703" s="301" t="s">
        <v>425</v>
      </c>
      <c r="F703" s="301" t="s">
        <v>1244</v>
      </c>
      <c r="G703" s="301" t="s">
        <v>1432</v>
      </c>
      <c r="H703" s="301" t="s">
        <v>1938</v>
      </c>
    </row>
    <row r="704" spans="4:8" ht="12.75" customHeight="1" x14ac:dyDescent="0.25">
      <c r="D704" s="301" t="s">
        <v>1939</v>
      </c>
      <c r="E704" s="301" t="s">
        <v>425</v>
      </c>
      <c r="F704" s="301" t="s">
        <v>1374</v>
      </c>
      <c r="G704" s="301" t="s">
        <v>1406</v>
      </c>
      <c r="H704" s="301" t="s">
        <v>1940</v>
      </c>
    </row>
    <row r="705" spans="4:8" ht="12.75" customHeight="1" x14ac:dyDescent="0.25">
      <c r="D705" s="301" t="s">
        <v>1941</v>
      </c>
      <c r="E705" s="301" t="s">
        <v>425</v>
      </c>
      <c r="F705" s="301" t="s">
        <v>426</v>
      </c>
      <c r="G705" s="301" t="s">
        <v>427</v>
      </c>
      <c r="H705" s="301" t="s">
        <v>1942</v>
      </c>
    </row>
    <row r="706" spans="4:8" ht="12.75" customHeight="1" x14ac:dyDescent="0.25">
      <c r="D706" s="301" t="s">
        <v>1943</v>
      </c>
      <c r="E706" s="301" t="s">
        <v>425</v>
      </c>
      <c r="F706" s="301" t="s">
        <v>1371</v>
      </c>
      <c r="G706" s="301" t="s">
        <v>1371</v>
      </c>
      <c r="H706" s="301" t="s">
        <v>1944</v>
      </c>
    </row>
    <row r="707" spans="4:8" ht="12.75" customHeight="1" x14ac:dyDescent="0.25">
      <c r="D707" s="301" t="s">
        <v>1945</v>
      </c>
      <c r="E707" s="301" t="s">
        <v>425</v>
      </c>
      <c r="F707" s="301" t="s">
        <v>1374</v>
      </c>
      <c r="G707" s="301" t="s">
        <v>1463</v>
      </c>
      <c r="H707" s="301" t="s">
        <v>1946</v>
      </c>
    </row>
    <row r="708" spans="4:8" ht="12.75" customHeight="1" x14ac:dyDescent="0.25">
      <c r="D708" s="301" t="s">
        <v>1947</v>
      </c>
      <c r="E708" s="301" t="s">
        <v>425</v>
      </c>
      <c r="F708" s="301" t="s">
        <v>1374</v>
      </c>
      <c r="G708" s="301" t="s">
        <v>1463</v>
      </c>
      <c r="H708" s="301" t="s">
        <v>1948</v>
      </c>
    </row>
    <row r="709" spans="4:8" ht="12.75" customHeight="1" x14ac:dyDescent="0.25">
      <c r="D709" s="301" t="s">
        <v>1949</v>
      </c>
      <c r="E709" s="301" t="s">
        <v>425</v>
      </c>
      <c r="F709" s="301" t="s">
        <v>1380</v>
      </c>
      <c r="G709" s="301" t="s">
        <v>1529</v>
      </c>
      <c r="H709" s="301" t="s">
        <v>1950</v>
      </c>
    </row>
    <row r="710" spans="4:8" ht="12.75" customHeight="1" x14ac:dyDescent="0.25">
      <c r="D710" s="301" t="s">
        <v>1951</v>
      </c>
      <c r="E710" s="301" t="s">
        <v>425</v>
      </c>
      <c r="F710" s="301" t="s">
        <v>1244</v>
      </c>
      <c r="G710" s="301" t="s">
        <v>1432</v>
      </c>
      <c r="H710" s="301" t="s">
        <v>1952</v>
      </c>
    </row>
    <row r="711" spans="4:8" ht="12.75" customHeight="1" x14ac:dyDescent="0.25">
      <c r="D711" s="301" t="s">
        <v>1953</v>
      </c>
      <c r="E711" s="301" t="s">
        <v>425</v>
      </c>
      <c r="F711" s="301" t="s">
        <v>573</v>
      </c>
      <c r="G711" s="301" t="s">
        <v>574</v>
      </c>
      <c r="H711" s="301" t="s">
        <v>1954</v>
      </c>
    </row>
    <row r="712" spans="4:8" ht="12.75" customHeight="1" x14ac:dyDescent="0.25">
      <c r="D712" s="301" t="s">
        <v>1955</v>
      </c>
      <c r="E712" s="301" t="s">
        <v>425</v>
      </c>
      <c r="F712" s="301" t="s">
        <v>1374</v>
      </c>
      <c r="G712" s="301" t="s">
        <v>1418</v>
      </c>
      <c r="H712" s="301" t="s">
        <v>1956</v>
      </c>
    </row>
    <row r="713" spans="4:8" ht="12.75" customHeight="1" x14ac:dyDescent="0.25">
      <c r="D713" s="301" t="s">
        <v>1957</v>
      </c>
      <c r="E713" s="301" t="s">
        <v>425</v>
      </c>
      <c r="F713" s="301" t="s">
        <v>1374</v>
      </c>
      <c r="G713" s="301" t="s">
        <v>1418</v>
      </c>
      <c r="H713" s="301" t="s">
        <v>1958</v>
      </c>
    </row>
    <row r="714" spans="4:8" ht="12.75" customHeight="1" x14ac:dyDescent="0.25">
      <c r="D714" s="301" t="s">
        <v>1959</v>
      </c>
      <c r="E714" s="301" t="s">
        <v>425</v>
      </c>
      <c r="F714" s="301" t="s">
        <v>573</v>
      </c>
      <c r="G714" s="301" t="s">
        <v>1626</v>
      </c>
      <c r="H714" s="301" t="s">
        <v>1960</v>
      </c>
    </row>
    <row r="715" spans="4:8" ht="12.75" customHeight="1" x14ac:dyDescent="0.25">
      <c r="D715" s="301" t="s">
        <v>1961</v>
      </c>
      <c r="E715" s="301" t="s">
        <v>425</v>
      </c>
      <c r="F715" s="301" t="s">
        <v>426</v>
      </c>
      <c r="G715" s="301" t="s">
        <v>1534</v>
      </c>
      <c r="H715" s="301" t="s">
        <v>1962</v>
      </c>
    </row>
    <row r="716" spans="4:8" ht="12.75" customHeight="1" x14ac:dyDescent="0.25">
      <c r="D716" s="301" t="s">
        <v>1963</v>
      </c>
      <c r="E716" s="301" t="s">
        <v>425</v>
      </c>
      <c r="F716" s="301" t="s">
        <v>1238</v>
      </c>
      <c r="G716" s="301" t="s">
        <v>1575</v>
      </c>
      <c r="H716" s="301" t="s">
        <v>1964</v>
      </c>
    </row>
    <row r="717" spans="4:8" ht="12.75" customHeight="1" x14ac:dyDescent="0.25">
      <c r="D717" s="301" t="s">
        <v>1965</v>
      </c>
      <c r="E717" s="301" t="s">
        <v>425</v>
      </c>
      <c r="F717" s="301" t="s">
        <v>1238</v>
      </c>
      <c r="G717" s="301" t="s">
        <v>1575</v>
      </c>
      <c r="H717" s="301" t="s">
        <v>1966</v>
      </c>
    </row>
    <row r="718" spans="4:8" ht="12.75" customHeight="1" x14ac:dyDescent="0.25">
      <c r="D718" s="301" t="s">
        <v>1967</v>
      </c>
      <c r="E718" s="301" t="s">
        <v>425</v>
      </c>
      <c r="F718" s="301" t="s">
        <v>1380</v>
      </c>
      <c r="G718" s="301" t="s">
        <v>1445</v>
      </c>
      <c r="H718" s="301" t="s">
        <v>1968</v>
      </c>
    </row>
    <row r="719" spans="4:8" ht="12.75" customHeight="1" x14ac:dyDescent="0.25">
      <c r="D719" s="301" t="s">
        <v>1969</v>
      </c>
      <c r="E719" s="301" t="s">
        <v>425</v>
      </c>
      <c r="F719" s="301" t="s">
        <v>1380</v>
      </c>
      <c r="G719" s="301" t="s">
        <v>1526</v>
      </c>
      <c r="H719" s="301" t="s">
        <v>1970</v>
      </c>
    </row>
    <row r="720" spans="4:8" ht="12.75" customHeight="1" x14ac:dyDescent="0.25">
      <c r="D720" s="301" t="s">
        <v>1971</v>
      </c>
      <c r="E720" s="301" t="s">
        <v>425</v>
      </c>
      <c r="F720" s="301" t="s">
        <v>1380</v>
      </c>
      <c r="G720" s="301" t="s">
        <v>1526</v>
      </c>
      <c r="H720" s="301" t="s">
        <v>1972</v>
      </c>
    </row>
    <row r="721" spans="4:8" ht="12.75" customHeight="1" x14ac:dyDescent="0.25">
      <c r="D721" s="301" t="s">
        <v>1973</v>
      </c>
      <c r="E721" s="301" t="s">
        <v>425</v>
      </c>
      <c r="F721" s="301" t="s">
        <v>1380</v>
      </c>
      <c r="G721" s="301" t="s">
        <v>1568</v>
      </c>
      <c r="H721" s="301" t="s">
        <v>1974</v>
      </c>
    </row>
    <row r="722" spans="4:8" ht="12.75" customHeight="1" x14ac:dyDescent="0.25">
      <c r="D722" s="301" t="s">
        <v>1975</v>
      </c>
      <c r="E722" s="301" t="s">
        <v>425</v>
      </c>
      <c r="F722" s="301" t="s">
        <v>1380</v>
      </c>
      <c r="G722" s="301" t="s">
        <v>1409</v>
      </c>
      <c r="H722" s="301" t="s">
        <v>1976</v>
      </c>
    </row>
    <row r="723" spans="4:8" ht="12.75" customHeight="1" x14ac:dyDescent="0.25">
      <c r="D723" s="301" t="s">
        <v>1977</v>
      </c>
      <c r="E723" s="301" t="s">
        <v>425</v>
      </c>
      <c r="F723" s="301" t="s">
        <v>1238</v>
      </c>
      <c r="G723" s="301" t="s">
        <v>1575</v>
      </c>
      <c r="H723" s="301" t="s">
        <v>1978</v>
      </c>
    </row>
    <row r="724" spans="4:8" ht="12.75" customHeight="1" x14ac:dyDescent="0.25">
      <c r="D724" s="301" t="s">
        <v>1979</v>
      </c>
      <c r="E724" s="301" t="s">
        <v>425</v>
      </c>
      <c r="F724" s="301" t="s">
        <v>1238</v>
      </c>
      <c r="G724" s="301" t="s">
        <v>1575</v>
      </c>
      <c r="H724" s="301" t="s">
        <v>1980</v>
      </c>
    </row>
    <row r="725" spans="4:8" ht="12.75" customHeight="1" x14ac:dyDescent="0.25">
      <c r="D725" s="301" t="s">
        <v>1981</v>
      </c>
      <c r="E725" s="301" t="s">
        <v>425</v>
      </c>
      <c r="F725" s="301" t="s">
        <v>573</v>
      </c>
      <c r="G725" s="301" t="s">
        <v>1626</v>
      </c>
      <c r="H725" s="301" t="s">
        <v>1982</v>
      </c>
    </row>
    <row r="726" spans="4:8" ht="12.75" customHeight="1" x14ac:dyDescent="0.25">
      <c r="D726" s="301" t="s">
        <v>1983</v>
      </c>
      <c r="E726" s="301" t="s">
        <v>425</v>
      </c>
      <c r="F726" s="301" t="s">
        <v>573</v>
      </c>
      <c r="G726" s="301" t="s">
        <v>574</v>
      </c>
      <c r="H726" s="301" t="s">
        <v>1984</v>
      </c>
    </row>
    <row r="727" spans="4:8" ht="12.75" customHeight="1" x14ac:dyDescent="0.25">
      <c r="D727" s="301" t="s">
        <v>1985</v>
      </c>
      <c r="E727" s="301" t="s">
        <v>425</v>
      </c>
      <c r="F727" s="301" t="s">
        <v>1374</v>
      </c>
      <c r="G727" s="301" t="s">
        <v>1463</v>
      </c>
      <c r="H727" s="301" t="s">
        <v>1986</v>
      </c>
    </row>
    <row r="728" spans="4:8" ht="12.75" customHeight="1" x14ac:dyDescent="0.25">
      <c r="D728" s="301" t="s">
        <v>1987</v>
      </c>
      <c r="E728" s="301" t="s">
        <v>425</v>
      </c>
      <c r="F728" s="301" t="s">
        <v>1380</v>
      </c>
      <c r="G728" s="301" t="s">
        <v>1409</v>
      </c>
      <c r="H728" s="301" t="s">
        <v>1988</v>
      </c>
    </row>
    <row r="729" spans="4:8" ht="12.75" customHeight="1" x14ac:dyDescent="0.25">
      <c r="D729" s="301" t="s">
        <v>1989</v>
      </c>
      <c r="E729" s="301" t="s">
        <v>425</v>
      </c>
      <c r="F729" s="301" t="s">
        <v>1374</v>
      </c>
      <c r="G729" s="301" t="s">
        <v>1655</v>
      </c>
      <c r="H729" s="301" t="s">
        <v>1990</v>
      </c>
    </row>
    <row r="730" spans="4:8" ht="12.75" customHeight="1" x14ac:dyDescent="0.25">
      <c r="D730" s="301" t="s">
        <v>1991</v>
      </c>
      <c r="E730" s="301" t="s">
        <v>425</v>
      </c>
      <c r="F730" s="301" t="s">
        <v>546</v>
      </c>
      <c r="G730" s="301" t="s">
        <v>1427</v>
      </c>
      <c r="H730" s="301" t="s">
        <v>1992</v>
      </c>
    </row>
    <row r="731" spans="4:8" ht="12.75" customHeight="1" x14ac:dyDescent="0.25">
      <c r="D731" s="301" t="s">
        <v>1993</v>
      </c>
      <c r="E731" s="301" t="s">
        <v>425</v>
      </c>
      <c r="F731" s="301" t="s">
        <v>1374</v>
      </c>
      <c r="G731" s="301" t="s">
        <v>1463</v>
      </c>
      <c r="H731" s="301" t="s">
        <v>1994</v>
      </c>
    </row>
    <row r="732" spans="4:8" ht="12.75" customHeight="1" x14ac:dyDescent="0.25">
      <c r="D732" s="301" t="s">
        <v>1995</v>
      </c>
      <c r="E732" s="301" t="s">
        <v>425</v>
      </c>
      <c r="F732" s="301" t="s">
        <v>1380</v>
      </c>
      <c r="G732" s="301" t="s">
        <v>1409</v>
      </c>
      <c r="H732" s="301" t="s">
        <v>1996</v>
      </c>
    </row>
    <row r="733" spans="4:8" ht="12.75" customHeight="1" x14ac:dyDescent="0.25">
      <c r="D733" s="301" t="s">
        <v>1997</v>
      </c>
      <c r="E733" s="301" t="s">
        <v>425</v>
      </c>
      <c r="F733" s="301" t="s">
        <v>1380</v>
      </c>
      <c r="G733" s="301" t="s">
        <v>1399</v>
      </c>
      <c r="H733" s="301" t="s">
        <v>1998</v>
      </c>
    </row>
    <row r="734" spans="4:8" ht="12.75" customHeight="1" x14ac:dyDescent="0.25">
      <c r="D734" s="301" t="s">
        <v>1999</v>
      </c>
      <c r="E734" s="301" t="s">
        <v>425</v>
      </c>
      <c r="F734" s="301" t="s">
        <v>573</v>
      </c>
      <c r="G734" s="301" t="s">
        <v>1223</v>
      </c>
      <c r="H734" s="301" t="s">
        <v>2000</v>
      </c>
    </row>
    <row r="735" spans="4:8" ht="12.75" customHeight="1" x14ac:dyDescent="0.25">
      <c r="D735" s="301" t="s">
        <v>2001</v>
      </c>
      <c r="E735" s="301" t="s">
        <v>425</v>
      </c>
      <c r="F735" s="301" t="s">
        <v>1374</v>
      </c>
      <c r="G735" s="301" t="s">
        <v>1406</v>
      </c>
      <c r="H735" s="301" t="s">
        <v>2002</v>
      </c>
    </row>
    <row r="736" spans="4:8" ht="12.75" customHeight="1" x14ac:dyDescent="0.25">
      <c r="D736" s="301" t="s">
        <v>2003</v>
      </c>
      <c r="E736" s="301" t="s">
        <v>425</v>
      </c>
      <c r="F736" s="301" t="s">
        <v>1380</v>
      </c>
      <c r="G736" s="301" t="s">
        <v>1526</v>
      </c>
      <c r="H736" s="301" t="s">
        <v>2004</v>
      </c>
    </row>
    <row r="737" spans="4:8" ht="12.75" customHeight="1" x14ac:dyDescent="0.25">
      <c r="D737" s="301" t="s">
        <v>2005</v>
      </c>
      <c r="E737" s="301" t="s">
        <v>425</v>
      </c>
      <c r="F737" s="301" t="s">
        <v>1371</v>
      </c>
      <c r="G737" s="301" t="s">
        <v>1371</v>
      </c>
      <c r="H737" s="301" t="s">
        <v>2006</v>
      </c>
    </row>
    <row r="738" spans="4:8" ht="12.75" customHeight="1" x14ac:dyDescent="0.25">
      <c r="D738" s="301" t="s">
        <v>2007</v>
      </c>
      <c r="E738" s="301" t="s">
        <v>425</v>
      </c>
      <c r="F738" s="301" t="s">
        <v>1380</v>
      </c>
      <c r="G738" s="301" t="s">
        <v>1409</v>
      </c>
      <c r="H738" s="301" t="s">
        <v>2008</v>
      </c>
    </row>
    <row r="739" spans="4:8" ht="12.75" customHeight="1" x14ac:dyDescent="0.25">
      <c r="D739" s="301" t="s">
        <v>2009</v>
      </c>
      <c r="E739" s="301" t="s">
        <v>425</v>
      </c>
      <c r="F739" s="301" t="s">
        <v>1374</v>
      </c>
      <c r="G739" s="301" t="s">
        <v>1406</v>
      </c>
      <c r="H739" s="301" t="s">
        <v>2010</v>
      </c>
    </row>
    <row r="740" spans="4:8" ht="12.75" customHeight="1" x14ac:dyDescent="0.25">
      <c r="D740" s="301" t="s">
        <v>2011</v>
      </c>
      <c r="E740" s="301" t="s">
        <v>425</v>
      </c>
      <c r="F740" s="301" t="s">
        <v>1244</v>
      </c>
      <c r="G740" s="301" t="s">
        <v>1245</v>
      </c>
      <c r="H740" s="301" t="s">
        <v>2012</v>
      </c>
    </row>
    <row r="741" spans="4:8" ht="12.75" customHeight="1" x14ac:dyDescent="0.25">
      <c r="D741" s="301" t="s">
        <v>2013</v>
      </c>
      <c r="E741" s="301" t="s">
        <v>425</v>
      </c>
      <c r="F741" s="301" t="s">
        <v>1374</v>
      </c>
      <c r="G741" s="301" t="s">
        <v>1394</v>
      </c>
      <c r="H741" s="301" t="s">
        <v>2014</v>
      </c>
    </row>
    <row r="742" spans="4:8" ht="12.75" customHeight="1" x14ac:dyDescent="0.25">
      <c r="D742" s="301" t="s">
        <v>2015</v>
      </c>
      <c r="E742" s="301" t="s">
        <v>443</v>
      </c>
      <c r="F742" s="301" t="s">
        <v>444</v>
      </c>
      <c r="G742" s="301" t="s">
        <v>445</v>
      </c>
      <c r="H742" s="301" t="s">
        <v>2016</v>
      </c>
    </row>
    <row r="743" spans="4:8" ht="12.75" customHeight="1" x14ac:dyDescent="0.25">
      <c r="D743" s="301" t="s">
        <v>2017</v>
      </c>
      <c r="E743" s="301" t="s">
        <v>425</v>
      </c>
      <c r="F743" s="301" t="s">
        <v>1371</v>
      </c>
      <c r="G743" s="301" t="s">
        <v>1371</v>
      </c>
      <c r="H743" s="301" t="s">
        <v>2018</v>
      </c>
    </row>
    <row r="744" spans="4:8" ht="12.75" customHeight="1" x14ac:dyDescent="0.25">
      <c r="D744" s="301" t="s">
        <v>2019</v>
      </c>
      <c r="E744" s="301" t="s">
        <v>425</v>
      </c>
      <c r="F744" s="301" t="s">
        <v>1374</v>
      </c>
      <c r="G744" s="301" t="s">
        <v>1387</v>
      </c>
      <c r="H744" s="301" t="s">
        <v>2020</v>
      </c>
    </row>
    <row r="745" spans="4:8" ht="12.75" customHeight="1" x14ac:dyDescent="0.25">
      <c r="D745" s="301" t="s">
        <v>2021</v>
      </c>
      <c r="E745" s="301" t="s">
        <v>443</v>
      </c>
      <c r="F745" s="301" t="s">
        <v>444</v>
      </c>
      <c r="G745" s="301" t="s">
        <v>445</v>
      </c>
      <c r="H745" s="301" t="s">
        <v>2022</v>
      </c>
    </row>
    <row r="746" spans="4:8" ht="12.75" customHeight="1" x14ac:dyDescent="0.25">
      <c r="D746" s="301" t="s">
        <v>2023</v>
      </c>
      <c r="E746" s="301" t="s">
        <v>425</v>
      </c>
      <c r="F746" s="301" t="s">
        <v>1374</v>
      </c>
      <c r="G746" s="301" t="s">
        <v>1406</v>
      </c>
      <c r="H746" s="301" t="s">
        <v>2024</v>
      </c>
    </row>
    <row r="747" spans="4:8" ht="12.75" customHeight="1" x14ac:dyDescent="0.25">
      <c r="D747" s="301" t="s">
        <v>2025</v>
      </c>
      <c r="E747" s="301" t="s">
        <v>425</v>
      </c>
      <c r="F747" s="301" t="s">
        <v>1244</v>
      </c>
      <c r="G747" s="301" t="s">
        <v>1245</v>
      </c>
      <c r="H747" s="301" t="s">
        <v>2026</v>
      </c>
    </row>
    <row r="748" spans="4:8" ht="12.75" customHeight="1" x14ac:dyDescent="0.25">
      <c r="D748" s="301" t="s">
        <v>2027</v>
      </c>
      <c r="E748" s="301" t="s">
        <v>425</v>
      </c>
      <c r="F748" s="301" t="s">
        <v>546</v>
      </c>
      <c r="G748" s="301" t="s">
        <v>1427</v>
      </c>
      <c r="H748" s="301" t="s">
        <v>2028</v>
      </c>
    </row>
    <row r="749" spans="4:8" ht="12.75" customHeight="1" x14ac:dyDescent="0.25">
      <c r="D749" s="301" t="s">
        <v>2029</v>
      </c>
      <c r="E749" s="301" t="s">
        <v>425</v>
      </c>
      <c r="F749" s="301" t="s">
        <v>573</v>
      </c>
      <c r="G749" s="301" t="s">
        <v>1205</v>
      </c>
      <c r="H749" s="301" t="s">
        <v>2030</v>
      </c>
    </row>
    <row r="750" spans="4:8" ht="12.75" customHeight="1" x14ac:dyDescent="0.25">
      <c r="D750" s="301" t="s">
        <v>2031</v>
      </c>
      <c r="E750" s="301" t="s">
        <v>425</v>
      </c>
      <c r="F750" s="301" t="s">
        <v>573</v>
      </c>
      <c r="G750" s="301" t="s">
        <v>574</v>
      </c>
      <c r="H750" s="301" t="s">
        <v>2032</v>
      </c>
    </row>
    <row r="751" spans="4:8" ht="12.75" customHeight="1" x14ac:dyDescent="0.25">
      <c r="D751" s="301" t="s">
        <v>2033</v>
      </c>
      <c r="E751" s="301" t="s">
        <v>425</v>
      </c>
      <c r="F751" s="301" t="s">
        <v>1380</v>
      </c>
      <c r="G751" s="301" t="s">
        <v>1445</v>
      </c>
      <c r="H751" s="301" t="s">
        <v>2034</v>
      </c>
    </row>
    <row r="752" spans="4:8" ht="12.75" customHeight="1" x14ac:dyDescent="0.25">
      <c r="D752" s="301" t="s">
        <v>2035</v>
      </c>
      <c r="E752" s="301" t="s">
        <v>425</v>
      </c>
      <c r="F752" s="301" t="s">
        <v>426</v>
      </c>
      <c r="G752" s="301" t="s">
        <v>1534</v>
      </c>
      <c r="H752" s="301" t="s">
        <v>2036</v>
      </c>
    </row>
    <row r="753" spans="4:8" ht="12.75" customHeight="1" x14ac:dyDescent="0.25">
      <c r="D753" s="301" t="s">
        <v>2037</v>
      </c>
      <c r="E753" s="301" t="s">
        <v>425</v>
      </c>
      <c r="F753" s="301" t="s">
        <v>1380</v>
      </c>
      <c r="G753" s="301" t="s">
        <v>1399</v>
      </c>
      <c r="H753" s="301" t="s">
        <v>2038</v>
      </c>
    </row>
    <row r="754" spans="4:8" ht="12.75" customHeight="1" x14ac:dyDescent="0.25">
      <c r="D754" s="301" t="s">
        <v>2039</v>
      </c>
      <c r="E754" s="301" t="s">
        <v>425</v>
      </c>
      <c r="F754" s="301" t="s">
        <v>1380</v>
      </c>
      <c r="G754" s="301" t="s">
        <v>1526</v>
      </c>
      <c r="H754" s="301" t="s">
        <v>2040</v>
      </c>
    </row>
    <row r="755" spans="4:8" ht="12.75" customHeight="1" x14ac:dyDescent="0.25">
      <c r="D755" s="301" t="s">
        <v>2041</v>
      </c>
      <c r="E755" s="301" t="s">
        <v>425</v>
      </c>
      <c r="F755" s="301" t="s">
        <v>1380</v>
      </c>
      <c r="G755" s="301" t="s">
        <v>1381</v>
      </c>
      <c r="H755" s="301" t="s">
        <v>2042</v>
      </c>
    </row>
    <row r="756" spans="4:8" ht="12.75" customHeight="1" x14ac:dyDescent="0.25">
      <c r="D756" s="301" t="s">
        <v>2043</v>
      </c>
      <c r="E756" s="301" t="s">
        <v>425</v>
      </c>
      <c r="F756" s="301" t="s">
        <v>573</v>
      </c>
      <c r="G756" s="301" t="s">
        <v>1251</v>
      </c>
      <c r="H756" s="301" t="s">
        <v>2044</v>
      </c>
    </row>
    <row r="757" spans="4:8" ht="12.75" customHeight="1" x14ac:dyDescent="0.25">
      <c r="D757" s="301" t="s">
        <v>2045</v>
      </c>
      <c r="E757" s="301" t="s">
        <v>425</v>
      </c>
      <c r="F757" s="301" t="s">
        <v>1380</v>
      </c>
      <c r="G757" s="301" t="s">
        <v>1901</v>
      </c>
      <c r="H757" s="301" t="s">
        <v>2046</v>
      </c>
    </row>
    <row r="758" spans="4:8" ht="12.75" customHeight="1" x14ac:dyDescent="0.25">
      <c r="D758" s="301" t="s">
        <v>2047</v>
      </c>
      <c r="E758" s="301" t="s">
        <v>425</v>
      </c>
      <c r="F758" s="301" t="s">
        <v>1371</v>
      </c>
      <c r="G758" s="301" t="s">
        <v>1371</v>
      </c>
      <c r="H758" s="301" t="s">
        <v>2048</v>
      </c>
    </row>
    <row r="759" spans="4:8" ht="12.75" customHeight="1" x14ac:dyDescent="0.25">
      <c r="D759" s="301" t="s">
        <v>2049</v>
      </c>
      <c r="E759" s="301" t="s">
        <v>425</v>
      </c>
      <c r="F759" s="301" t="s">
        <v>1380</v>
      </c>
      <c r="G759" s="301" t="s">
        <v>1409</v>
      </c>
      <c r="H759" s="301" t="s">
        <v>2050</v>
      </c>
    </row>
    <row r="760" spans="4:8" ht="12.75" customHeight="1" x14ac:dyDescent="0.25">
      <c r="D760" s="301" t="s">
        <v>2051</v>
      </c>
      <c r="E760" s="301" t="s">
        <v>425</v>
      </c>
      <c r="F760" s="301" t="s">
        <v>426</v>
      </c>
      <c r="G760" s="301" t="s">
        <v>1534</v>
      </c>
      <c r="H760" s="301" t="s">
        <v>2052</v>
      </c>
    </row>
    <row r="761" spans="4:8" ht="12.75" customHeight="1" x14ac:dyDescent="0.25">
      <c r="D761" s="301" t="s">
        <v>2053</v>
      </c>
      <c r="E761" s="301" t="s">
        <v>425</v>
      </c>
      <c r="F761" s="301" t="s">
        <v>426</v>
      </c>
      <c r="G761" s="301" t="s">
        <v>1534</v>
      </c>
      <c r="H761" s="301" t="s">
        <v>2054</v>
      </c>
    </row>
    <row r="762" spans="4:8" ht="12.75" customHeight="1" x14ac:dyDescent="0.25">
      <c r="D762" s="301" t="s">
        <v>2055</v>
      </c>
      <c r="E762" s="301" t="s">
        <v>425</v>
      </c>
      <c r="F762" s="301" t="s">
        <v>1371</v>
      </c>
      <c r="G762" s="301" t="s">
        <v>1371</v>
      </c>
      <c r="H762" s="301" t="s">
        <v>2056</v>
      </c>
    </row>
    <row r="763" spans="4:8" ht="12.75" customHeight="1" x14ac:dyDescent="0.25">
      <c r="D763" s="301" t="s">
        <v>2057</v>
      </c>
      <c r="E763" s="301" t="s">
        <v>425</v>
      </c>
      <c r="F763" s="301" t="s">
        <v>426</v>
      </c>
      <c r="G763" s="301" t="s">
        <v>584</v>
      </c>
      <c r="H763" s="301" t="s">
        <v>2058</v>
      </c>
    </row>
    <row r="764" spans="4:8" ht="12.75" customHeight="1" x14ac:dyDescent="0.25">
      <c r="D764" s="301" t="s">
        <v>2059</v>
      </c>
      <c r="E764" s="301" t="s">
        <v>425</v>
      </c>
      <c r="F764" s="301" t="s">
        <v>1238</v>
      </c>
      <c r="G764" s="301" t="s">
        <v>1575</v>
      </c>
      <c r="H764" s="301" t="s">
        <v>2060</v>
      </c>
    </row>
    <row r="765" spans="4:8" ht="12.75" customHeight="1" x14ac:dyDescent="0.25">
      <c r="D765" s="301" t="s">
        <v>2061</v>
      </c>
      <c r="E765" s="301" t="s">
        <v>425</v>
      </c>
      <c r="F765" s="301" t="s">
        <v>573</v>
      </c>
      <c r="G765" s="308" t="s">
        <v>1213</v>
      </c>
      <c r="H765" s="301" t="s">
        <v>2062</v>
      </c>
    </row>
    <row r="766" spans="4:8" ht="12.75" customHeight="1" x14ac:dyDescent="0.25">
      <c r="D766" s="301" t="s">
        <v>2063</v>
      </c>
      <c r="E766" s="301" t="s">
        <v>425</v>
      </c>
      <c r="F766" s="301" t="s">
        <v>426</v>
      </c>
      <c r="G766" s="301" t="s">
        <v>427</v>
      </c>
      <c r="H766" s="301" t="s">
        <v>2064</v>
      </c>
    </row>
    <row r="767" spans="4:8" ht="12.75" customHeight="1" x14ac:dyDescent="0.25">
      <c r="D767" s="301" t="s">
        <v>2065</v>
      </c>
      <c r="E767" s="301" t="s">
        <v>425</v>
      </c>
      <c r="F767" s="301" t="s">
        <v>1371</v>
      </c>
      <c r="G767" s="301" t="s">
        <v>1371</v>
      </c>
      <c r="H767" s="301" t="s">
        <v>2066</v>
      </c>
    </row>
    <row r="768" spans="4:8" ht="12.75" customHeight="1" x14ac:dyDescent="0.25">
      <c r="D768" s="301" t="s">
        <v>2067</v>
      </c>
      <c r="E768" s="301" t="s">
        <v>425</v>
      </c>
      <c r="F768" s="301" t="s">
        <v>1371</v>
      </c>
      <c r="G768" s="301" t="s">
        <v>1371</v>
      </c>
      <c r="H768" s="301" t="s">
        <v>2068</v>
      </c>
    </row>
    <row r="769" spans="4:8" ht="12.75" customHeight="1" x14ac:dyDescent="0.25">
      <c r="D769" s="301" t="s">
        <v>2069</v>
      </c>
      <c r="E769" s="301" t="s">
        <v>425</v>
      </c>
      <c r="F769" s="301" t="s">
        <v>573</v>
      </c>
      <c r="G769" s="301" t="s">
        <v>1248</v>
      </c>
      <c r="H769" s="301" t="s">
        <v>2070</v>
      </c>
    </row>
    <row r="770" spans="4:8" ht="12.75" customHeight="1" x14ac:dyDescent="0.25">
      <c r="D770" s="301" t="s">
        <v>2071</v>
      </c>
      <c r="E770" s="301" t="s">
        <v>425</v>
      </c>
      <c r="F770" s="301" t="s">
        <v>426</v>
      </c>
      <c r="G770" s="301" t="s">
        <v>1534</v>
      </c>
      <c r="H770" s="301" t="s">
        <v>2072</v>
      </c>
    </row>
    <row r="771" spans="4:8" ht="12.75" customHeight="1" x14ac:dyDescent="0.25">
      <c r="D771" s="301" t="s">
        <v>2073</v>
      </c>
      <c r="E771" s="301" t="s">
        <v>425</v>
      </c>
      <c r="F771" s="301" t="s">
        <v>426</v>
      </c>
      <c r="G771" s="301" t="s">
        <v>1534</v>
      </c>
      <c r="H771" s="301" t="s">
        <v>2074</v>
      </c>
    </row>
    <row r="772" spans="4:8" ht="12.75" customHeight="1" x14ac:dyDescent="0.25">
      <c r="D772" s="301" t="s">
        <v>2075</v>
      </c>
      <c r="E772" s="301" t="s">
        <v>425</v>
      </c>
      <c r="F772" s="301" t="s">
        <v>1374</v>
      </c>
      <c r="G772" s="301" t="s">
        <v>1394</v>
      </c>
      <c r="H772" s="301" t="s">
        <v>2076</v>
      </c>
    </row>
    <row r="773" spans="4:8" ht="12.75" customHeight="1" x14ac:dyDescent="0.25">
      <c r="D773" s="301" t="s">
        <v>2077</v>
      </c>
      <c r="E773" s="301" t="s">
        <v>443</v>
      </c>
      <c r="F773" s="301" t="s">
        <v>444</v>
      </c>
      <c r="G773" s="301" t="s">
        <v>445</v>
      </c>
      <c r="H773" s="301" t="s">
        <v>2078</v>
      </c>
    </row>
    <row r="774" spans="4:8" ht="12.75" customHeight="1" x14ac:dyDescent="0.25">
      <c r="D774" s="301" t="s">
        <v>2079</v>
      </c>
      <c r="E774" s="301" t="s">
        <v>425</v>
      </c>
      <c r="F774" s="301" t="s">
        <v>573</v>
      </c>
      <c r="G774" s="301" t="s">
        <v>1248</v>
      </c>
      <c r="H774" s="301" t="s">
        <v>2080</v>
      </c>
    </row>
    <row r="775" spans="4:8" ht="12.75" customHeight="1" x14ac:dyDescent="0.25">
      <c r="D775" s="301" t="s">
        <v>2081</v>
      </c>
      <c r="E775" s="301" t="s">
        <v>425</v>
      </c>
      <c r="F775" s="301" t="s">
        <v>426</v>
      </c>
      <c r="G775" s="301" t="s">
        <v>1534</v>
      </c>
      <c r="H775" s="301" t="s">
        <v>2082</v>
      </c>
    </row>
    <row r="776" spans="4:8" ht="12.75" customHeight="1" x14ac:dyDescent="0.25">
      <c r="D776" s="301" t="s">
        <v>2083</v>
      </c>
      <c r="E776" s="301" t="s">
        <v>425</v>
      </c>
      <c r="F776" s="301" t="s">
        <v>1371</v>
      </c>
      <c r="G776" s="301" t="s">
        <v>1371</v>
      </c>
      <c r="H776" s="301" t="s">
        <v>2084</v>
      </c>
    </row>
    <row r="777" spans="4:8" ht="12.75" customHeight="1" x14ac:dyDescent="0.25">
      <c r="D777" s="301" t="s">
        <v>2085</v>
      </c>
      <c r="E777" s="301" t="s">
        <v>425</v>
      </c>
      <c r="F777" s="301" t="s">
        <v>1380</v>
      </c>
      <c r="G777" s="301" t="s">
        <v>1547</v>
      </c>
      <c r="H777" s="301" t="s">
        <v>2086</v>
      </c>
    </row>
    <row r="778" spans="4:8" ht="12.75" customHeight="1" x14ac:dyDescent="0.25">
      <c r="D778" s="301" t="s">
        <v>2087</v>
      </c>
      <c r="E778" s="301" t="s">
        <v>425</v>
      </c>
      <c r="F778" s="301" t="s">
        <v>426</v>
      </c>
      <c r="G778" s="301" t="s">
        <v>584</v>
      </c>
      <c r="H778" s="301" t="s">
        <v>2088</v>
      </c>
    </row>
    <row r="779" spans="4:8" ht="12.75" customHeight="1" x14ac:dyDescent="0.25">
      <c r="D779" s="301" t="s">
        <v>2089</v>
      </c>
      <c r="E779" s="301" t="s">
        <v>425</v>
      </c>
      <c r="F779" s="301" t="s">
        <v>426</v>
      </c>
      <c r="G779" s="301" t="s">
        <v>584</v>
      </c>
      <c r="H779" s="301" t="s">
        <v>2090</v>
      </c>
    </row>
    <row r="780" spans="4:8" ht="12.75" customHeight="1" x14ac:dyDescent="0.25">
      <c r="D780" s="301" t="s">
        <v>2091</v>
      </c>
      <c r="E780" s="301" t="s">
        <v>425</v>
      </c>
      <c r="F780" s="301" t="s">
        <v>1380</v>
      </c>
      <c r="G780" s="301" t="s">
        <v>1409</v>
      </c>
      <c r="H780" s="301" t="s">
        <v>2092</v>
      </c>
    </row>
    <row r="781" spans="4:8" ht="12.75" customHeight="1" x14ac:dyDescent="0.25">
      <c r="D781" s="301" t="s">
        <v>2093</v>
      </c>
      <c r="E781" s="301" t="s">
        <v>425</v>
      </c>
      <c r="F781" s="301" t="s">
        <v>1371</v>
      </c>
      <c r="G781" s="301" t="s">
        <v>1371</v>
      </c>
      <c r="H781" s="301" t="s">
        <v>2094</v>
      </c>
    </row>
    <row r="782" spans="4:8" ht="12.75" customHeight="1" x14ac:dyDescent="0.25">
      <c r="D782" s="301" t="s">
        <v>2095</v>
      </c>
      <c r="E782" s="301" t="s">
        <v>425</v>
      </c>
      <c r="F782" s="301" t="s">
        <v>1244</v>
      </c>
      <c r="G782" s="301" t="s">
        <v>1245</v>
      </c>
      <c r="H782" s="301" t="s">
        <v>2096</v>
      </c>
    </row>
    <row r="783" spans="4:8" ht="12.75" customHeight="1" x14ac:dyDescent="0.25">
      <c r="D783" s="301" t="s">
        <v>2097</v>
      </c>
      <c r="E783" s="301" t="s">
        <v>425</v>
      </c>
      <c r="F783" s="301" t="s">
        <v>426</v>
      </c>
      <c r="G783" s="301" t="s">
        <v>1210</v>
      </c>
      <c r="H783" s="301" t="s">
        <v>2098</v>
      </c>
    </row>
    <row r="784" spans="4:8" ht="12.75" customHeight="1" x14ac:dyDescent="0.25">
      <c r="D784" s="301" t="s">
        <v>2099</v>
      </c>
      <c r="E784" s="301" t="s">
        <v>425</v>
      </c>
      <c r="F784" s="301" t="s">
        <v>426</v>
      </c>
      <c r="G784" s="301" t="s">
        <v>1210</v>
      </c>
      <c r="H784" s="301" t="s">
        <v>2100</v>
      </c>
    </row>
    <row r="785" spans="4:8" ht="12.75" customHeight="1" x14ac:dyDescent="0.25">
      <c r="D785" s="301" t="s">
        <v>2101</v>
      </c>
      <c r="E785" s="301" t="s">
        <v>425</v>
      </c>
      <c r="F785" s="301" t="s">
        <v>426</v>
      </c>
      <c r="G785" s="301" t="s">
        <v>584</v>
      </c>
      <c r="H785" s="301" t="s">
        <v>2102</v>
      </c>
    </row>
    <row r="786" spans="4:8" ht="12.75" customHeight="1" x14ac:dyDescent="0.25">
      <c r="D786" s="301" t="s">
        <v>2103</v>
      </c>
      <c r="E786" s="301" t="s">
        <v>425</v>
      </c>
      <c r="F786" s="301" t="s">
        <v>426</v>
      </c>
      <c r="G786" s="301" t="s">
        <v>584</v>
      </c>
      <c r="H786" s="301" t="s">
        <v>2104</v>
      </c>
    </row>
    <row r="787" spans="4:8" ht="12.75" customHeight="1" x14ac:dyDescent="0.25">
      <c r="D787" s="301" t="s">
        <v>2105</v>
      </c>
      <c r="E787" s="301" t="s">
        <v>425</v>
      </c>
      <c r="F787" s="301" t="s">
        <v>426</v>
      </c>
      <c r="G787" s="301" t="s">
        <v>584</v>
      </c>
      <c r="H787" s="301" t="s">
        <v>2106</v>
      </c>
    </row>
    <row r="788" spans="4:8" ht="12.75" customHeight="1" x14ac:dyDescent="0.25">
      <c r="D788" s="301" t="s">
        <v>2107</v>
      </c>
      <c r="E788" s="301" t="s">
        <v>425</v>
      </c>
      <c r="F788" s="301" t="s">
        <v>573</v>
      </c>
      <c r="G788" s="301" t="s">
        <v>1248</v>
      </c>
      <c r="H788" s="301" t="s">
        <v>2108</v>
      </c>
    </row>
    <row r="789" spans="4:8" ht="12.75" customHeight="1" x14ac:dyDescent="0.25">
      <c r="D789" s="301" t="s">
        <v>2109</v>
      </c>
      <c r="E789" s="301" t="s">
        <v>425</v>
      </c>
      <c r="F789" s="301" t="s">
        <v>1244</v>
      </c>
      <c r="G789" s="301" t="s">
        <v>1245</v>
      </c>
      <c r="H789" s="301" t="s">
        <v>2110</v>
      </c>
    </row>
    <row r="790" spans="4:8" ht="12.75" customHeight="1" x14ac:dyDescent="0.25">
      <c r="D790" s="301" t="s">
        <v>2111</v>
      </c>
      <c r="E790" s="301" t="s">
        <v>425</v>
      </c>
      <c r="F790" s="301" t="s">
        <v>1374</v>
      </c>
      <c r="G790" s="301" t="s">
        <v>1406</v>
      </c>
      <c r="H790" s="301" t="s">
        <v>2112</v>
      </c>
    </row>
    <row r="791" spans="4:8" ht="12.75" customHeight="1" x14ac:dyDescent="0.25">
      <c r="D791" s="301" t="s">
        <v>2113</v>
      </c>
      <c r="E791" s="301" t="s">
        <v>425</v>
      </c>
      <c r="F791" s="301" t="s">
        <v>1238</v>
      </c>
      <c r="G791" s="301" t="s">
        <v>1239</v>
      </c>
      <c r="H791" s="301" t="s">
        <v>2114</v>
      </c>
    </row>
    <row r="792" spans="4:8" ht="12.75" customHeight="1" x14ac:dyDescent="0.25">
      <c r="D792" s="301" t="s">
        <v>2115</v>
      </c>
      <c r="E792" s="301" t="s">
        <v>425</v>
      </c>
      <c r="F792" s="301" t="s">
        <v>426</v>
      </c>
      <c r="G792" s="301" t="s">
        <v>1534</v>
      </c>
      <c r="H792" s="301" t="s">
        <v>2116</v>
      </c>
    </row>
    <row r="793" spans="4:8" ht="12.75" customHeight="1" x14ac:dyDescent="0.25">
      <c r="D793" s="301" t="s">
        <v>2117</v>
      </c>
      <c r="E793" s="301" t="s">
        <v>425</v>
      </c>
      <c r="F793" s="301" t="s">
        <v>426</v>
      </c>
      <c r="G793" s="301" t="s">
        <v>584</v>
      </c>
      <c r="H793" s="301" t="s">
        <v>2118</v>
      </c>
    </row>
    <row r="794" spans="4:8" ht="12.75" customHeight="1" x14ac:dyDescent="0.25">
      <c r="D794" s="301" t="s">
        <v>2119</v>
      </c>
      <c r="E794" s="301" t="s">
        <v>425</v>
      </c>
      <c r="F794" s="301" t="s">
        <v>546</v>
      </c>
      <c r="G794" s="301" t="s">
        <v>1427</v>
      </c>
      <c r="H794" s="301" t="s">
        <v>2120</v>
      </c>
    </row>
    <row r="795" spans="4:8" ht="12.75" customHeight="1" x14ac:dyDescent="0.25">
      <c r="D795" s="301" t="s">
        <v>2121</v>
      </c>
      <c r="E795" s="301" t="s">
        <v>425</v>
      </c>
      <c r="F795" s="301" t="s">
        <v>1380</v>
      </c>
      <c r="G795" s="301" t="s">
        <v>1409</v>
      </c>
      <c r="H795" s="301" t="s">
        <v>2122</v>
      </c>
    </row>
    <row r="796" spans="4:8" ht="12.75" customHeight="1" x14ac:dyDescent="0.25">
      <c r="D796" s="301" t="s">
        <v>2123</v>
      </c>
      <c r="E796" s="301" t="s">
        <v>425</v>
      </c>
      <c r="F796" s="301" t="s">
        <v>1371</v>
      </c>
      <c r="G796" s="301" t="s">
        <v>1371</v>
      </c>
      <c r="H796" s="301" t="s">
        <v>2124</v>
      </c>
    </row>
    <row r="797" spans="4:8" ht="12.75" customHeight="1" x14ac:dyDescent="0.25">
      <c r="D797" s="301" t="s">
        <v>2125</v>
      </c>
      <c r="E797" s="301" t="s">
        <v>425</v>
      </c>
      <c r="F797" s="301" t="s">
        <v>426</v>
      </c>
      <c r="G797" s="301" t="s">
        <v>1534</v>
      </c>
      <c r="H797" s="301" t="s">
        <v>2126</v>
      </c>
    </row>
    <row r="798" spans="4:8" ht="12.75" customHeight="1" x14ac:dyDescent="0.25">
      <c r="D798" s="301" t="s">
        <v>2127</v>
      </c>
      <c r="E798" s="301" t="s">
        <v>425</v>
      </c>
      <c r="F798" s="301" t="s">
        <v>546</v>
      </c>
      <c r="G798" s="301" t="s">
        <v>547</v>
      </c>
      <c r="H798" s="301" t="s">
        <v>2128</v>
      </c>
    </row>
    <row r="799" spans="4:8" ht="12.75" customHeight="1" x14ac:dyDescent="0.25">
      <c r="D799" s="301" t="s">
        <v>2129</v>
      </c>
      <c r="E799" s="301" t="s">
        <v>425</v>
      </c>
      <c r="F799" s="301" t="s">
        <v>1380</v>
      </c>
      <c r="G799" s="301" t="s">
        <v>1409</v>
      </c>
      <c r="H799" s="301" t="s">
        <v>2130</v>
      </c>
    </row>
    <row r="800" spans="4:8" ht="12.75" customHeight="1" x14ac:dyDescent="0.25">
      <c r="D800" s="301" t="s">
        <v>2131</v>
      </c>
      <c r="E800" s="301" t="s">
        <v>425</v>
      </c>
      <c r="F800" s="301" t="s">
        <v>1380</v>
      </c>
      <c r="G800" s="301" t="s">
        <v>1409</v>
      </c>
      <c r="H800" s="301" t="s">
        <v>2132</v>
      </c>
    </row>
    <row r="801" spans="4:8" ht="12.75" customHeight="1" x14ac:dyDescent="0.25">
      <c r="D801" s="301" t="s">
        <v>2133</v>
      </c>
      <c r="E801" s="301" t="s">
        <v>425</v>
      </c>
      <c r="F801" s="301" t="s">
        <v>1244</v>
      </c>
      <c r="G801" s="301" t="s">
        <v>1245</v>
      </c>
      <c r="H801" s="301" t="s">
        <v>2134</v>
      </c>
    </row>
    <row r="802" spans="4:8" ht="12.75" customHeight="1" x14ac:dyDescent="0.25">
      <c r="D802" s="301" t="s">
        <v>2135</v>
      </c>
      <c r="E802" s="301" t="s">
        <v>425</v>
      </c>
      <c r="F802" s="301" t="s">
        <v>1684</v>
      </c>
      <c r="G802" s="301" t="s">
        <v>1685</v>
      </c>
      <c r="H802" s="301" t="s">
        <v>2136</v>
      </c>
    </row>
    <row r="803" spans="4:8" ht="12.75" customHeight="1" x14ac:dyDescent="0.25">
      <c r="D803" s="301" t="s">
        <v>2137</v>
      </c>
      <c r="E803" s="301" t="s">
        <v>425</v>
      </c>
      <c r="F803" s="301" t="s">
        <v>1684</v>
      </c>
      <c r="G803" s="301" t="s">
        <v>1713</v>
      </c>
      <c r="H803" s="301" t="s">
        <v>2138</v>
      </c>
    </row>
    <row r="804" spans="4:8" ht="12.75" customHeight="1" x14ac:dyDescent="0.25">
      <c r="D804" s="301" t="s">
        <v>2139</v>
      </c>
      <c r="E804" s="301" t="s">
        <v>425</v>
      </c>
      <c r="F804" s="301" t="s">
        <v>426</v>
      </c>
      <c r="G804" s="301" t="s">
        <v>1534</v>
      </c>
      <c r="H804" s="301" t="s">
        <v>2140</v>
      </c>
    </row>
    <row r="805" spans="4:8" ht="12.75" customHeight="1" x14ac:dyDescent="0.25">
      <c r="D805" s="301" t="s">
        <v>2141</v>
      </c>
      <c r="E805" s="301" t="s">
        <v>425</v>
      </c>
      <c r="F805" s="301" t="s">
        <v>1380</v>
      </c>
      <c r="G805" s="301" t="s">
        <v>1409</v>
      </c>
      <c r="H805" s="301" t="s">
        <v>2142</v>
      </c>
    </row>
    <row r="806" spans="4:8" ht="12.75" customHeight="1" x14ac:dyDescent="0.25">
      <c r="D806" s="301" t="s">
        <v>2143</v>
      </c>
      <c r="E806" s="301" t="s">
        <v>425</v>
      </c>
      <c r="F806" s="301" t="s">
        <v>1244</v>
      </c>
      <c r="G806" s="301" t="s">
        <v>1245</v>
      </c>
      <c r="H806" s="301" t="s">
        <v>2144</v>
      </c>
    </row>
    <row r="807" spans="4:8" ht="12.75" customHeight="1" x14ac:dyDescent="0.25">
      <c r="D807" s="301" t="s">
        <v>2145</v>
      </c>
      <c r="E807" s="301" t="s">
        <v>425</v>
      </c>
      <c r="F807" s="301" t="s">
        <v>1380</v>
      </c>
      <c r="G807" s="301" t="s">
        <v>1381</v>
      </c>
      <c r="H807" s="301" t="s">
        <v>2146</v>
      </c>
    </row>
    <row r="808" spans="4:8" ht="12.75" customHeight="1" x14ac:dyDescent="0.25">
      <c r="D808" s="301" t="s">
        <v>2147</v>
      </c>
      <c r="E808" s="301" t="s">
        <v>425</v>
      </c>
      <c r="F808" s="301" t="s">
        <v>1371</v>
      </c>
      <c r="G808" s="301" t="s">
        <v>1371</v>
      </c>
      <c r="H808" s="301" t="s">
        <v>2148</v>
      </c>
    </row>
    <row r="809" spans="4:8" ht="12.75" customHeight="1" x14ac:dyDescent="0.25">
      <c r="D809" s="301" t="s">
        <v>2149</v>
      </c>
      <c r="E809" s="301" t="s">
        <v>425</v>
      </c>
      <c r="F809" s="301" t="s">
        <v>426</v>
      </c>
      <c r="G809" s="301" t="s">
        <v>1534</v>
      </c>
      <c r="H809" s="301" t="s">
        <v>2150</v>
      </c>
    </row>
    <row r="810" spans="4:8" ht="12.75" customHeight="1" x14ac:dyDescent="0.25">
      <c r="D810" s="301" t="s">
        <v>2151</v>
      </c>
      <c r="E810" s="301" t="s">
        <v>425</v>
      </c>
      <c r="F810" s="301" t="s">
        <v>1244</v>
      </c>
      <c r="G810" s="301" t="s">
        <v>1432</v>
      </c>
      <c r="H810" s="301" t="s">
        <v>2152</v>
      </c>
    </row>
    <row r="811" spans="4:8" ht="12.75" customHeight="1" x14ac:dyDescent="0.25">
      <c r="D811" s="301" t="s">
        <v>2153</v>
      </c>
      <c r="E811" s="301" t="s">
        <v>425</v>
      </c>
      <c r="F811" s="301" t="s">
        <v>573</v>
      </c>
      <c r="G811" s="301" t="s">
        <v>574</v>
      </c>
      <c r="H811" s="301" t="s">
        <v>2154</v>
      </c>
    </row>
    <row r="812" spans="4:8" ht="12.75" customHeight="1" x14ac:dyDescent="0.25">
      <c r="D812" s="301" t="s">
        <v>2155</v>
      </c>
      <c r="E812" s="301" t="s">
        <v>425</v>
      </c>
      <c r="F812" s="301" t="s">
        <v>573</v>
      </c>
      <c r="G812" s="301" t="s">
        <v>1248</v>
      </c>
      <c r="H812" s="301" t="s">
        <v>2156</v>
      </c>
    </row>
    <row r="813" spans="4:8" ht="12.75" customHeight="1" x14ac:dyDescent="0.25">
      <c r="D813" s="301" t="s">
        <v>2157</v>
      </c>
      <c r="E813" s="301" t="s">
        <v>425</v>
      </c>
      <c r="F813" s="301" t="s">
        <v>1244</v>
      </c>
      <c r="G813" s="301" t="s">
        <v>1245</v>
      </c>
      <c r="H813" s="301" t="s">
        <v>2158</v>
      </c>
    </row>
    <row r="814" spans="4:8" ht="12.75" customHeight="1" x14ac:dyDescent="0.25">
      <c r="D814" s="301" t="s">
        <v>2159</v>
      </c>
      <c r="E814" s="301" t="s">
        <v>425</v>
      </c>
      <c r="F814" s="301" t="s">
        <v>1380</v>
      </c>
      <c r="G814" s="301" t="s">
        <v>1381</v>
      </c>
      <c r="H814" s="301" t="s">
        <v>2160</v>
      </c>
    </row>
    <row r="815" spans="4:8" ht="12.75" customHeight="1" x14ac:dyDescent="0.25">
      <c r="D815" s="301" t="s">
        <v>2161</v>
      </c>
      <c r="E815" s="301" t="s">
        <v>425</v>
      </c>
      <c r="F815" s="301" t="s">
        <v>1380</v>
      </c>
      <c r="G815" s="301" t="s">
        <v>1568</v>
      </c>
      <c r="H815" s="301" t="s">
        <v>2162</v>
      </c>
    </row>
    <row r="816" spans="4:8" ht="12.75" customHeight="1" x14ac:dyDescent="0.25">
      <c r="D816" s="301" t="s">
        <v>2163</v>
      </c>
      <c r="E816" s="301" t="s">
        <v>425</v>
      </c>
      <c r="F816" s="301" t="s">
        <v>1380</v>
      </c>
      <c r="G816" s="301" t="s">
        <v>1568</v>
      </c>
      <c r="H816" s="301" t="s">
        <v>2164</v>
      </c>
    </row>
    <row r="817" spans="4:8" ht="12.75" customHeight="1" x14ac:dyDescent="0.25">
      <c r="D817" s="301" t="s">
        <v>2165</v>
      </c>
      <c r="E817" s="301" t="s">
        <v>425</v>
      </c>
      <c r="F817" s="301" t="s">
        <v>1380</v>
      </c>
      <c r="G817" s="301" t="s">
        <v>1381</v>
      </c>
      <c r="H817" s="301" t="s">
        <v>2166</v>
      </c>
    </row>
    <row r="818" spans="4:8" ht="12.75" customHeight="1" x14ac:dyDescent="0.25">
      <c r="D818" s="301" t="s">
        <v>2167</v>
      </c>
      <c r="E818" s="301" t="s">
        <v>425</v>
      </c>
      <c r="F818" s="301" t="s">
        <v>1380</v>
      </c>
      <c r="G818" s="301" t="s">
        <v>1381</v>
      </c>
      <c r="H818" s="301" t="s">
        <v>2168</v>
      </c>
    </row>
    <row r="819" spans="4:8" ht="12.75" customHeight="1" x14ac:dyDescent="0.25">
      <c r="D819" s="301" t="s">
        <v>2169</v>
      </c>
      <c r="E819" s="301" t="s">
        <v>425</v>
      </c>
      <c r="F819" s="301" t="s">
        <v>1380</v>
      </c>
      <c r="G819" s="301" t="s">
        <v>1381</v>
      </c>
      <c r="H819" s="301" t="s">
        <v>2170</v>
      </c>
    </row>
    <row r="820" spans="4:8" ht="12.75" customHeight="1" x14ac:dyDescent="0.25">
      <c r="D820" s="301" t="s">
        <v>2171</v>
      </c>
      <c r="E820" s="301" t="s">
        <v>425</v>
      </c>
      <c r="F820" s="301" t="s">
        <v>1380</v>
      </c>
      <c r="G820" s="301" t="s">
        <v>1381</v>
      </c>
      <c r="H820" s="301" t="s">
        <v>2172</v>
      </c>
    </row>
    <row r="821" spans="4:8" ht="12.75" customHeight="1" x14ac:dyDescent="0.25">
      <c r="D821" s="301" t="s">
        <v>2173</v>
      </c>
      <c r="E821" s="301" t="s">
        <v>425</v>
      </c>
      <c r="F821" s="301" t="s">
        <v>1380</v>
      </c>
      <c r="G821" s="301" t="s">
        <v>2174</v>
      </c>
      <c r="H821" s="301" t="s">
        <v>2175</v>
      </c>
    </row>
    <row r="822" spans="4:8" ht="12.75" customHeight="1" x14ac:dyDescent="0.25">
      <c r="D822" s="301" t="s">
        <v>2176</v>
      </c>
      <c r="E822" s="301" t="s">
        <v>425</v>
      </c>
      <c r="F822" s="301" t="s">
        <v>1380</v>
      </c>
      <c r="G822" s="301" t="s">
        <v>1381</v>
      </c>
      <c r="H822" s="301" t="s">
        <v>2177</v>
      </c>
    </row>
    <row r="823" spans="4:8" ht="12.75" customHeight="1" x14ac:dyDescent="0.25">
      <c r="D823" s="301" t="s">
        <v>2178</v>
      </c>
      <c r="E823" s="301" t="s">
        <v>425</v>
      </c>
      <c r="F823" s="301" t="s">
        <v>1380</v>
      </c>
      <c r="G823" s="301" t="s">
        <v>2179</v>
      </c>
      <c r="H823" s="301" t="s">
        <v>2180</v>
      </c>
    </row>
    <row r="824" spans="4:8" ht="12.75" customHeight="1" x14ac:dyDescent="0.25">
      <c r="D824" s="301" t="s">
        <v>2181</v>
      </c>
      <c r="E824" s="301" t="s">
        <v>425</v>
      </c>
      <c r="F824" s="301" t="s">
        <v>1380</v>
      </c>
      <c r="G824" s="301" t="s">
        <v>1445</v>
      </c>
      <c r="H824" s="301" t="s">
        <v>2182</v>
      </c>
    </row>
    <row r="825" spans="4:8" ht="12.75" customHeight="1" x14ac:dyDescent="0.25">
      <c r="D825" s="301" t="s">
        <v>2183</v>
      </c>
      <c r="E825" s="301" t="s">
        <v>425</v>
      </c>
      <c r="F825" s="301" t="s">
        <v>1380</v>
      </c>
      <c r="G825" s="301" t="s">
        <v>1568</v>
      </c>
      <c r="H825" s="301" t="s">
        <v>2184</v>
      </c>
    </row>
    <row r="826" spans="4:8" ht="12.75" customHeight="1" x14ac:dyDescent="0.25">
      <c r="D826" s="301" t="s">
        <v>2185</v>
      </c>
      <c r="E826" s="301" t="s">
        <v>425</v>
      </c>
      <c r="F826" s="301" t="s">
        <v>1380</v>
      </c>
      <c r="G826" s="301" t="s">
        <v>1526</v>
      </c>
      <c r="H826" s="301" t="s">
        <v>2186</v>
      </c>
    </row>
    <row r="827" spans="4:8" ht="12.75" customHeight="1" x14ac:dyDescent="0.25">
      <c r="D827" s="301" t="s">
        <v>2187</v>
      </c>
      <c r="E827" s="301" t="s">
        <v>425</v>
      </c>
      <c r="F827" s="301" t="s">
        <v>1374</v>
      </c>
      <c r="G827" s="301" t="s">
        <v>1406</v>
      </c>
      <c r="H827" s="301" t="s">
        <v>2188</v>
      </c>
    </row>
    <row r="828" spans="4:8" ht="12.75" customHeight="1" x14ac:dyDescent="0.25">
      <c r="D828" s="301" t="s">
        <v>2189</v>
      </c>
      <c r="E828" s="301" t="s">
        <v>425</v>
      </c>
      <c r="F828" s="301" t="s">
        <v>573</v>
      </c>
      <c r="G828" s="308" t="s">
        <v>1254</v>
      </c>
      <c r="H828" s="301" t="s">
        <v>2190</v>
      </c>
    </row>
    <row r="829" spans="4:8" ht="12.75" customHeight="1" x14ac:dyDescent="0.25">
      <c r="D829" s="301" t="s">
        <v>2191</v>
      </c>
      <c r="E829" s="301" t="s">
        <v>425</v>
      </c>
      <c r="F829" s="301" t="s">
        <v>1371</v>
      </c>
      <c r="G829" s="301" t="s">
        <v>1371</v>
      </c>
      <c r="H829" s="301" t="s">
        <v>2192</v>
      </c>
    </row>
    <row r="830" spans="4:8" ht="12.75" customHeight="1" x14ac:dyDescent="0.25">
      <c r="D830" s="301" t="s">
        <v>2193</v>
      </c>
      <c r="E830" s="301" t="s">
        <v>425</v>
      </c>
      <c r="F830" s="301" t="s">
        <v>1371</v>
      </c>
      <c r="G830" s="301" t="s">
        <v>1371</v>
      </c>
      <c r="H830" s="301" t="s">
        <v>2194</v>
      </c>
    </row>
    <row r="831" spans="4:8" ht="12.75" customHeight="1" x14ac:dyDescent="0.25">
      <c r="D831" s="301" t="s">
        <v>2195</v>
      </c>
      <c r="E831" s="301" t="s">
        <v>425</v>
      </c>
      <c r="F831" s="301" t="s">
        <v>1371</v>
      </c>
      <c r="G831" s="301" t="s">
        <v>1371</v>
      </c>
      <c r="H831" s="301" t="s">
        <v>2196</v>
      </c>
    </row>
    <row r="832" spans="4:8" ht="12.75" customHeight="1" x14ac:dyDescent="0.25">
      <c r="D832" s="301" t="s">
        <v>2197</v>
      </c>
      <c r="E832" s="301" t="s">
        <v>425</v>
      </c>
      <c r="F832" s="301" t="s">
        <v>1380</v>
      </c>
      <c r="G832" s="301" t="s">
        <v>1568</v>
      </c>
      <c r="H832" s="301" t="s">
        <v>2198</v>
      </c>
    </row>
    <row r="833" spans="4:8" ht="12.75" customHeight="1" x14ac:dyDescent="0.25">
      <c r="D833" s="301" t="s">
        <v>2199</v>
      </c>
      <c r="E833" s="301" t="s">
        <v>425</v>
      </c>
      <c r="F833" s="301" t="s">
        <v>1371</v>
      </c>
      <c r="G833" s="301" t="s">
        <v>1371</v>
      </c>
      <c r="H833" s="301" t="s">
        <v>2200</v>
      </c>
    </row>
    <row r="834" spans="4:8" ht="12.75" customHeight="1" x14ac:dyDescent="0.25">
      <c r="D834" s="301" t="s">
        <v>2201</v>
      </c>
      <c r="E834" s="301" t="s">
        <v>425</v>
      </c>
      <c r="F834" s="301" t="s">
        <v>1371</v>
      </c>
      <c r="G834" s="301" t="s">
        <v>1371</v>
      </c>
      <c r="H834" s="301" t="s">
        <v>2202</v>
      </c>
    </row>
    <row r="835" spans="4:8" ht="12.75" customHeight="1" x14ac:dyDescent="0.25">
      <c r="D835" s="301" t="s">
        <v>2203</v>
      </c>
      <c r="E835" s="301" t="s">
        <v>425</v>
      </c>
      <c r="F835" s="301" t="s">
        <v>1371</v>
      </c>
      <c r="G835" s="301" t="s">
        <v>1371</v>
      </c>
      <c r="H835" s="301" t="s">
        <v>2204</v>
      </c>
    </row>
    <row r="836" spans="4:8" ht="12.75" customHeight="1" x14ac:dyDescent="0.25">
      <c r="D836" s="301" t="s">
        <v>2205</v>
      </c>
      <c r="E836" s="301" t="s">
        <v>425</v>
      </c>
      <c r="F836" s="301" t="s">
        <v>1371</v>
      </c>
      <c r="G836" s="301" t="s">
        <v>1371</v>
      </c>
      <c r="H836" s="301" t="s">
        <v>2206</v>
      </c>
    </row>
    <row r="837" spans="4:8" ht="12.75" customHeight="1" x14ac:dyDescent="0.25">
      <c r="D837" s="301" t="s">
        <v>2207</v>
      </c>
      <c r="E837" s="301" t="s">
        <v>425</v>
      </c>
      <c r="F837" s="301" t="s">
        <v>1380</v>
      </c>
      <c r="G837" s="301" t="s">
        <v>1568</v>
      </c>
      <c r="H837" s="301" t="s">
        <v>2208</v>
      </c>
    </row>
    <row r="838" spans="4:8" ht="12.75" customHeight="1" x14ac:dyDescent="0.25">
      <c r="D838" s="301" t="s">
        <v>2209</v>
      </c>
      <c r="E838" s="301" t="s">
        <v>454</v>
      </c>
      <c r="F838" s="301" t="s">
        <v>504</v>
      </c>
      <c r="G838" s="301" t="s">
        <v>505</v>
      </c>
      <c r="H838" s="301" t="s">
        <v>2210</v>
      </c>
    </row>
    <row r="839" spans="4:8" ht="12.75" customHeight="1" x14ac:dyDescent="0.25">
      <c r="D839" s="301" t="s">
        <v>2211</v>
      </c>
      <c r="E839" s="301" t="s">
        <v>432</v>
      </c>
      <c r="F839" s="301" t="s">
        <v>433</v>
      </c>
      <c r="G839" s="301" t="s">
        <v>434</v>
      </c>
      <c r="H839" s="301" t="s">
        <v>2212</v>
      </c>
    </row>
    <row r="840" spans="4:8" ht="12.75" customHeight="1" x14ac:dyDescent="0.25">
      <c r="D840" s="301" t="s">
        <v>2213</v>
      </c>
      <c r="E840" s="301" t="s">
        <v>437</v>
      </c>
      <c r="F840" s="301" t="s">
        <v>438</v>
      </c>
      <c r="G840" s="301" t="s">
        <v>439</v>
      </c>
      <c r="H840" s="301" t="s">
        <v>2214</v>
      </c>
    </row>
    <row r="841" spans="4:8" ht="12.75" customHeight="1" x14ac:dyDescent="0.25">
      <c r="D841" s="301" t="s">
        <v>2215</v>
      </c>
      <c r="E841" s="301" t="s">
        <v>443</v>
      </c>
      <c r="F841" s="301" t="s">
        <v>444</v>
      </c>
      <c r="G841" s="301" t="s">
        <v>445</v>
      </c>
      <c r="H841" s="301" t="s">
        <v>2216</v>
      </c>
    </row>
    <row r="842" spans="4:8" ht="12.75" customHeight="1" x14ac:dyDescent="0.25">
      <c r="D842" s="301" t="s">
        <v>2217</v>
      </c>
      <c r="E842" s="301" t="s">
        <v>449</v>
      </c>
      <c r="F842" s="301" t="s">
        <v>1029</v>
      </c>
      <c r="G842" s="301" t="s">
        <v>1030</v>
      </c>
      <c r="H842" s="307" t="s">
        <v>2218</v>
      </c>
    </row>
    <row r="843" spans="4:8" ht="12.75" customHeight="1" x14ac:dyDescent="0.25">
      <c r="D843" s="301" t="s">
        <v>2219</v>
      </c>
      <c r="E843" s="301" t="s">
        <v>425</v>
      </c>
      <c r="F843" s="301" t="s">
        <v>426</v>
      </c>
      <c r="G843" s="301" t="s">
        <v>584</v>
      </c>
      <c r="H843" s="301" t="s">
        <v>2220</v>
      </c>
    </row>
    <row r="844" spans="4:8" ht="12.75" customHeight="1" x14ac:dyDescent="0.25">
      <c r="D844" s="301" t="s">
        <v>2221</v>
      </c>
      <c r="E844" s="301" t="s">
        <v>425</v>
      </c>
      <c r="F844" s="301" t="s">
        <v>1238</v>
      </c>
      <c r="G844" s="301" t="s">
        <v>1239</v>
      </c>
      <c r="H844" s="301" t="s">
        <v>2222</v>
      </c>
    </row>
    <row r="845" spans="4:8" ht="12.75" customHeight="1" x14ac:dyDescent="0.25">
      <c r="D845" s="301" t="s">
        <v>2223</v>
      </c>
      <c r="E845" s="301" t="s">
        <v>425</v>
      </c>
      <c r="F845" s="301" t="s">
        <v>1684</v>
      </c>
      <c r="G845" s="301" t="s">
        <v>1713</v>
      </c>
      <c r="H845" s="301" t="s">
        <v>2224</v>
      </c>
    </row>
    <row r="846" spans="4:8" ht="12.75" customHeight="1" x14ac:dyDescent="0.25">
      <c r="D846" s="301" t="s">
        <v>2225</v>
      </c>
      <c r="E846" s="301" t="s">
        <v>425</v>
      </c>
      <c r="F846" s="301" t="s">
        <v>1684</v>
      </c>
      <c r="G846" s="301" t="s">
        <v>1685</v>
      </c>
      <c r="H846" s="301" t="s">
        <v>2226</v>
      </c>
    </row>
    <row r="847" spans="4:8" ht="12.75" customHeight="1" x14ac:dyDescent="0.25">
      <c r="D847" s="301" t="s">
        <v>2227</v>
      </c>
      <c r="E847" s="301" t="s">
        <v>425</v>
      </c>
      <c r="F847" s="301" t="s">
        <v>1684</v>
      </c>
      <c r="G847" s="301" t="s">
        <v>1685</v>
      </c>
      <c r="H847" s="301" t="s">
        <v>2228</v>
      </c>
    </row>
    <row r="848" spans="4:8" ht="12.75" customHeight="1" x14ac:dyDescent="0.25">
      <c r="D848" s="301" t="s">
        <v>2229</v>
      </c>
      <c r="E848" s="301" t="s">
        <v>425</v>
      </c>
      <c r="F848" s="301" t="s">
        <v>1684</v>
      </c>
      <c r="G848" s="301" t="s">
        <v>1685</v>
      </c>
      <c r="H848" s="301" t="s">
        <v>2230</v>
      </c>
    </row>
    <row r="849" spans="4:8" ht="12.75" customHeight="1" x14ac:dyDescent="0.25">
      <c r="D849" s="301" t="s">
        <v>2231</v>
      </c>
      <c r="E849" s="301" t="s">
        <v>432</v>
      </c>
      <c r="F849" s="301" t="s">
        <v>433</v>
      </c>
      <c r="G849" s="301" t="s">
        <v>434</v>
      </c>
      <c r="H849" s="301" t="s">
        <v>2232</v>
      </c>
    </row>
    <row r="850" spans="4:8" ht="12.75" customHeight="1" x14ac:dyDescent="0.25">
      <c r="D850" s="301" t="s">
        <v>2233</v>
      </c>
      <c r="E850" s="301" t="s">
        <v>425</v>
      </c>
      <c r="F850" s="301" t="s">
        <v>1380</v>
      </c>
      <c r="G850" s="301" t="s">
        <v>1409</v>
      </c>
      <c r="H850" s="301" t="s">
        <v>2234</v>
      </c>
    </row>
    <row r="851" spans="4:8" ht="12.75" customHeight="1" x14ac:dyDescent="0.25">
      <c r="D851" s="301" t="s">
        <v>2235</v>
      </c>
      <c r="E851" s="301" t="s">
        <v>425</v>
      </c>
      <c r="F851" s="301" t="s">
        <v>1380</v>
      </c>
      <c r="G851" s="301" t="s">
        <v>1409</v>
      </c>
      <c r="H851" s="301" t="s">
        <v>2236</v>
      </c>
    </row>
    <row r="852" spans="4:8" ht="12.75" customHeight="1" x14ac:dyDescent="0.25">
      <c r="D852" s="301" t="s">
        <v>2237</v>
      </c>
      <c r="E852" s="301" t="s">
        <v>461</v>
      </c>
      <c r="F852" s="301" t="s">
        <v>461</v>
      </c>
      <c r="G852" s="301" t="s">
        <v>461</v>
      </c>
      <c r="H852" s="301" t="s">
        <v>2238</v>
      </c>
    </row>
    <row r="853" spans="4:8" ht="12.75" customHeight="1" x14ac:dyDescent="0.25">
      <c r="D853" s="301" t="s">
        <v>2239</v>
      </c>
      <c r="E853" s="301" t="s">
        <v>443</v>
      </c>
      <c r="F853" s="301" t="s">
        <v>444</v>
      </c>
      <c r="G853" s="301" t="s">
        <v>445</v>
      </c>
      <c r="H853" s="301" t="s">
        <v>2240</v>
      </c>
    </row>
    <row r="854" spans="4:8" ht="12.75" customHeight="1" x14ac:dyDescent="0.25">
      <c r="D854" s="301" t="s">
        <v>2241</v>
      </c>
      <c r="E854" s="301" t="s">
        <v>443</v>
      </c>
      <c r="F854" s="301" t="s">
        <v>444</v>
      </c>
      <c r="G854" s="301" t="s">
        <v>1198</v>
      </c>
      <c r="H854" s="301" t="s">
        <v>2242</v>
      </c>
    </row>
    <row r="855" spans="4:8" ht="12.75" customHeight="1" x14ac:dyDescent="0.25">
      <c r="D855" s="301" t="s">
        <v>2243</v>
      </c>
      <c r="E855" s="301" t="s">
        <v>443</v>
      </c>
      <c r="F855" s="301" t="s">
        <v>1024</v>
      </c>
      <c r="G855" s="301" t="s">
        <v>1024</v>
      </c>
      <c r="H855" s="301" t="s">
        <v>2244</v>
      </c>
    </row>
    <row r="856" spans="4:8" ht="12.75" customHeight="1" x14ac:dyDescent="0.25">
      <c r="D856" s="301" t="s">
        <v>2245</v>
      </c>
      <c r="E856" s="301" t="s">
        <v>443</v>
      </c>
      <c r="F856" s="301" t="s">
        <v>444</v>
      </c>
      <c r="G856" s="301" t="s">
        <v>2246</v>
      </c>
      <c r="H856" s="301" t="s">
        <v>2247</v>
      </c>
    </row>
    <row r="857" spans="4:8" ht="12.75" customHeight="1" x14ac:dyDescent="0.25">
      <c r="D857" s="301" t="s">
        <v>2248</v>
      </c>
      <c r="E857" s="301" t="s">
        <v>443</v>
      </c>
      <c r="F857" s="301" t="s">
        <v>444</v>
      </c>
      <c r="G857" s="301" t="s">
        <v>2249</v>
      </c>
      <c r="H857" s="301" t="s">
        <v>2250</v>
      </c>
    </row>
    <row r="858" spans="4:8" ht="12.75" customHeight="1" x14ac:dyDescent="0.25">
      <c r="D858" s="301" t="s">
        <v>2251</v>
      </c>
      <c r="E858" s="301" t="s">
        <v>425</v>
      </c>
      <c r="F858" s="301" t="s">
        <v>1380</v>
      </c>
      <c r="G858" s="301" t="s">
        <v>1445</v>
      </c>
      <c r="H858" s="301" t="s">
        <v>2252</v>
      </c>
    </row>
    <row r="859" spans="4:8" ht="12.75" customHeight="1" x14ac:dyDescent="0.25">
      <c r="D859" s="301" t="s">
        <v>2253</v>
      </c>
      <c r="E859" s="301" t="s">
        <v>432</v>
      </c>
      <c r="F859" s="301" t="s">
        <v>433</v>
      </c>
      <c r="G859" s="301" t="s">
        <v>434</v>
      </c>
      <c r="H859" s="301" t="s">
        <v>2254</v>
      </c>
    </row>
    <row r="860" spans="4:8" ht="12.75" customHeight="1" x14ac:dyDescent="0.25">
      <c r="D860" s="301" t="s">
        <v>2255</v>
      </c>
      <c r="E860" s="301" t="s">
        <v>425</v>
      </c>
      <c r="F860" s="301" t="s">
        <v>1238</v>
      </c>
      <c r="G860" s="301" t="s">
        <v>1239</v>
      </c>
      <c r="H860" s="301" t="s">
        <v>2256</v>
      </c>
    </row>
    <row r="861" spans="4:8" ht="12.75" customHeight="1" x14ac:dyDescent="0.25">
      <c r="D861" s="301" t="s">
        <v>2257</v>
      </c>
      <c r="E861" s="301" t="s">
        <v>425</v>
      </c>
      <c r="F861" s="301" t="s">
        <v>1238</v>
      </c>
      <c r="G861" s="301" t="s">
        <v>1239</v>
      </c>
      <c r="H861" s="301" t="s">
        <v>2258</v>
      </c>
    </row>
    <row r="862" spans="4:8" ht="12.75" customHeight="1" x14ac:dyDescent="0.25">
      <c r="D862" s="301" t="s">
        <v>2259</v>
      </c>
      <c r="E862" s="301" t="s">
        <v>425</v>
      </c>
      <c r="F862" s="301" t="s">
        <v>1238</v>
      </c>
      <c r="G862" s="301" t="s">
        <v>1239</v>
      </c>
      <c r="H862" s="301" t="s">
        <v>2260</v>
      </c>
    </row>
    <row r="863" spans="4:8" ht="12.75" customHeight="1" x14ac:dyDescent="0.25">
      <c r="D863" s="301" t="s">
        <v>2261</v>
      </c>
      <c r="E863" s="301" t="s">
        <v>425</v>
      </c>
      <c r="F863" s="301" t="s">
        <v>1374</v>
      </c>
      <c r="G863" s="301" t="s">
        <v>1406</v>
      </c>
      <c r="H863" s="301" t="s">
        <v>2262</v>
      </c>
    </row>
    <row r="864" spans="4:8" ht="12.75" customHeight="1" x14ac:dyDescent="0.25">
      <c r="D864" s="301" t="s">
        <v>2263</v>
      </c>
      <c r="E864" s="301" t="s">
        <v>432</v>
      </c>
      <c r="F864" s="301" t="s">
        <v>433</v>
      </c>
      <c r="G864" s="301" t="s">
        <v>434</v>
      </c>
      <c r="H864" s="301" t="s">
        <v>2264</v>
      </c>
    </row>
    <row r="865" spans="4:8" ht="12.75" customHeight="1" x14ac:dyDescent="0.25">
      <c r="D865" s="301" t="s">
        <v>2265</v>
      </c>
      <c r="E865" s="301" t="s">
        <v>425</v>
      </c>
      <c r="F865" s="301" t="s">
        <v>1244</v>
      </c>
      <c r="G865" s="301" t="s">
        <v>1245</v>
      </c>
      <c r="H865" s="301" t="s">
        <v>2266</v>
      </c>
    </row>
    <row r="866" spans="4:8" ht="12.75" customHeight="1" x14ac:dyDescent="0.25">
      <c r="D866" s="301" t="s">
        <v>2267</v>
      </c>
      <c r="E866" s="301" t="s">
        <v>432</v>
      </c>
      <c r="F866" s="301" t="s">
        <v>433</v>
      </c>
      <c r="G866" s="301" t="s">
        <v>647</v>
      </c>
      <c r="H866" s="301" t="s">
        <v>2268</v>
      </c>
    </row>
    <row r="867" spans="4:8" ht="12.75" customHeight="1" x14ac:dyDescent="0.25">
      <c r="D867" s="301" t="s">
        <v>2269</v>
      </c>
      <c r="E867" s="301" t="s">
        <v>443</v>
      </c>
      <c r="F867" s="301" t="s">
        <v>444</v>
      </c>
      <c r="G867" s="301" t="s">
        <v>445</v>
      </c>
      <c r="H867" s="301" t="s">
        <v>2270</v>
      </c>
    </row>
    <row r="868" spans="4:8" ht="12.75" customHeight="1" x14ac:dyDescent="0.25">
      <c r="D868" s="301" t="s">
        <v>2271</v>
      </c>
      <c r="E868" s="301" t="s">
        <v>452</v>
      </c>
      <c r="F868" s="301" t="s">
        <v>569</v>
      </c>
      <c r="G868" s="301" t="s">
        <v>570</v>
      </c>
      <c r="H868" s="301" t="s">
        <v>2272</v>
      </c>
    </row>
    <row r="869" spans="4:8" ht="12.75" customHeight="1" x14ac:dyDescent="0.25">
      <c r="D869" s="306" t="s">
        <v>2273</v>
      </c>
      <c r="E869" s="306" t="s">
        <v>458</v>
      </c>
      <c r="F869" s="306" t="s">
        <v>660</v>
      </c>
      <c r="G869" s="306" t="s">
        <v>661</v>
      </c>
      <c r="H869" s="306" t="s">
        <v>2274</v>
      </c>
    </row>
    <row r="870" spans="4:8" ht="12.75" customHeight="1" x14ac:dyDescent="0.25">
      <c r="D870" s="301" t="s">
        <v>2275</v>
      </c>
      <c r="E870" s="301" t="s">
        <v>425</v>
      </c>
      <c r="F870" s="301" t="s">
        <v>1238</v>
      </c>
      <c r="G870" s="301" t="s">
        <v>1239</v>
      </c>
      <c r="H870" s="301" t="s">
        <v>2276</v>
      </c>
    </row>
    <row r="871" spans="4:8" ht="12.75" customHeight="1" x14ac:dyDescent="0.25">
      <c r="D871" s="301" t="s">
        <v>2277</v>
      </c>
      <c r="E871" s="301" t="s">
        <v>425</v>
      </c>
      <c r="F871" s="301" t="s">
        <v>1238</v>
      </c>
      <c r="G871" s="301" t="s">
        <v>1239</v>
      </c>
      <c r="H871" s="301" t="s">
        <v>2278</v>
      </c>
    </row>
    <row r="872" spans="4:8" ht="12.75" customHeight="1" x14ac:dyDescent="0.25">
      <c r="D872" s="301" t="s">
        <v>2279</v>
      </c>
      <c r="E872" s="301" t="s">
        <v>425</v>
      </c>
      <c r="F872" s="301" t="s">
        <v>1238</v>
      </c>
      <c r="G872" s="301" t="s">
        <v>1239</v>
      </c>
      <c r="H872" s="301" t="s">
        <v>2280</v>
      </c>
    </row>
    <row r="873" spans="4:8" ht="12.75" customHeight="1" x14ac:dyDescent="0.25">
      <c r="D873" s="301" t="s">
        <v>2281</v>
      </c>
      <c r="E873" s="301" t="s">
        <v>425</v>
      </c>
      <c r="F873" s="301" t="s">
        <v>1374</v>
      </c>
      <c r="G873" s="301" t="s">
        <v>1406</v>
      </c>
      <c r="H873" s="301" t="s">
        <v>2282</v>
      </c>
    </row>
    <row r="874" spans="4:8" ht="12.75" customHeight="1" x14ac:dyDescent="0.25">
      <c r="D874" s="301" t="s">
        <v>2283</v>
      </c>
      <c r="E874" s="301" t="s">
        <v>425</v>
      </c>
      <c r="F874" s="301" t="s">
        <v>573</v>
      </c>
      <c r="G874" s="301" t="s">
        <v>1223</v>
      </c>
      <c r="H874" s="301" t="s">
        <v>2284</v>
      </c>
    </row>
    <row r="875" spans="4:8" ht="12.75" customHeight="1" x14ac:dyDescent="0.25">
      <c r="D875" s="301" t="s">
        <v>2285</v>
      </c>
      <c r="E875" s="301" t="s">
        <v>449</v>
      </c>
      <c r="F875" s="301" t="s">
        <v>1029</v>
      </c>
      <c r="G875" s="301" t="s">
        <v>1030</v>
      </c>
      <c r="H875" s="307" t="s">
        <v>2286</v>
      </c>
    </row>
    <row r="876" spans="4:8" ht="12.75" customHeight="1" x14ac:dyDescent="0.25">
      <c r="D876" s="308" t="s">
        <v>2287</v>
      </c>
      <c r="E876" s="301" t="s">
        <v>432</v>
      </c>
      <c r="F876" s="301" t="s">
        <v>433</v>
      </c>
      <c r="G876" s="301" t="s">
        <v>434</v>
      </c>
      <c r="H876" s="308" t="s">
        <v>2288</v>
      </c>
    </row>
    <row r="877" spans="4:8" ht="12.75" customHeight="1" x14ac:dyDescent="0.25">
      <c r="D877" s="306" t="s">
        <v>2289</v>
      </c>
      <c r="E877" s="306" t="s">
        <v>458</v>
      </c>
      <c r="F877" s="306" t="s">
        <v>660</v>
      </c>
      <c r="G877" s="306" t="s">
        <v>661</v>
      </c>
      <c r="H877" s="306" t="s">
        <v>2290</v>
      </c>
    </row>
    <row r="878" spans="4:8" ht="12.75" customHeight="1" x14ac:dyDescent="0.25">
      <c r="D878" s="306" t="s">
        <v>2291</v>
      </c>
      <c r="E878" s="306" t="s">
        <v>458</v>
      </c>
      <c r="F878" s="306" t="s">
        <v>660</v>
      </c>
      <c r="G878" s="306" t="s">
        <v>661</v>
      </c>
      <c r="H878" s="306" t="s">
        <v>2292</v>
      </c>
    </row>
    <row r="879" spans="4:8" ht="12.75" customHeight="1" x14ac:dyDescent="0.25">
      <c r="D879" s="301" t="s">
        <v>2293</v>
      </c>
      <c r="E879" s="301" t="s">
        <v>443</v>
      </c>
      <c r="F879" s="301" t="s">
        <v>1024</v>
      </c>
      <c r="G879" s="301" t="s">
        <v>1024</v>
      </c>
      <c r="H879" s="301" t="s">
        <v>2294</v>
      </c>
    </row>
    <row r="880" spans="4:8" ht="12.75" customHeight="1" x14ac:dyDescent="0.25">
      <c r="D880" s="301" t="s">
        <v>2295</v>
      </c>
      <c r="E880" s="301" t="s">
        <v>454</v>
      </c>
      <c r="F880" s="301" t="s">
        <v>504</v>
      </c>
      <c r="G880" s="301" t="s">
        <v>505</v>
      </c>
      <c r="H880" s="301" t="s">
        <v>2296</v>
      </c>
    </row>
    <row r="881" spans="4:8" ht="12.75" customHeight="1" x14ac:dyDescent="0.25">
      <c r="D881" s="301" t="s">
        <v>2297</v>
      </c>
      <c r="E881" s="301" t="s">
        <v>454</v>
      </c>
      <c r="F881" s="301" t="s">
        <v>504</v>
      </c>
      <c r="G881" s="301" t="s">
        <v>505</v>
      </c>
      <c r="H881" s="301" t="s">
        <v>2298</v>
      </c>
    </row>
    <row r="882" spans="4:8" ht="12.75" customHeight="1" x14ac:dyDescent="0.25">
      <c r="D882" s="301" t="s">
        <v>2299</v>
      </c>
      <c r="E882" s="301" t="s">
        <v>449</v>
      </c>
      <c r="F882" s="301" t="s">
        <v>1029</v>
      </c>
      <c r="G882" s="301" t="s">
        <v>1065</v>
      </c>
      <c r="H882" s="301" t="s">
        <v>2300</v>
      </c>
    </row>
    <row r="883" spans="4:8" ht="12.75" customHeight="1" x14ac:dyDescent="0.25">
      <c r="D883" s="301" t="s">
        <v>2301</v>
      </c>
      <c r="E883" s="301" t="s">
        <v>464</v>
      </c>
      <c r="F883" s="301" t="s">
        <v>464</v>
      </c>
      <c r="G883" s="301" t="s">
        <v>464</v>
      </c>
      <c r="H883" s="301" t="s">
        <v>2302</v>
      </c>
    </row>
    <row r="884" spans="4:8" ht="12.75" customHeight="1" x14ac:dyDescent="0.25">
      <c r="D884" s="301" t="s">
        <v>2303</v>
      </c>
      <c r="E884" s="301" t="s">
        <v>432</v>
      </c>
      <c r="F884" s="301" t="s">
        <v>433</v>
      </c>
      <c r="G884" s="301" t="s">
        <v>434</v>
      </c>
      <c r="H884" s="301" t="s">
        <v>2304</v>
      </c>
    </row>
    <row r="885" spans="4:8" ht="12.75" customHeight="1" x14ac:dyDescent="0.25">
      <c r="D885" s="301" t="s">
        <v>2305</v>
      </c>
      <c r="E885" s="301" t="s">
        <v>432</v>
      </c>
      <c r="F885" s="301" t="s">
        <v>433</v>
      </c>
      <c r="G885" s="301" t="s">
        <v>434</v>
      </c>
      <c r="H885" s="301" t="s">
        <v>2306</v>
      </c>
    </row>
    <row r="886" spans="4:8" ht="12.75" customHeight="1" x14ac:dyDescent="0.25">
      <c r="D886" s="301" t="s">
        <v>2307</v>
      </c>
      <c r="E886" s="301" t="s">
        <v>432</v>
      </c>
      <c r="F886" s="301" t="s">
        <v>433</v>
      </c>
      <c r="G886" s="301" t="s">
        <v>647</v>
      </c>
      <c r="H886" s="301" t="s">
        <v>2308</v>
      </c>
    </row>
    <row r="887" spans="4:8" ht="12.75" customHeight="1" x14ac:dyDescent="0.25">
      <c r="D887" s="301" t="s">
        <v>2309</v>
      </c>
      <c r="E887" s="301" t="s">
        <v>443</v>
      </c>
      <c r="F887" s="301" t="s">
        <v>444</v>
      </c>
      <c r="G887" s="301" t="s">
        <v>445</v>
      </c>
      <c r="H887" s="301" t="s">
        <v>2310</v>
      </c>
    </row>
    <row r="888" spans="4:8" ht="12.75" customHeight="1" x14ac:dyDescent="0.25">
      <c r="D888" s="306" t="s">
        <v>2311</v>
      </c>
      <c r="E888" s="306" t="s">
        <v>458</v>
      </c>
      <c r="F888" s="306" t="s">
        <v>660</v>
      </c>
      <c r="G888" s="306" t="s">
        <v>661</v>
      </c>
      <c r="H888" s="306" t="s">
        <v>2312</v>
      </c>
    </row>
    <row r="889" spans="4:8" ht="12.75" customHeight="1" x14ac:dyDescent="0.25">
      <c r="D889" s="301" t="s">
        <v>2313</v>
      </c>
      <c r="E889" s="301" t="s">
        <v>432</v>
      </c>
      <c r="F889" s="301" t="s">
        <v>479</v>
      </c>
      <c r="G889" s="301" t="s">
        <v>480</v>
      </c>
      <c r="H889" s="301" t="s">
        <v>2314</v>
      </c>
    </row>
    <row r="890" spans="4:8" ht="12.75" customHeight="1" x14ac:dyDescent="0.25">
      <c r="D890" s="301" t="s">
        <v>2315</v>
      </c>
      <c r="E890" s="301" t="s">
        <v>425</v>
      </c>
      <c r="F890" s="301" t="s">
        <v>573</v>
      </c>
      <c r="G890" s="301" t="s">
        <v>574</v>
      </c>
      <c r="H890" s="301" t="s">
        <v>2316</v>
      </c>
    </row>
    <row r="891" spans="4:8" ht="12.75" customHeight="1" x14ac:dyDescent="0.25">
      <c r="D891" s="301" t="s">
        <v>2317</v>
      </c>
      <c r="E891" s="301" t="s">
        <v>425</v>
      </c>
      <c r="F891" s="301" t="s">
        <v>573</v>
      </c>
      <c r="G891" s="301" t="s">
        <v>574</v>
      </c>
      <c r="H891" s="301" t="s">
        <v>2318</v>
      </c>
    </row>
    <row r="892" spans="4:8" ht="12.75" customHeight="1" x14ac:dyDescent="0.25">
      <c r="D892" s="301" t="s">
        <v>2319</v>
      </c>
      <c r="E892" s="301" t="s">
        <v>425</v>
      </c>
      <c r="F892" s="301" t="s">
        <v>573</v>
      </c>
      <c r="G892" s="301" t="s">
        <v>574</v>
      </c>
      <c r="H892" s="301" t="s">
        <v>2320</v>
      </c>
    </row>
    <row r="893" spans="4:8" ht="12.75" customHeight="1" x14ac:dyDescent="0.25">
      <c r="D893" s="301" t="s">
        <v>2321</v>
      </c>
      <c r="E893" s="301" t="s">
        <v>425</v>
      </c>
      <c r="F893" s="301" t="s">
        <v>573</v>
      </c>
      <c r="G893" s="301" t="s">
        <v>2322</v>
      </c>
      <c r="H893" s="301" t="s">
        <v>2323</v>
      </c>
    </row>
    <row r="894" spans="4:8" ht="12.75" customHeight="1" x14ac:dyDescent="0.25">
      <c r="D894" s="301" t="s">
        <v>2324</v>
      </c>
      <c r="E894" s="301" t="s">
        <v>425</v>
      </c>
      <c r="F894" s="301" t="s">
        <v>573</v>
      </c>
      <c r="G894" s="301" t="s">
        <v>2322</v>
      </c>
      <c r="H894" s="301" t="s">
        <v>2325</v>
      </c>
    </row>
    <row r="895" spans="4:8" ht="12.75" customHeight="1" x14ac:dyDescent="0.25">
      <c r="D895" s="301" t="s">
        <v>2326</v>
      </c>
      <c r="E895" s="301" t="s">
        <v>425</v>
      </c>
      <c r="F895" s="301" t="s">
        <v>573</v>
      </c>
      <c r="G895" s="301" t="s">
        <v>574</v>
      </c>
      <c r="H895" s="301" t="s">
        <v>2327</v>
      </c>
    </row>
    <row r="896" spans="4:8" ht="12.75" customHeight="1" x14ac:dyDescent="0.25">
      <c r="D896" s="301" t="s">
        <v>2328</v>
      </c>
      <c r="E896" s="301" t="s">
        <v>425</v>
      </c>
      <c r="F896" s="301" t="s">
        <v>573</v>
      </c>
      <c r="G896" s="301" t="s">
        <v>1626</v>
      </c>
      <c r="H896" s="301" t="s">
        <v>2329</v>
      </c>
    </row>
    <row r="897" spans="4:8" ht="12.75" customHeight="1" x14ac:dyDescent="0.25">
      <c r="D897" s="301" t="s">
        <v>2330</v>
      </c>
      <c r="E897" s="301" t="s">
        <v>425</v>
      </c>
      <c r="F897" s="301" t="s">
        <v>573</v>
      </c>
      <c r="G897" s="301" t="s">
        <v>574</v>
      </c>
      <c r="H897" s="301" t="s">
        <v>2331</v>
      </c>
    </row>
    <row r="898" spans="4:8" ht="12.75" customHeight="1" x14ac:dyDescent="0.25">
      <c r="D898" s="301" t="s">
        <v>2332</v>
      </c>
      <c r="E898" s="301" t="s">
        <v>425</v>
      </c>
      <c r="F898" s="301" t="s">
        <v>573</v>
      </c>
      <c r="G898" s="301" t="s">
        <v>577</v>
      </c>
      <c r="H898" s="301" t="s">
        <v>2333</v>
      </c>
    </row>
    <row r="899" spans="4:8" ht="12.75" customHeight="1" x14ac:dyDescent="0.25">
      <c r="D899" s="301" t="s">
        <v>2334</v>
      </c>
      <c r="E899" s="301" t="s">
        <v>454</v>
      </c>
      <c r="F899" s="301" t="s">
        <v>504</v>
      </c>
      <c r="G899" s="301" t="s">
        <v>505</v>
      </c>
      <c r="H899" s="301" t="s">
        <v>2335</v>
      </c>
    </row>
    <row r="900" spans="4:8" ht="12.75" customHeight="1" x14ac:dyDescent="0.25">
      <c r="D900" s="301" t="s">
        <v>2336</v>
      </c>
      <c r="E900" s="301" t="s">
        <v>454</v>
      </c>
      <c r="F900" s="301" t="s">
        <v>504</v>
      </c>
      <c r="G900" s="301" t="s">
        <v>505</v>
      </c>
      <c r="H900" s="301" t="s">
        <v>2337</v>
      </c>
    </row>
    <row r="901" spans="4:8" ht="12.75" customHeight="1" x14ac:dyDescent="0.25">
      <c r="D901" s="301" t="s">
        <v>2338</v>
      </c>
      <c r="E901" s="301" t="s">
        <v>452</v>
      </c>
      <c r="F901" s="301" t="s">
        <v>569</v>
      </c>
      <c r="G901" s="301" t="s">
        <v>570</v>
      </c>
      <c r="H901" s="301" t="s">
        <v>2339</v>
      </c>
    </row>
    <row r="902" spans="4:8" ht="12.75" customHeight="1" x14ac:dyDescent="0.25">
      <c r="D902" s="301" t="s">
        <v>2340</v>
      </c>
      <c r="E902" s="301" t="s">
        <v>425</v>
      </c>
      <c r="F902" s="301" t="s">
        <v>1371</v>
      </c>
      <c r="G902" s="301" t="s">
        <v>1371</v>
      </c>
      <c r="H902" s="301" t="s">
        <v>2341</v>
      </c>
    </row>
    <row r="903" spans="4:8" ht="12.75" customHeight="1" x14ac:dyDescent="0.25">
      <c r="D903" s="301" t="s">
        <v>2342</v>
      </c>
      <c r="E903" s="301" t="s">
        <v>443</v>
      </c>
      <c r="F903" s="301" t="s">
        <v>550</v>
      </c>
      <c r="G903" s="301" t="s">
        <v>550</v>
      </c>
      <c r="H903" s="301" t="s">
        <v>2343</v>
      </c>
    </row>
    <row r="904" spans="4:8" ht="12.75" customHeight="1" x14ac:dyDescent="0.25">
      <c r="D904" s="301" t="s">
        <v>2344</v>
      </c>
      <c r="E904" s="301" t="s">
        <v>443</v>
      </c>
      <c r="F904" s="301" t="s">
        <v>550</v>
      </c>
      <c r="G904" s="301" t="s">
        <v>550</v>
      </c>
      <c r="H904" s="301" t="s">
        <v>2345</v>
      </c>
    </row>
    <row r="905" spans="4:8" ht="12.75" customHeight="1" x14ac:dyDescent="0.25">
      <c r="D905" s="301" t="s">
        <v>2346</v>
      </c>
      <c r="E905" s="301" t="s">
        <v>443</v>
      </c>
      <c r="F905" s="301" t="s">
        <v>550</v>
      </c>
      <c r="G905" s="301" t="s">
        <v>550</v>
      </c>
      <c r="H905" s="301" t="s">
        <v>2347</v>
      </c>
    </row>
    <row r="906" spans="4:8" ht="12.75" customHeight="1" x14ac:dyDescent="0.25">
      <c r="D906" s="301" t="s">
        <v>2348</v>
      </c>
      <c r="E906" s="301" t="s">
        <v>443</v>
      </c>
      <c r="F906" s="301" t="s">
        <v>550</v>
      </c>
      <c r="G906" s="301" t="s">
        <v>550</v>
      </c>
      <c r="H906" s="301" t="s">
        <v>2349</v>
      </c>
    </row>
    <row r="907" spans="4:8" ht="12.75" customHeight="1" x14ac:dyDescent="0.25">
      <c r="D907" s="301" t="s">
        <v>2350</v>
      </c>
      <c r="E907" s="301" t="s">
        <v>443</v>
      </c>
      <c r="F907" s="301" t="s">
        <v>550</v>
      </c>
      <c r="G907" s="301" t="s">
        <v>550</v>
      </c>
      <c r="H907" s="301" t="s">
        <v>2351</v>
      </c>
    </row>
    <row r="908" spans="4:8" ht="12.75" customHeight="1" x14ac:dyDescent="0.25">
      <c r="D908" s="306" t="s">
        <v>2352</v>
      </c>
      <c r="E908" s="306" t="s">
        <v>458</v>
      </c>
      <c r="F908" s="306" t="s">
        <v>660</v>
      </c>
      <c r="G908" s="306" t="s">
        <v>661</v>
      </c>
      <c r="H908" s="306" t="s">
        <v>2353</v>
      </c>
    </row>
    <row r="909" spans="4:8" ht="12.75" customHeight="1" x14ac:dyDescent="0.25">
      <c r="D909" s="301" t="s">
        <v>2354</v>
      </c>
      <c r="E909" s="301" t="s">
        <v>432</v>
      </c>
      <c r="F909" s="301" t="s">
        <v>479</v>
      </c>
      <c r="G909" s="301" t="s">
        <v>480</v>
      </c>
      <c r="H909" s="301" t="s">
        <v>2355</v>
      </c>
    </row>
    <row r="910" spans="4:8" ht="12.75" customHeight="1" x14ac:dyDescent="0.25">
      <c r="D910" s="301" t="s">
        <v>2356</v>
      </c>
      <c r="E910" s="301" t="s">
        <v>425</v>
      </c>
      <c r="F910" s="301" t="s">
        <v>573</v>
      </c>
      <c r="G910" s="308" t="s">
        <v>1254</v>
      </c>
      <c r="H910" s="301" t="s">
        <v>2357</v>
      </c>
    </row>
    <row r="911" spans="4:8" ht="12.75" customHeight="1" x14ac:dyDescent="0.25">
      <c r="D911" s="306" t="s">
        <v>2358</v>
      </c>
      <c r="E911" s="306" t="s">
        <v>458</v>
      </c>
      <c r="F911" s="306" t="s">
        <v>660</v>
      </c>
      <c r="G911" s="306" t="s">
        <v>661</v>
      </c>
      <c r="H911" s="306" t="s">
        <v>2359</v>
      </c>
    </row>
    <row r="912" spans="4:8" ht="12.75" customHeight="1" x14ac:dyDescent="0.25">
      <c r="D912" s="306" t="s">
        <v>2360</v>
      </c>
      <c r="E912" s="306" t="s">
        <v>458</v>
      </c>
      <c r="F912" s="306" t="s">
        <v>660</v>
      </c>
      <c r="G912" s="306" t="s">
        <v>661</v>
      </c>
      <c r="H912" s="306" t="s">
        <v>2361</v>
      </c>
    </row>
    <row r="913" spans="4:8" ht="12.75" customHeight="1" x14ac:dyDescent="0.25">
      <c r="D913" s="306" t="s">
        <v>2362</v>
      </c>
      <c r="E913" s="306" t="s">
        <v>458</v>
      </c>
      <c r="F913" s="306" t="s">
        <v>660</v>
      </c>
      <c r="G913" s="306" t="s">
        <v>661</v>
      </c>
      <c r="H913" s="306" t="s">
        <v>2363</v>
      </c>
    </row>
    <row r="914" spans="4:8" ht="12.75" customHeight="1" x14ac:dyDescent="0.25">
      <c r="D914" s="301" t="s">
        <v>2364</v>
      </c>
      <c r="E914" s="301" t="s">
        <v>425</v>
      </c>
      <c r="F914" s="301" t="s">
        <v>573</v>
      </c>
      <c r="G914" s="301" t="s">
        <v>1205</v>
      </c>
      <c r="H914" s="301" t="s">
        <v>2365</v>
      </c>
    </row>
    <row r="915" spans="4:8" ht="12.75" customHeight="1" x14ac:dyDescent="0.25">
      <c r="D915" s="301" t="s">
        <v>2366</v>
      </c>
      <c r="E915" s="301" t="s">
        <v>425</v>
      </c>
      <c r="F915" s="301" t="s">
        <v>1684</v>
      </c>
      <c r="G915" s="301" t="s">
        <v>1713</v>
      </c>
      <c r="H915" s="301" t="s">
        <v>2367</v>
      </c>
    </row>
    <row r="916" spans="4:8" ht="12.75" customHeight="1" x14ac:dyDescent="0.25">
      <c r="D916" s="301" t="s">
        <v>2368</v>
      </c>
      <c r="E916" s="301" t="s">
        <v>449</v>
      </c>
      <c r="F916" s="301" t="s">
        <v>607</v>
      </c>
      <c r="G916" s="301" t="s">
        <v>1188</v>
      </c>
      <c r="H916" s="307" t="s">
        <v>2369</v>
      </c>
    </row>
    <row r="917" spans="4:8" ht="12.75" customHeight="1" x14ac:dyDescent="0.25">
      <c r="D917" s="301" t="s">
        <v>2370</v>
      </c>
      <c r="E917" s="301" t="s">
        <v>432</v>
      </c>
      <c r="F917" s="301" t="s">
        <v>433</v>
      </c>
      <c r="G917" s="301" t="s">
        <v>434</v>
      </c>
      <c r="H917" s="301" t="s">
        <v>2371</v>
      </c>
    </row>
    <row r="918" spans="4:8" ht="12.75" customHeight="1" x14ac:dyDescent="0.25">
      <c r="D918" s="306" t="s">
        <v>2372</v>
      </c>
      <c r="E918" s="306" t="s">
        <v>458</v>
      </c>
      <c r="F918" s="306" t="s">
        <v>660</v>
      </c>
      <c r="G918" s="306" t="s">
        <v>661</v>
      </c>
      <c r="H918" s="306" t="s">
        <v>2373</v>
      </c>
    </row>
    <row r="919" spans="4:8" ht="12.75" customHeight="1" x14ac:dyDescent="0.25">
      <c r="D919" s="301" t="s">
        <v>2374</v>
      </c>
      <c r="E919" s="301" t="s">
        <v>449</v>
      </c>
      <c r="F919" s="301" t="s">
        <v>1029</v>
      </c>
      <c r="G919" s="301" t="s">
        <v>1065</v>
      </c>
      <c r="H919" s="307" t="s">
        <v>2375</v>
      </c>
    </row>
    <row r="920" spans="4:8" ht="12.75" customHeight="1" x14ac:dyDescent="0.25">
      <c r="D920" s="301" t="s">
        <v>2376</v>
      </c>
      <c r="E920" s="301" t="s">
        <v>425</v>
      </c>
      <c r="F920" s="301" t="s">
        <v>426</v>
      </c>
      <c r="G920" s="301" t="s">
        <v>1191</v>
      </c>
      <c r="H920" s="301" t="s">
        <v>2377</v>
      </c>
    </row>
    <row r="921" spans="4:8" ht="12.75" customHeight="1" x14ac:dyDescent="0.25">
      <c r="D921" s="301" t="s">
        <v>2378</v>
      </c>
      <c r="E921" s="301" t="s">
        <v>432</v>
      </c>
      <c r="F921" s="301" t="s">
        <v>433</v>
      </c>
      <c r="G921" s="301" t="s">
        <v>487</v>
      </c>
      <c r="H921" s="301" t="s">
        <v>2379</v>
      </c>
    </row>
    <row r="922" spans="4:8" ht="12.75" customHeight="1" x14ac:dyDescent="0.25">
      <c r="D922" s="301" t="s">
        <v>2380</v>
      </c>
      <c r="E922" s="301" t="s">
        <v>443</v>
      </c>
      <c r="F922" s="301" t="s">
        <v>444</v>
      </c>
      <c r="G922" s="301" t="s">
        <v>445</v>
      </c>
      <c r="H922" s="301" t="s">
        <v>2381</v>
      </c>
    </row>
    <row r="923" spans="4:8" ht="12.75" customHeight="1" x14ac:dyDescent="0.25">
      <c r="D923" s="301" t="s">
        <v>2382</v>
      </c>
      <c r="E923" s="301" t="s">
        <v>454</v>
      </c>
      <c r="F923" s="301" t="s">
        <v>504</v>
      </c>
      <c r="G923" s="301" t="s">
        <v>505</v>
      </c>
      <c r="H923" s="301" t="s">
        <v>2383</v>
      </c>
    </row>
    <row r="924" spans="4:8" ht="12.75" customHeight="1" x14ac:dyDescent="0.25">
      <c r="D924" s="301" t="s">
        <v>2384</v>
      </c>
      <c r="E924" s="301" t="s">
        <v>432</v>
      </c>
      <c r="F924" s="301" t="s">
        <v>433</v>
      </c>
      <c r="G924" s="301" t="s">
        <v>434</v>
      </c>
      <c r="H924" s="301" t="s">
        <v>2385</v>
      </c>
    </row>
    <row r="925" spans="4:8" ht="12.75" customHeight="1" x14ac:dyDescent="0.25">
      <c r="D925" s="301" t="s">
        <v>2386</v>
      </c>
      <c r="E925" s="301" t="s">
        <v>464</v>
      </c>
      <c r="F925" s="301" t="s">
        <v>464</v>
      </c>
      <c r="G925" s="301" t="s">
        <v>464</v>
      </c>
      <c r="H925" s="301" t="s">
        <v>2387</v>
      </c>
    </row>
    <row r="926" spans="4:8" ht="12.75" customHeight="1" x14ac:dyDescent="0.25">
      <c r="D926" s="301" t="s">
        <v>2388</v>
      </c>
      <c r="E926" s="301" t="s">
        <v>432</v>
      </c>
      <c r="F926" s="301" t="s">
        <v>433</v>
      </c>
      <c r="G926" s="301" t="s">
        <v>434</v>
      </c>
      <c r="H926" s="301" t="s">
        <v>2389</v>
      </c>
    </row>
    <row r="927" spans="4:8" ht="12.75" customHeight="1" x14ac:dyDescent="0.25">
      <c r="D927" s="301" t="s">
        <v>2390</v>
      </c>
      <c r="E927" s="301" t="s">
        <v>432</v>
      </c>
      <c r="F927" s="301" t="s">
        <v>433</v>
      </c>
      <c r="G927" s="301" t="s">
        <v>434</v>
      </c>
      <c r="H927" s="301" t="s">
        <v>2391</v>
      </c>
    </row>
    <row r="928" spans="4:8" ht="12.75" customHeight="1" x14ac:dyDescent="0.25">
      <c r="D928" s="301" t="s">
        <v>2392</v>
      </c>
      <c r="E928" s="301" t="s">
        <v>425</v>
      </c>
      <c r="F928" s="301" t="s">
        <v>573</v>
      </c>
      <c r="G928" s="301" t="s">
        <v>1251</v>
      </c>
      <c r="H928" s="301" t="s">
        <v>2393</v>
      </c>
    </row>
    <row r="929" spans="4:8" ht="12.75" customHeight="1" x14ac:dyDescent="0.25">
      <c r="D929" s="301" t="s">
        <v>2394</v>
      </c>
      <c r="E929" s="301" t="s">
        <v>432</v>
      </c>
      <c r="F929" s="301" t="s">
        <v>479</v>
      </c>
      <c r="G929" s="301" t="s">
        <v>480</v>
      </c>
      <c r="H929" s="301" t="s">
        <v>2395</v>
      </c>
    </row>
    <row r="930" spans="4:8" ht="12.75" customHeight="1" x14ac:dyDescent="0.25">
      <c r="D930" s="301" t="s">
        <v>2396</v>
      </c>
      <c r="E930" s="301" t="s">
        <v>432</v>
      </c>
      <c r="F930" s="301" t="s">
        <v>433</v>
      </c>
      <c r="G930" s="301" t="s">
        <v>434</v>
      </c>
      <c r="H930" s="301" t="s">
        <v>2397</v>
      </c>
    </row>
    <row r="931" spans="4:8" ht="12.75" customHeight="1" x14ac:dyDescent="0.25">
      <c r="D931" s="301" t="s">
        <v>2398</v>
      </c>
      <c r="E931" s="301" t="s">
        <v>425</v>
      </c>
      <c r="F931" s="301" t="s">
        <v>573</v>
      </c>
      <c r="G931" s="308" t="s">
        <v>1254</v>
      </c>
      <c r="H931" s="301" t="s">
        <v>2399</v>
      </c>
    </row>
    <row r="932" spans="4:8" ht="12.75" customHeight="1" x14ac:dyDescent="0.25">
      <c r="D932" s="301" t="s">
        <v>2400</v>
      </c>
      <c r="E932" s="301" t="s">
        <v>449</v>
      </c>
      <c r="F932" s="301" t="s">
        <v>607</v>
      </c>
      <c r="G932" s="301" t="s">
        <v>608</v>
      </c>
      <c r="H932" s="301" t="s">
        <v>2401</v>
      </c>
    </row>
    <row r="933" spans="4:8" ht="12.75" customHeight="1" x14ac:dyDescent="0.25">
      <c r="D933" s="301" t="s">
        <v>2402</v>
      </c>
      <c r="E933" s="301" t="s">
        <v>449</v>
      </c>
      <c r="F933" s="301" t="s">
        <v>607</v>
      </c>
      <c r="G933" s="301" t="s">
        <v>608</v>
      </c>
      <c r="H933" s="301" t="s">
        <v>2403</v>
      </c>
    </row>
    <row r="934" spans="4:8" ht="12.75" customHeight="1" x14ac:dyDescent="0.25">
      <c r="D934" s="301" t="s">
        <v>2404</v>
      </c>
      <c r="E934" s="301" t="s">
        <v>425</v>
      </c>
      <c r="F934" s="301" t="s">
        <v>573</v>
      </c>
      <c r="G934" s="301" t="s">
        <v>574</v>
      </c>
      <c r="H934" s="301" t="s">
        <v>2405</v>
      </c>
    </row>
    <row r="935" spans="4:8" ht="12.75" customHeight="1" x14ac:dyDescent="0.25">
      <c r="D935" s="301" t="s">
        <v>2406</v>
      </c>
      <c r="E935" s="301" t="s">
        <v>425</v>
      </c>
      <c r="F935" s="301" t="s">
        <v>573</v>
      </c>
      <c r="G935" s="308" t="s">
        <v>1254</v>
      </c>
      <c r="H935" s="301" t="s">
        <v>2407</v>
      </c>
    </row>
    <row r="936" spans="4:8" ht="12.75" customHeight="1" x14ac:dyDescent="0.25">
      <c r="D936" s="301" t="s">
        <v>2408</v>
      </c>
      <c r="E936" s="301" t="s">
        <v>425</v>
      </c>
      <c r="F936" s="301" t="s">
        <v>1374</v>
      </c>
      <c r="G936" s="301" t="s">
        <v>1456</v>
      </c>
      <c r="H936" s="301" t="s">
        <v>2409</v>
      </c>
    </row>
    <row r="937" spans="4:8" ht="12.75" customHeight="1" x14ac:dyDescent="0.25">
      <c r="D937" s="301" t="s">
        <v>2410</v>
      </c>
      <c r="E937" s="301" t="s">
        <v>437</v>
      </c>
      <c r="F937" s="301" t="s">
        <v>438</v>
      </c>
      <c r="G937" s="301" t="s">
        <v>439</v>
      </c>
      <c r="H937" s="301" t="s">
        <v>2411</v>
      </c>
    </row>
    <row r="938" spans="4:8" ht="12.75" customHeight="1" x14ac:dyDescent="0.25">
      <c r="D938" s="301" t="s">
        <v>2412</v>
      </c>
      <c r="E938" s="301" t="s">
        <v>443</v>
      </c>
      <c r="F938" s="301" t="s">
        <v>444</v>
      </c>
      <c r="G938" s="301" t="s">
        <v>445</v>
      </c>
      <c r="H938" s="301" t="s">
        <v>2413</v>
      </c>
    </row>
    <row r="939" spans="4:8" ht="12.75" customHeight="1" x14ac:dyDescent="0.25">
      <c r="D939" s="301" t="s">
        <v>2414</v>
      </c>
      <c r="E939" s="301" t="s">
        <v>432</v>
      </c>
      <c r="F939" s="301" t="s">
        <v>433</v>
      </c>
      <c r="G939" s="301" t="s">
        <v>487</v>
      </c>
      <c r="H939" s="301" t="s">
        <v>2415</v>
      </c>
    </row>
    <row r="940" spans="4:8" ht="12.75" customHeight="1" x14ac:dyDescent="0.25">
      <c r="D940" s="301" t="s">
        <v>2416</v>
      </c>
      <c r="E940" s="301" t="s">
        <v>432</v>
      </c>
      <c r="F940" s="301" t="s">
        <v>433</v>
      </c>
      <c r="G940" s="301" t="s">
        <v>487</v>
      </c>
      <c r="H940" s="301" t="s">
        <v>2417</v>
      </c>
    </row>
    <row r="941" spans="4:8" ht="12.75" customHeight="1" x14ac:dyDescent="0.25">
      <c r="D941" s="301" t="s">
        <v>2418</v>
      </c>
      <c r="E941" s="301" t="s">
        <v>432</v>
      </c>
      <c r="F941" s="301" t="s">
        <v>433</v>
      </c>
      <c r="G941" s="301" t="s">
        <v>487</v>
      </c>
      <c r="H941" s="301" t="s">
        <v>2419</v>
      </c>
    </row>
    <row r="942" spans="4:8" ht="12.75" customHeight="1" x14ac:dyDescent="0.25">
      <c r="D942" s="301" t="s">
        <v>2420</v>
      </c>
      <c r="E942" s="301" t="s">
        <v>452</v>
      </c>
      <c r="F942" s="301" t="s">
        <v>569</v>
      </c>
      <c r="G942" s="301" t="s">
        <v>570</v>
      </c>
      <c r="H942" s="301" t="s">
        <v>2421</v>
      </c>
    </row>
    <row r="943" spans="4:8" ht="12.75" customHeight="1" x14ac:dyDescent="0.25">
      <c r="D943" s="301" t="s">
        <v>2422</v>
      </c>
      <c r="E943" s="301" t="s">
        <v>432</v>
      </c>
      <c r="F943" s="301" t="s">
        <v>433</v>
      </c>
      <c r="G943" s="301" t="s">
        <v>434</v>
      </c>
      <c r="H943" s="301" t="s">
        <v>2423</v>
      </c>
    </row>
    <row r="944" spans="4:8" ht="12.75" customHeight="1" x14ac:dyDescent="0.25">
      <c r="D944" s="301" t="s">
        <v>2424</v>
      </c>
      <c r="E944" s="301" t="s">
        <v>452</v>
      </c>
      <c r="F944" s="301" t="s">
        <v>735</v>
      </c>
      <c r="G944" s="301" t="s">
        <v>501</v>
      </c>
      <c r="H944" s="301" t="s">
        <v>2425</v>
      </c>
    </row>
    <row r="945" spans="4:8" ht="12.75" customHeight="1" x14ac:dyDescent="0.25">
      <c r="D945" s="301" t="s">
        <v>2426</v>
      </c>
      <c r="E945" s="301" t="s">
        <v>432</v>
      </c>
      <c r="F945" s="301" t="s">
        <v>479</v>
      </c>
      <c r="G945" s="301" t="s">
        <v>480</v>
      </c>
      <c r="H945" s="301" t="s">
        <v>2427</v>
      </c>
    </row>
    <row r="946" spans="4:8" ht="12.75" customHeight="1" x14ac:dyDescent="0.25">
      <c r="D946" s="301" t="s">
        <v>2428</v>
      </c>
      <c r="E946" s="301" t="s">
        <v>432</v>
      </c>
      <c r="F946" s="301" t="s">
        <v>433</v>
      </c>
      <c r="G946" s="301" t="s">
        <v>434</v>
      </c>
      <c r="H946" s="301" t="s">
        <v>2429</v>
      </c>
    </row>
    <row r="947" spans="4:8" ht="12.75" customHeight="1" x14ac:dyDescent="0.25">
      <c r="D947" s="301" t="s">
        <v>2430</v>
      </c>
      <c r="E947" s="301" t="s">
        <v>432</v>
      </c>
      <c r="F947" s="301" t="s">
        <v>433</v>
      </c>
      <c r="G947" s="301" t="s">
        <v>434</v>
      </c>
      <c r="H947" s="301" t="s">
        <v>2431</v>
      </c>
    </row>
    <row r="948" spans="4:8" ht="12.75" customHeight="1" x14ac:dyDescent="0.25">
      <c r="D948" s="301" t="s">
        <v>2432</v>
      </c>
      <c r="E948" s="301" t="s">
        <v>432</v>
      </c>
      <c r="F948" s="301" t="s">
        <v>433</v>
      </c>
      <c r="G948" s="301" t="s">
        <v>487</v>
      </c>
      <c r="H948" s="301" t="s">
        <v>2433</v>
      </c>
    </row>
    <row r="949" spans="4:8" ht="12.75" customHeight="1" x14ac:dyDescent="0.25">
      <c r="D949" s="301" t="s">
        <v>2434</v>
      </c>
      <c r="E949" s="301" t="s">
        <v>454</v>
      </c>
      <c r="F949" s="301" t="s">
        <v>455</v>
      </c>
      <c r="G949" s="301" t="s">
        <v>456</v>
      </c>
      <c r="H949" s="301" t="s">
        <v>2435</v>
      </c>
    </row>
    <row r="950" spans="4:8" ht="12.75" customHeight="1" x14ac:dyDescent="0.25">
      <c r="D950" s="301" t="s">
        <v>2436</v>
      </c>
      <c r="E950" s="301" t="s">
        <v>432</v>
      </c>
      <c r="F950" s="301" t="s">
        <v>433</v>
      </c>
      <c r="G950" s="301" t="s">
        <v>487</v>
      </c>
      <c r="H950" s="301" t="s">
        <v>2437</v>
      </c>
    </row>
    <row r="951" spans="4:8" ht="12.75" customHeight="1" x14ac:dyDescent="0.25">
      <c r="D951" s="301" t="s">
        <v>2438</v>
      </c>
      <c r="E951" s="301" t="s">
        <v>432</v>
      </c>
      <c r="F951" s="301" t="s">
        <v>479</v>
      </c>
      <c r="G951" s="301" t="s">
        <v>480</v>
      </c>
      <c r="H951" s="301" t="s">
        <v>2439</v>
      </c>
    </row>
    <row r="952" spans="4:8" ht="12.75" customHeight="1" x14ac:dyDescent="0.25">
      <c r="D952" s="301" t="s">
        <v>2440</v>
      </c>
      <c r="E952" s="301" t="s">
        <v>432</v>
      </c>
      <c r="F952" s="301" t="s">
        <v>433</v>
      </c>
      <c r="G952" s="301" t="s">
        <v>487</v>
      </c>
      <c r="H952" s="301" t="s">
        <v>2441</v>
      </c>
    </row>
    <row r="953" spans="4:8" ht="12.75" customHeight="1" x14ac:dyDescent="0.25">
      <c r="D953" s="301" t="s">
        <v>2442</v>
      </c>
      <c r="E953" s="301" t="s">
        <v>432</v>
      </c>
      <c r="F953" s="301" t="s">
        <v>433</v>
      </c>
      <c r="G953" s="301" t="s">
        <v>487</v>
      </c>
      <c r="H953" s="301" t="s">
        <v>2443</v>
      </c>
    </row>
    <row r="954" spans="4:8" ht="12.75" customHeight="1" x14ac:dyDescent="0.25">
      <c r="D954" s="301" t="s">
        <v>2444</v>
      </c>
      <c r="E954" s="301" t="s">
        <v>452</v>
      </c>
      <c r="F954" s="301" t="s">
        <v>569</v>
      </c>
      <c r="G954" s="301" t="s">
        <v>570</v>
      </c>
      <c r="H954" s="301" t="s">
        <v>2445</v>
      </c>
    </row>
    <row r="955" spans="4:8" ht="12.75" customHeight="1" x14ac:dyDescent="0.25">
      <c r="D955" s="301" t="s">
        <v>2446</v>
      </c>
      <c r="E955" s="301" t="s">
        <v>437</v>
      </c>
      <c r="F955" s="301" t="s">
        <v>438</v>
      </c>
      <c r="G955" s="301" t="s">
        <v>439</v>
      </c>
      <c r="H955" s="301" t="s">
        <v>2447</v>
      </c>
    </row>
    <row r="956" spans="4:8" ht="12.75" customHeight="1" x14ac:dyDescent="0.25">
      <c r="D956" s="301" t="s">
        <v>2448</v>
      </c>
      <c r="E956" s="301" t="s">
        <v>443</v>
      </c>
      <c r="F956" s="301" t="s">
        <v>444</v>
      </c>
      <c r="G956" s="301" t="s">
        <v>445</v>
      </c>
      <c r="H956" s="301" t="s">
        <v>2449</v>
      </c>
    </row>
    <row r="957" spans="4:8" ht="12.75" customHeight="1" x14ac:dyDescent="0.25">
      <c r="D957" s="301" t="s">
        <v>2450</v>
      </c>
      <c r="E957" s="301" t="s">
        <v>452</v>
      </c>
      <c r="F957" s="301" t="s">
        <v>569</v>
      </c>
      <c r="G957" s="301" t="s">
        <v>570</v>
      </c>
      <c r="H957" s="301" t="s">
        <v>2451</v>
      </c>
    </row>
    <row r="958" spans="4:8" ht="12.75" customHeight="1" x14ac:dyDescent="0.25">
      <c r="D958" s="301" t="s">
        <v>2452</v>
      </c>
      <c r="E958" s="301" t="s">
        <v>432</v>
      </c>
      <c r="F958" s="301" t="s">
        <v>433</v>
      </c>
      <c r="G958" s="301" t="s">
        <v>487</v>
      </c>
      <c r="H958" s="301" t="s">
        <v>2453</v>
      </c>
    </row>
    <row r="959" spans="4:8" ht="12.75" customHeight="1" x14ac:dyDescent="0.25">
      <c r="D959" s="301" t="s">
        <v>2454</v>
      </c>
      <c r="E959" s="301" t="s">
        <v>432</v>
      </c>
      <c r="F959" s="301" t="s">
        <v>433</v>
      </c>
      <c r="G959" s="301" t="s">
        <v>487</v>
      </c>
      <c r="H959" s="301" t="s">
        <v>2455</v>
      </c>
    </row>
    <row r="960" spans="4:8" ht="12.75" customHeight="1" x14ac:dyDescent="0.25">
      <c r="D960" s="301" t="s">
        <v>2456</v>
      </c>
      <c r="E960" s="301" t="s">
        <v>437</v>
      </c>
      <c r="F960" s="301" t="s">
        <v>438</v>
      </c>
      <c r="G960" s="301" t="s">
        <v>439</v>
      </c>
      <c r="H960" s="301" t="s">
        <v>2457</v>
      </c>
    </row>
    <row r="961" spans="4:8" ht="12.75" customHeight="1" x14ac:dyDescent="0.25">
      <c r="D961" s="301" t="s">
        <v>2458</v>
      </c>
      <c r="E961" s="301" t="s">
        <v>443</v>
      </c>
      <c r="F961" s="301" t="s">
        <v>444</v>
      </c>
      <c r="G961" s="301" t="s">
        <v>445</v>
      </c>
      <c r="H961" s="301" t="s">
        <v>2459</v>
      </c>
    </row>
    <row r="962" spans="4:8" ht="12.75" customHeight="1" x14ac:dyDescent="0.25">
      <c r="D962" s="301" t="s">
        <v>2460</v>
      </c>
      <c r="E962" s="301" t="s">
        <v>432</v>
      </c>
      <c r="F962" s="301" t="s">
        <v>433</v>
      </c>
      <c r="G962" s="301" t="s">
        <v>1291</v>
      </c>
      <c r="H962" s="301" t="s">
        <v>2461</v>
      </c>
    </row>
    <row r="963" spans="4:8" ht="12.75" customHeight="1" x14ac:dyDescent="0.25">
      <c r="D963" s="301" t="s">
        <v>2462</v>
      </c>
      <c r="E963" s="301" t="s">
        <v>432</v>
      </c>
      <c r="F963" s="301" t="s">
        <v>479</v>
      </c>
      <c r="G963" s="301" t="s">
        <v>480</v>
      </c>
      <c r="H963" s="301" t="s">
        <v>2463</v>
      </c>
    </row>
    <row r="964" spans="4:8" ht="12.75" customHeight="1" x14ac:dyDescent="0.25">
      <c r="D964" s="301" t="s">
        <v>2464</v>
      </c>
      <c r="E964" s="301" t="s">
        <v>432</v>
      </c>
      <c r="F964" s="301" t="s">
        <v>433</v>
      </c>
      <c r="G964" s="301" t="s">
        <v>487</v>
      </c>
      <c r="H964" s="301" t="s">
        <v>2465</v>
      </c>
    </row>
    <row r="965" spans="4:8" ht="12.75" customHeight="1" x14ac:dyDescent="0.25">
      <c r="D965" s="301" t="s">
        <v>2466</v>
      </c>
      <c r="E965" s="301" t="s">
        <v>432</v>
      </c>
      <c r="F965" s="301" t="s">
        <v>433</v>
      </c>
      <c r="G965" s="301" t="s">
        <v>1291</v>
      </c>
      <c r="H965" s="301" t="s">
        <v>2467</v>
      </c>
    </row>
    <row r="966" spans="4:8" ht="12.75" customHeight="1" x14ac:dyDescent="0.25">
      <c r="D966" s="301" t="s">
        <v>2468</v>
      </c>
      <c r="E966" s="301" t="s">
        <v>432</v>
      </c>
      <c r="F966" s="301" t="s">
        <v>433</v>
      </c>
      <c r="G966" s="301" t="s">
        <v>647</v>
      </c>
      <c r="H966" s="301" t="s">
        <v>2469</v>
      </c>
    </row>
    <row r="967" spans="4:8" ht="12.75" customHeight="1" x14ac:dyDescent="0.25">
      <c r="D967" s="301" t="s">
        <v>2470</v>
      </c>
      <c r="E967" s="301" t="s">
        <v>443</v>
      </c>
      <c r="F967" s="301" t="s">
        <v>444</v>
      </c>
      <c r="G967" s="301" t="s">
        <v>445</v>
      </c>
      <c r="H967" s="301" t="s">
        <v>2471</v>
      </c>
    </row>
    <row r="968" spans="4:8" ht="12.75" customHeight="1" x14ac:dyDescent="0.25">
      <c r="D968" s="301" t="s">
        <v>2472</v>
      </c>
      <c r="E968" s="301" t="s">
        <v>432</v>
      </c>
      <c r="F968" s="301" t="s">
        <v>433</v>
      </c>
      <c r="G968" s="301" t="s">
        <v>487</v>
      </c>
      <c r="H968" s="301" t="s">
        <v>2473</v>
      </c>
    </row>
    <row r="969" spans="4:8" ht="12.75" customHeight="1" x14ac:dyDescent="0.25">
      <c r="D969" s="301" t="s">
        <v>2474</v>
      </c>
      <c r="E969" s="301" t="s">
        <v>432</v>
      </c>
      <c r="F969" s="301" t="s">
        <v>479</v>
      </c>
      <c r="G969" s="301" t="s">
        <v>480</v>
      </c>
      <c r="H969" s="301" t="s">
        <v>2475</v>
      </c>
    </row>
    <row r="970" spans="4:8" ht="12.75" customHeight="1" x14ac:dyDescent="0.25">
      <c r="D970" s="301" t="s">
        <v>2476</v>
      </c>
      <c r="E970" s="301" t="s">
        <v>449</v>
      </c>
      <c r="F970" s="301" t="s">
        <v>607</v>
      </c>
      <c r="G970" s="301" t="s">
        <v>1188</v>
      </c>
      <c r="H970" s="301" t="s">
        <v>2477</v>
      </c>
    </row>
    <row r="971" spans="4:8" ht="12.75" customHeight="1" x14ac:dyDescent="0.25">
      <c r="D971" s="301" t="s">
        <v>2478</v>
      </c>
      <c r="E971" s="301" t="s">
        <v>432</v>
      </c>
      <c r="F971" s="301" t="s">
        <v>433</v>
      </c>
      <c r="G971" s="301" t="s">
        <v>1291</v>
      </c>
      <c r="H971" s="301" t="s">
        <v>2479</v>
      </c>
    </row>
    <row r="972" spans="4:8" ht="12.75" customHeight="1" x14ac:dyDescent="0.25">
      <c r="D972" s="301" t="s">
        <v>2480</v>
      </c>
      <c r="E972" s="301" t="s">
        <v>432</v>
      </c>
      <c r="F972" s="301" t="s">
        <v>433</v>
      </c>
      <c r="G972" s="301" t="s">
        <v>1291</v>
      </c>
      <c r="H972" s="301" t="s">
        <v>2481</v>
      </c>
    </row>
    <row r="973" spans="4:8" ht="12.75" customHeight="1" x14ac:dyDescent="0.25">
      <c r="D973" s="301" t="s">
        <v>2482</v>
      </c>
      <c r="E973" s="301" t="s">
        <v>432</v>
      </c>
      <c r="F973" s="301" t="s">
        <v>433</v>
      </c>
      <c r="G973" s="301" t="s">
        <v>1291</v>
      </c>
      <c r="H973" s="301" t="s">
        <v>2483</v>
      </c>
    </row>
    <row r="974" spans="4:8" ht="12.75" customHeight="1" x14ac:dyDescent="0.25">
      <c r="D974" s="301" t="s">
        <v>2484</v>
      </c>
      <c r="E974" s="301" t="s">
        <v>432</v>
      </c>
      <c r="F974" s="301" t="s">
        <v>433</v>
      </c>
      <c r="G974" s="301" t="s">
        <v>1291</v>
      </c>
      <c r="H974" s="301" t="s">
        <v>2485</v>
      </c>
    </row>
    <row r="975" spans="4:8" ht="12.75" customHeight="1" x14ac:dyDescent="0.25">
      <c r="D975" s="301" t="s">
        <v>2486</v>
      </c>
      <c r="E975" s="301" t="s">
        <v>432</v>
      </c>
      <c r="F975" s="301" t="s">
        <v>433</v>
      </c>
      <c r="G975" s="301" t="s">
        <v>647</v>
      </c>
      <c r="H975" s="301" t="s">
        <v>2487</v>
      </c>
    </row>
    <row r="976" spans="4:8" ht="12.75" customHeight="1" x14ac:dyDescent="0.25">
      <c r="D976" s="301" t="s">
        <v>2488</v>
      </c>
      <c r="E976" s="301" t="s">
        <v>443</v>
      </c>
      <c r="F976" s="301" t="s">
        <v>444</v>
      </c>
      <c r="G976" s="301" t="s">
        <v>445</v>
      </c>
      <c r="H976" s="301" t="s">
        <v>2489</v>
      </c>
    </row>
    <row r="977" spans="4:8" ht="12.75" customHeight="1" x14ac:dyDescent="0.25">
      <c r="D977" s="301" t="s">
        <v>2490</v>
      </c>
      <c r="E977" s="301" t="s">
        <v>454</v>
      </c>
      <c r="F977" s="301" t="s">
        <v>504</v>
      </c>
      <c r="G977" s="301" t="s">
        <v>505</v>
      </c>
      <c r="H977" s="301" t="s">
        <v>2491</v>
      </c>
    </row>
    <row r="978" spans="4:8" ht="12.75" customHeight="1" x14ac:dyDescent="0.25">
      <c r="D978" s="301" t="s">
        <v>2492</v>
      </c>
      <c r="E978" s="301" t="s">
        <v>432</v>
      </c>
      <c r="F978" s="301" t="s">
        <v>479</v>
      </c>
      <c r="G978" s="301" t="s">
        <v>480</v>
      </c>
      <c r="H978" s="301" t="s">
        <v>2493</v>
      </c>
    </row>
    <row r="979" spans="4:8" ht="12.75" customHeight="1" x14ac:dyDescent="0.25">
      <c r="D979" s="301" t="s">
        <v>2494</v>
      </c>
      <c r="E979" s="301" t="s">
        <v>432</v>
      </c>
      <c r="F979" s="301" t="s">
        <v>433</v>
      </c>
      <c r="G979" s="301" t="s">
        <v>487</v>
      </c>
      <c r="H979" s="301" t="s">
        <v>2495</v>
      </c>
    </row>
    <row r="980" spans="4:8" ht="12.75" customHeight="1" x14ac:dyDescent="0.25">
      <c r="D980" s="301" t="s">
        <v>2496</v>
      </c>
      <c r="E980" s="301" t="s">
        <v>432</v>
      </c>
      <c r="F980" s="301" t="s">
        <v>433</v>
      </c>
      <c r="G980" s="301" t="s">
        <v>1291</v>
      </c>
      <c r="H980" s="301" t="s">
        <v>2497</v>
      </c>
    </row>
    <row r="981" spans="4:8" ht="12.75" customHeight="1" x14ac:dyDescent="0.25">
      <c r="D981" s="301" t="s">
        <v>2498</v>
      </c>
      <c r="E981" s="301" t="s">
        <v>454</v>
      </c>
      <c r="F981" s="301" t="s">
        <v>504</v>
      </c>
      <c r="G981" s="301" t="s">
        <v>505</v>
      </c>
      <c r="H981" s="301" t="s">
        <v>2499</v>
      </c>
    </row>
    <row r="982" spans="4:8" ht="12.75" customHeight="1" x14ac:dyDescent="0.25">
      <c r="D982" s="301" t="s">
        <v>2500</v>
      </c>
      <c r="E982" s="301" t="s">
        <v>454</v>
      </c>
      <c r="F982" s="301" t="s">
        <v>504</v>
      </c>
      <c r="G982" s="301" t="s">
        <v>505</v>
      </c>
      <c r="H982" s="301" t="s">
        <v>2501</v>
      </c>
    </row>
    <row r="983" spans="4:8" ht="12.75" customHeight="1" x14ac:dyDescent="0.25">
      <c r="D983" s="301" t="s">
        <v>2502</v>
      </c>
      <c r="E983" s="301" t="s">
        <v>454</v>
      </c>
      <c r="F983" s="301" t="s">
        <v>504</v>
      </c>
      <c r="G983" s="301" t="s">
        <v>505</v>
      </c>
      <c r="H983" s="301" t="s">
        <v>2503</v>
      </c>
    </row>
    <row r="984" spans="4:8" ht="12.75" customHeight="1" x14ac:dyDescent="0.25">
      <c r="D984" s="301" t="s">
        <v>2504</v>
      </c>
      <c r="E984" s="301" t="s">
        <v>454</v>
      </c>
      <c r="F984" s="301" t="s">
        <v>504</v>
      </c>
      <c r="G984" s="301" t="s">
        <v>505</v>
      </c>
      <c r="H984" s="301" t="s">
        <v>2505</v>
      </c>
    </row>
    <row r="985" spans="4:8" ht="12.75" customHeight="1" x14ac:dyDescent="0.25">
      <c r="D985" s="301" t="s">
        <v>2506</v>
      </c>
      <c r="E985" s="301" t="s">
        <v>454</v>
      </c>
      <c r="F985" s="301" t="s">
        <v>504</v>
      </c>
      <c r="G985" s="301" t="s">
        <v>505</v>
      </c>
      <c r="H985" s="301" t="s">
        <v>2507</v>
      </c>
    </row>
    <row r="986" spans="4:8" ht="12.75" customHeight="1" x14ac:dyDescent="0.25">
      <c r="D986" s="301" t="s">
        <v>2508</v>
      </c>
      <c r="E986" s="301" t="s">
        <v>454</v>
      </c>
      <c r="F986" s="301" t="s">
        <v>504</v>
      </c>
      <c r="G986" s="301" t="s">
        <v>505</v>
      </c>
      <c r="H986" s="301" t="s">
        <v>2509</v>
      </c>
    </row>
    <row r="987" spans="4:8" ht="12.75" customHeight="1" x14ac:dyDescent="0.25">
      <c r="D987" s="301" t="s">
        <v>2510</v>
      </c>
      <c r="E987" s="301" t="s">
        <v>432</v>
      </c>
      <c r="F987" s="301" t="s">
        <v>433</v>
      </c>
      <c r="G987" s="301" t="s">
        <v>647</v>
      </c>
      <c r="H987" s="301" t="s">
        <v>2511</v>
      </c>
    </row>
    <row r="988" spans="4:8" ht="12.75" customHeight="1" x14ac:dyDescent="0.25">
      <c r="D988" s="301" t="s">
        <v>2512</v>
      </c>
      <c r="E988" s="301" t="s">
        <v>443</v>
      </c>
      <c r="F988" s="301" t="s">
        <v>444</v>
      </c>
      <c r="G988" s="301" t="s">
        <v>445</v>
      </c>
      <c r="H988" s="301" t="s">
        <v>2513</v>
      </c>
    </row>
    <row r="989" spans="4:8" ht="12.75" customHeight="1" x14ac:dyDescent="0.25">
      <c r="D989" s="301" t="s">
        <v>2514</v>
      </c>
      <c r="E989" s="301" t="s">
        <v>432</v>
      </c>
      <c r="F989" s="301" t="s">
        <v>479</v>
      </c>
      <c r="G989" s="301" t="s">
        <v>480</v>
      </c>
      <c r="H989" s="301" t="s">
        <v>2515</v>
      </c>
    </row>
    <row r="990" spans="4:8" ht="12.75" customHeight="1" x14ac:dyDescent="0.25">
      <c r="D990" s="301" t="s">
        <v>2516</v>
      </c>
      <c r="E990" s="301" t="s">
        <v>432</v>
      </c>
      <c r="F990" s="301" t="s">
        <v>433</v>
      </c>
      <c r="G990" s="301" t="s">
        <v>487</v>
      </c>
      <c r="H990" s="301" t="s">
        <v>2517</v>
      </c>
    </row>
    <row r="991" spans="4:8" ht="12.75" customHeight="1" x14ac:dyDescent="0.25">
      <c r="D991" s="301" t="s">
        <v>2518</v>
      </c>
      <c r="E991" s="301" t="s">
        <v>443</v>
      </c>
      <c r="F991" s="301" t="s">
        <v>1024</v>
      </c>
      <c r="G991" s="301" t="s">
        <v>1024</v>
      </c>
      <c r="H991" s="301" t="s">
        <v>2519</v>
      </c>
    </row>
    <row r="992" spans="4:8" ht="12.75" customHeight="1" x14ac:dyDescent="0.25">
      <c r="D992" s="301" t="s">
        <v>2520</v>
      </c>
      <c r="E992" s="301" t="s">
        <v>449</v>
      </c>
      <c r="F992" s="301" t="s">
        <v>607</v>
      </c>
      <c r="G992" s="301" t="s">
        <v>608</v>
      </c>
      <c r="H992" s="301" t="s">
        <v>2521</v>
      </c>
    </row>
    <row r="993" spans="4:8" ht="12.75" customHeight="1" x14ac:dyDescent="0.25">
      <c r="D993" s="306" t="s">
        <v>2522</v>
      </c>
      <c r="E993" s="306" t="s">
        <v>458</v>
      </c>
      <c r="F993" s="306" t="s">
        <v>660</v>
      </c>
      <c r="G993" s="306" t="s">
        <v>661</v>
      </c>
      <c r="H993" s="306" t="s">
        <v>2523</v>
      </c>
    </row>
    <row r="994" spans="4:8" ht="12.75" customHeight="1" x14ac:dyDescent="0.25">
      <c r="D994" s="301" t="s">
        <v>2524</v>
      </c>
      <c r="E994" s="301" t="s">
        <v>432</v>
      </c>
      <c r="F994" s="301" t="s">
        <v>479</v>
      </c>
      <c r="G994" s="301" t="s">
        <v>480</v>
      </c>
      <c r="H994" s="301" t="s">
        <v>2525</v>
      </c>
    </row>
    <row r="995" spans="4:8" ht="12.75" customHeight="1" x14ac:dyDescent="0.25">
      <c r="D995" s="301" t="s">
        <v>2526</v>
      </c>
      <c r="E995" s="301" t="s">
        <v>432</v>
      </c>
      <c r="F995" s="301" t="s">
        <v>479</v>
      </c>
      <c r="G995" s="301" t="s">
        <v>480</v>
      </c>
      <c r="H995" s="301" t="s">
        <v>2527</v>
      </c>
    </row>
    <row r="996" spans="4:8" ht="12.75" customHeight="1" x14ac:dyDescent="0.25">
      <c r="D996" s="301" t="s">
        <v>2528</v>
      </c>
      <c r="E996" s="301" t="s">
        <v>432</v>
      </c>
      <c r="F996" s="301" t="s">
        <v>479</v>
      </c>
      <c r="G996" s="301" t="s">
        <v>480</v>
      </c>
      <c r="H996" s="301" t="s">
        <v>2529</v>
      </c>
    </row>
    <row r="997" spans="4:8" ht="12.75" customHeight="1" x14ac:dyDescent="0.25">
      <c r="D997" s="301" t="s">
        <v>2530</v>
      </c>
      <c r="E997" s="301" t="s">
        <v>432</v>
      </c>
      <c r="F997" s="301" t="s">
        <v>479</v>
      </c>
      <c r="G997" s="301" t="s">
        <v>480</v>
      </c>
      <c r="H997" s="301" t="s">
        <v>2531</v>
      </c>
    </row>
    <row r="998" spans="4:8" ht="12.75" customHeight="1" x14ac:dyDescent="0.25">
      <c r="D998" s="301" t="s">
        <v>2532</v>
      </c>
      <c r="E998" s="301" t="s">
        <v>432</v>
      </c>
      <c r="F998" s="301" t="s">
        <v>433</v>
      </c>
      <c r="G998" s="301" t="s">
        <v>434</v>
      </c>
      <c r="H998" s="301" t="s">
        <v>2533</v>
      </c>
    </row>
    <row r="999" spans="4:8" ht="12.75" customHeight="1" x14ac:dyDescent="0.25">
      <c r="D999" s="301" t="s">
        <v>2534</v>
      </c>
      <c r="E999" s="301" t="s">
        <v>452</v>
      </c>
      <c r="F999" s="301" t="s">
        <v>569</v>
      </c>
      <c r="G999" s="301" t="s">
        <v>570</v>
      </c>
      <c r="H999" s="301" t="s">
        <v>2535</v>
      </c>
    </row>
    <row r="1000" spans="4:8" ht="12.75" customHeight="1" x14ac:dyDescent="0.25">
      <c r="D1000" s="301" t="s">
        <v>2536</v>
      </c>
      <c r="E1000" s="301" t="s">
        <v>452</v>
      </c>
      <c r="F1000" s="301" t="s">
        <v>569</v>
      </c>
      <c r="G1000" s="301" t="s">
        <v>570</v>
      </c>
      <c r="H1000" s="301" t="s">
        <v>2537</v>
      </c>
    </row>
    <row r="1001" spans="4:8" ht="12.75" customHeight="1" x14ac:dyDescent="0.25">
      <c r="D1001" s="301" t="s">
        <v>2538</v>
      </c>
      <c r="E1001" s="301" t="s">
        <v>432</v>
      </c>
      <c r="F1001" s="301" t="s">
        <v>433</v>
      </c>
      <c r="G1001" s="301" t="s">
        <v>647</v>
      </c>
      <c r="H1001" s="301" t="s">
        <v>2539</v>
      </c>
    </row>
    <row r="1002" spans="4:8" ht="12.75" customHeight="1" x14ac:dyDescent="0.25">
      <c r="D1002" s="301" t="s">
        <v>2540</v>
      </c>
      <c r="E1002" s="301" t="s">
        <v>443</v>
      </c>
      <c r="F1002" s="301" t="s">
        <v>444</v>
      </c>
      <c r="G1002" s="301" t="s">
        <v>445</v>
      </c>
      <c r="H1002" s="301" t="s">
        <v>2541</v>
      </c>
    </row>
    <row r="1003" spans="4:8" ht="12.75" customHeight="1" x14ac:dyDescent="0.25">
      <c r="D1003" s="301" t="s">
        <v>2542</v>
      </c>
      <c r="E1003" s="301" t="s">
        <v>437</v>
      </c>
      <c r="F1003" s="301" t="s">
        <v>1279</v>
      </c>
      <c r="G1003" s="301" t="s">
        <v>1280</v>
      </c>
      <c r="H1003" s="301" t="s">
        <v>2543</v>
      </c>
    </row>
    <row r="1004" spans="4:8" ht="12.75" customHeight="1" x14ac:dyDescent="0.25">
      <c r="D1004" s="301" t="s">
        <v>2544</v>
      </c>
      <c r="E1004" s="301" t="s">
        <v>443</v>
      </c>
      <c r="F1004" s="301" t="s">
        <v>444</v>
      </c>
      <c r="G1004" s="301" t="s">
        <v>445</v>
      </c>
      <c r="H1004" s="301" t="s">
        <v>2545</v>
      </c>
    </row>
    <row r="1005" spans="4:8" ht="12.75" customHeight="1" x14ac:dyDescent="0.25">
      <c r="D1005" s="301" t="s">
        <v>2546</v>
      </c>
      <c r="E1005" s="301" t="s">
        <v>437</v>
      </c>
      <c r="F1005" s="301" t="s">
        <v>438</v>
      </c>
      <c r="G1005" s="301" t="s">
        <v>439</v>
      </c>
      <c r="H1005" s="301" t="s">
        <v>2547</v>
      </c>
    </row>
    <row r="1006" spans="4:8" ht="12.75" customHeight="1" x14ac:dyDescent="0.25">
      <c r="D1006" s="301" t="s">
        <v>2548</v>
      </c>
      <c r="E1006" s="301" t="s">
        <v>443</v>
      </c>
      <c r="F1006" s="301" t="s">
        <v>444</v>
      </c>
      <c r="G1006" s="301" t="s">
        <v>445</v>
      </c>
      <c r="H1006" s="301" t="s">
        <v>2549</v>
      </c>
    </row>
    <row r="1007" spans="4:8" ht="12.75" customHeight="1" x14ac:dyDescent="0.25">
      <c r="D1007" s="301" t="s">
        <v>2550</v>
      </c>
      <c r="E1007" s="301" t="s">
        <v>432</v>
      </c>
      <c r="F1007" s="301" t="s">
        <v>479</v>
      </c>
      <c r="G1007" s="301" t="s">
        <v>480</v>
      </c>
      <c r="H1007" s="301" t="s">
        <v>2551</v>
      </c>
    </row>
    <row r="1008" spans="4:8" ht="12.75" customHeight="1" x14ac:dyDescent="0.25">
      <c r="D1008" s="301" t="s">
        <v>2552</v>
      </c>
      <c r="E1008" s="301" t="s">
        <v>432</v>
      </c>
      <c r="F1008" s="301" t="s">
        <v>433</v>
      </c>
      <c r="G1008" s="301" t="s">
        <v>434</v>
      </c>
      <c r="H1008" s="301" t="s">
        <v>2553</v>
      </c>
    </row>
    <row r="1009" spans="4:8" ht="12.75" customHeight="1" x14ac:dyDescent="0.25">
      <c r="D1009" s="301" t="s">
        <v>2554</v>
      </c>
      <c r="E1009" s="301" t="s">
        <v>443</v>
      </c>
      <c r="F1009" s="301" t="s">
        <v>550</v>
      </c>
      <c r="G1009" s="301" t="s">
        <v>550</v>
      </c>
      <c r="H1009" s="301" t="s">
        <v>2555</v>
      </c>
    </row>
    <row r="1010" spans="4:8" ht="12.75" customHeight="1" x14ac:dyDescent="0.25">
      <c r="D1010" s="301" t="s">
        <v>2556</v>
      </c>
      <c r="E1010" s="301" t="s">
        <v>454</v>
      </c>
      <c r="F1010" s="301" t="s">
        <v>504</v>
      </c>
      <c r="G1010" s="301" t="s">
        <v>505</v>
      </c>
      <c r="H1010" s="301" t="s">
        <v>2557</v>
      </c>
    </row>
    <row r="1011" spans="4:8" ht="12.75" customHeight="1" x14ac:dyDescent="0.25">
      <c r="D1011" s="301" t="s">
        <v>2558</v>
      </c>
      <c r="E1011" s="301" t="s">
        <v>454</v>
      </c>
      <c r="F1011" s="301" t="s">
        <v>504</v>
      </c>
      <c r="G1011" s="301" t="s">
        <v>505</v>
      </c>
      <c r="H1011" s="301" t="s">
        <v>2559</v>
      </c>
    </row>
    <row r="1012" spans="4:8" ht="12.75" customHeight="1" x14ac:dyDescent="0.25">
      <c r="D1012" s="301" t="s">
        <v>2560</v>
      </c>
      <c r="E1012" s="301" t="s">
        <v>425</v>
      </c>
      <c r="F1012" s="301" t="s">
        <v>426</v>
      </c>
      <c r="G1012" s="301" t="s">
        <v>1191</v>
      </c>
      <c r="H1012" s="301" t="s">
        <v>2561</v>
      </c>
    </row>
    <row r="1013" spans="4:8" ht="12.75" customHeight="1" x14ac:dyDescent="0.25">
      <c r="D1013" s="301" t="s">
        <v>2562</v>
      </c>
      <c r="E1013" s="301" t="s">
        <v>425</v>
      </c>
      <c r="F1013" s="301" t="s">
        <v>1371</v>
      </c>
      <c r="G1013" s="301" t="s">
        <v>1371</v>
      </c>
      <c r="H1013" s="301" t="s">
        <v>2563</v>
      </c>
    </row>
    <row r="1014" spans="4:8" ht="12.75" customHeight="1" x14ac:dyDescent="0.25">
      <c r="D1014" s="301" t="s">
        <v>2564</v>
      </c>
      <c r="E1014" s="301" t="s">
        <v>425</v>
      </c>
      <c r="F1014" s="301" t="s">
        <v>1380</v>
      </c>
      <c r="G1014" s="301" t="s">
        <v>1409</v>
      </c>
      <c r="H1014" s="301" t="s">
        <v>2565</v>
      </c>
    </row>
    <row r="1015" spans="4:8" ht="12.75" customHeight="1" x14ac:dyDescent="0.25">
      <c r="D1015" s="301" t="s">
        <v>2566</v>
      </c>
      <c r="E1015" s="301" t="s">
        <v>425</v>
      </c>
      <c r="F1015" s="301" t="s">
        <v>426</v>
      </c>
      <c r="G1015" s="301" t="s">
        <v>1534</v>
      </c>
      <c r="H1015" s="301" t="s">
        <v>2567</v>
      </c>
    </row>
    <row r="1016" spans="4:8" ht="12.75" customHeight="1" x14ac:dyDescent="0.25">
      <c r="D1016" s="301" t="s">
        <v>2568</v>
      </c>
      <c r="E1016" s="301" t="s">
        <v>425</v>
      </c>
      <c r="F1016" s="301" t="s">
        <v>1380</v>
      </c>
      <c r="G1016" s="301" t="s">
        <v>1409</v>
      </c>
      <c r="H1016" s="301" t="s">
        <v>2569</v>
      </c>
    </row>
    <row r="1017" spans="4:8" ht="12.75" customHeight="1" x14ac:dyDescent="0.25">
      <c r="D1017" s="301" t="s">
        <v>2570</v>
      </c>
      <c r="E1017" s="301" t="s">
        <v>425</v>
      </c>
      <c r="F1017" s="301" t="s">
        <v>1380</v>
      </c>
      <c r="G1017" s="301" t="s">
        <v>1409</v>
      </c>
      <c r="H1017" s="301" t="s">
        <v>2571</v>
      </c>
    </row>
    <row r="1018" spans="4:8" ht="12.75" customHeight="1" x14ac:dyDescent="0.25">
      <c r="D1018" s="301" t="s">
        <v>2572</v>
      </c>
      <c r="E1018" s="301" t="s">
        <v>425</v>
      </c>
      <c r="F1018" s="301" t="s">
        <v>1380</v>
      </c>
      <c r="G1018" s="301" t="s">
        <v>1409</v>
      </c>
      <c r="H1018" s="301" t="s">
        <v>2573</v>
      </c>
    </row>
    <row r="1019" spans="4:8" ht="12.75" customHeight="1" x14ac:dyDescent="0.25">
      <c r="D1019" s="301" t="s">
        <v>2574</v>
      </c>
      <c r="E1019" s="301" t="s">
        <v>425</v>
      </c>
      <c r="F1019" s="301" t="s">
        <v>1380</v>
      </c>
      <c r="G1019" s="301" t="s">
        <v>1409</v>
      </c>
      <c r="H1019" s="301" t="s">
        <v>2575</v>
      </c>
    </row>
    <row r="1020" spans="4:8" ht="12.75" customHeight="1" x14ac:dyDescent="0.25">
      <c r="D1020" s="301" t="s">
        <v>2576</v>
      </c>
      <c r="E1020" s="301" t="s">
        <v>425</v>
      </c>
      <c r="F1020" s="301" t="s">
        <v>1244</v>
      </c>
      <c r="G1020" s="301" t="s">
        <v>1245</v>
      </c>
      <c r="H1020" s="301" t="s">
        <v>2577</v>
      </c>
    </row>
    <row r="1021" spans="4:8" ht="12.75" customHeight="1" x14ac:dyDescent="0.25">
      <c r="D1021" s="306" t="s">
        <v>2578</v>
      </c>
      <c r="E1021" s="306" t="s">
        <v>458</v>
      </c>
      <c r="F1021" s="306" t="s">
        <v>660</v>
      </c>
      <c r="G1021" s="306" t="s">
        <v>661</v>
      </c>
      <c r="H1021" s="306" t="s">
        <v>2579</v>
      </c>
    </row>
    <row r="1022" spans="4:8" ht="12.75" customHeight="1" x14ac:dyDescent="0.25">
      <c r="D1022" s="301" t="s">
        <v>2580</v>
      </c>
      <c r="E1022" s="301" t="s">
        <v>432</v>
      </c>
      <c r="F1022" s="301" t="s">
        <v>479</v>
      </c>
      <c r="G1022" s="301" t="s">
        <v>480</v>
      </c>
      <c r="H1022" s="301" t="s">
        <v>2581</v>
      </c>
    </row>
    <row r="1023" spans="4:8" ht="12.75" customHeight="1" x14ac:dyDescent="0.25">
      <c r="D1023" s="301" t="s">
        <v>2582</v>
      </c>
      <c r="E1023" s="301" t="s">
        <v>432</v>
      </c>
      <c r="F1023" s="301" t="s">
        <v>479</v>
      </c>
      <c r="G1023" s="301" t="s">
        <v>480</v>
      </c>
      <c r="H1023" s="301" t="s">
        <v>2583</v>
      </c>
    </row>
    <row r="1024" spans="4:8" ht="12.75" customHeight="1" x14ac:dyDescent="0.25">
      <c r="D1024" s="301" t="s">
        <v>2584</v>
      </c>
      <c r="E1024" s="301" t="s">
        <v>432</v>
      </c>
      <c r="F1024" s="301" t="s">
        <v>479</v>
      </c>
      <c r="G1024" s="301" t="s">
        <v>480</v>
      </c>
      <c r="H1024" s="301" t="s">
        <v>2585</v>
      </c>
    </row>
    <row r="1025" spans="4:8" ht="12.75" customHeight="1" x14ac:dyDescent="0.25">
      <c r="D1025" s="301" t="s">
        <v>2586</v>
      </c>
      <c r="E1025" s="301" t="s">
        <v>432</v>
      </c>
      <c r="F1025" s="301" t="s">
        <v>479</v>
      </c>
      <c r="G1025" s="301" t="s">
        <v>480</v>
      </c>
      <c r="H1025" s="301" t="s">
        <v>2587</v>
      </c>
    </row>
    <row r="1026" spans="4:8" ht="12.75" customHeight="1" x14ac:dyDescent="0.25">
      <c r="D1026" s="301" t="s">
        <v>2588</v>
      </c>
      <c r="E1026" s="301" t="s">
        <v>432</v>
      </c>
      <c r="F1026" s="301" t="s">
        <v>479</v>
      </c>
      <c r="G1026" s="301" t="s">
        <v>480</v>
      </c>
      <c r="H1026" s="301" t="s">
        <v>2589</v>
      </c>
    </row>
    <row r="1027" spans="4:8" ht="12.75" customHeight="1" x14ac:dyDescent="0.25">
      <c r="D1027" s="301" t="s">
        <v>2590</v>
      </c>
      <c r="E1027" s="301" t="s">
        <v>432</v>
      </c>
      <c r="F1027" s="301" t="s">
        <v>479</v>
      </c>
      <c r="G1027" s="301" t="s">
        <v>480</v>
      </c>
      <c r="H1027" s="301" t="s">
        <v>2591</v>
      </c>
    </row>
    <row r="1028" spans="4:8" ht="12.75" customHeight="1" x14ac:dyDescent="0.25">
      <c r="D1028" s="301" t="s">
        <v>2592</v>
      </c>
      <c r="E1028" s="301" t="s">
        <v>432</v>
      </c>
      <c r="F1028" s="301" t="s">
        <v>479</v>
      </c>
      <c r="G1028" s="301" t="s">
        <v>480</v>
      </c>
      <c r="H1028" s="301" t="s">
        <v>2593</v>
      </c>
    </row>
    <row r="1029" spans="4:8" ht="12.75" customHeight="1" x14ac:dyDescent="0.25">
      <c r="D1029" s="301" t="s">
        <v>2594</v>
      </c>
      <c r="E1029" s="301" t="s">
        <v>425</v>
      </c>
      <c r="F1029" s="301" t="s">
        <v>426</v>
      </c>
      <c r="G1029" s="301" t="s">
        <v>1534</v>
      </c>
      <c r="H1029" s="301" t="s">
        <v>2595</v>
      </c>
    </row>
    <row r="1030" spans="4:8" ht="12.75" customHeight="1" x14ac:dyDescent="0.25">
      <c r="D1030" s="301" t="s">
        <v>2596</v>
      </c>
      <c r="E1030" s="301" t="s">
        <v>432</v>
      </c>
      <c r="F1030" s="301" t="s">
        <v>479</v>
      </c>
      <c r="G1030" s="301" t="s">
        <v>480</v>
      </c>
      <c r="H1030" s="301" t="s">
        <v>2597</v>
      </c>
    </row>
    <row r="1031" spans="4:8" ht="12.75" customHeight="1" x14ac:dyDescent="0.25">
      <c r="D1031" s="301" t="s">
        <v>2598</v>
      </c>
      <c r="E1031" s="301" t="s">
        <v>425</v>
      </c>
      <c r="F1031" s="301" t="s">
        <v>1380</v>
      </c>
      <c r="G1031" s="301" t="s">
        <v>1381</v>
      </c>
      <c r="H1031" s="301" t="s">
        <v>2599</v>
      </c>
    </row>
    <row r="1032" spans="4:8" ht="12.75" customHeight="1" x14ac:dyDescent="0.25">
      <c r="D1032" s="301" t="s">
        <v>2600</v>
      </c>
      <c r="E1032" s="301" t="s">
        <v>432</v>
      </c>
      <c r="F1032" s="301" t="s">
        <v>479</v>
      </c>
      <c r="G1032" s="301" t="s">
        <v>480</v>
      </c>
      <c r="H1032" s="301" t="s">
        <v>2601</v>
      </c>
    </row>
    <row r="1033" spans="4:8" ht="12.75" customHeight="1" x14ac:dyDescent="0.25">
      <c r="D1033" s="301" t="s">
        <v>2602</v>
      </c>
      <c r="E1033" s="301" t="s">
        <v>432</v>
      </c>
      <c r="F1033" s="301" t="s">
        <v>433</v>
      </c>
      <c r="G1033" s="301" t="s">
        <v>434</v>
      </c>
      <c r="H1033" s="301" t="s">
        <v>2603</v>
      </c>
    </row>
    <row r="1034" spans="4:8" ht="12.75" customHeight="1" x14ac:dyDescent="0.25">
      <c r="D1034" s="301" t="s">
        <v>2604</v>
      </c>
      <c r="E1034" s="301" t="s">
        <v>432</v>
      </c>
      <c r="F1034" s="301" t="s">
        <v>433</v>
      </c>
      <c r="G1034" s="301" t="s">
        <v>434</v>
      </c>
      <c r="H1034" s="301" t="s">
        <v>2605</v>
      </c>
    </row>
    <row r="1035" spans="4:8" ht="12.75" customHeight="1" x14ac:dyDescent="0.25">
      <c r="D1035" s="301" t="s">
        <v>2606</v>
      </c>
      <c r="E1035" s="301" t="s">
        <v>452</v>
      </c>
      <c r="F1035" s="301" t="s">
        <v>735</v>
      </c>
      <c r="G1035" s="301" t="s">
        <v>501</v>
      </c>
      <c r="H1035" s="301" t="s">
        <v>2607</v>
      </c>
    </row>
    <row r="1036" spans="4:8" ht="12.75" customHeight="1" x14ac:dyDescent="0.25">
      <c r="D1036" s="301" t="s">
        <v>2608</v>
      </c>
      <c r="E1036" s="301" t="s">
        <v>452</v>
      </c>
      <c r="F1036" s="301" t="s">
        <v>2609</v>
      </c>
      <c r="G1036" s="301" t="s">
        <v>501</v>
      </c>
      <c r="H1036" s="301" t="s">
        <v>2610</v>
      </c>
    </row>
    <row r="1037" spans="4:8" ht="12.75" customHeight="1" x14ac:dyDescent="0.25">
      <c r="D1037" s="301" t="s">
        <v>2611</v>
      </c>
      <c r="E1037" s="301" t="s">
        <v>452</v>
      </c>
      <c r="F1037" s="301" t="s">
        <v>2609</v>
      </c>
      <c r="G1037" s="301" t="s">
        <v>501</v>
      </c>
      <c r="H1037" s="301" t="s">
        <v>2612</v>
      </c>
    </row>
    <row r="1038" spans="4:8" ht="12.75" customHeight="1" x14ac:dyDescent="0.25">
      <c r="D1038" s="301" t="s">
        <v>2613</v>
      </c>
      <c r="E1038" s="301" t="s">
        <v>432</v>
      </c>
      <c r="F1038" s="301" t="s">
        <v>479</v>
      </c>
      <c r="G1038" s="301" t="s">
        <v>480</v>
      </c>
      <c r="H1038" s="301" t="s">
        <v>2614</v>
      </c>
    </row>
    <row r="1039" spans="4:8" ht="12.75" customHeight="1" x14ac:dyDescent="0.25">
      <c r="D1039" s="301" t="s">
        <v>2615</v>
      </c>
      <c r="E1039" s="301" t="s">
        <v>425</v>
      </c>
      <c r="F1039" s="301" t="s">
        <v>573</v>
      </c>
      <c r="G1039" s="301" t="s">
        <v>2322</v>
      </c>
      <c r="H1039" s="301" t="s">
        <v>2616</v>
      </c>
    </row>
    <row r="1040" spans="4:8" ht="12.75" customHeight="1" x14ac:dyDescent="0.25">
      <c r="D1040" s="301" t="s">
        <v>2617</v>
      </c>
      <c r="E1040" s="301" t="s">
        <v>437</v>
      </c>
      <c r="F1040" s="301" t="s">
        <v>438</v>
      </c>
      <c r="G1040" s="301" t="s">
        <v>439</v>
      </c>
      <c r="H1040" s="301" t="s">
        <v>2618</v>
      </c>
    </row>
    <row r="1041" spans="4:8" ht="12.75" customHeight="1" x14ac:dyDescent="0.25">
      <c r="D1041" s="301" t="s">
        <v>2619</v>
      </c>
      <c r="E1041" s="301" t="s">
        <v>443</v>
      </c>
      <c r="F1041" s="301" t="s">
        <v>444</v>
      </c>
      <c r="G1041" s="301" t="s">
        <v>445</v>
      </c>
      <c r="H1041" s="301" t="s">
        <v>2620</v>
      </c>
    </row>
    <row r="1042" spans="4:8" ht="12.75" customHeight="1" x14ac:dyDescent="0.25">
      <c r="D1042" s="301" t="s">
        <v>2621</v>
      </c>
      <c r="E1042" s="301" t="s">
        <v>437</v>
      </c>
      <c r="F1042" s="301" t="s">
        <v>438</v>
      </c>
      <c r="G1042" s="301" t="s">
        <v>439</v>
      </c>
      <c r="H1042" s="301" t="s">
        <v>2622</v>
      </c>
    </row>
    <row r="1043" spans="4:8" ht="12.75" customHeight="1" x14ac:dyDescent="0.25">
      <c r="D1043" s="301" t="s">
        <v>2623</v>
      </c>
      <c r="E1043" s="301" t="s">
        <v>443</v>
      </c>
      <c r="F1043" s="301" t="s">
        <v>444</v>
      </c>
      <c r="G1043" s="301" t="s">
        <v>445</v>
      </c>
      <c r="H1043" s="301" t="s">
        <v>2624</v>
      </c>
    </row>
    <row r="1044" spans="4:8" ht="12.75" customHeight="1" x14ac:dyDescent="0.25">
      <c r="D1044" s="301" t="s">
        <v>2625</v>
      </c>
      <c r="E1044" s="301" t="s">
        <v>437</v>
      </c>
      <c r="F1044" s="301" t="s">
        <v>438</v>
      </c>
      <c r="G1044" s="301" t="s">
        <v>439</v>
      </c>
      <c r="H1044" s="301" t="s">
        <v>2626</v>
      </c>
    </row>
    <row r="1045" spans="4:8" ht="12.75" customHeight="1" x14ac:dyDescent="0.25">
      <c r="D1045" s="301" t="s">
        <v>2627</v>
      </c>
      <c r="E1045" s="301" t="s">
        <v>443</v>
      </c>
      <c r="F1045" s="301" t="s">
        <v>444</v>
      </c>
      <c r="G1045" s="301" t="s">
        <v>445</v>
      </c>
      <c r="H1045" s="301" t="s">
        <v>2628</v>
      </c>
    </row>
    <row r="1046" spans="4:8" ht="12.75" customHeight="1" x14ac:dyDescent="0.25">
      <c r="D1046" s="301" t="s">
        <v>2629</v>
      </c>
      <c r="E1046" s="301" t="s">
        <v>437</v>
      </c>
      <c r="F1046" s="301" t="s">
        <v>438</v>
      </c>
      <c r="G1046" s="301" t="s">
        <v>439</v>
      </c>
      <c r="H1046" s="301" t="s">
        <v>2630</v>
      </c>
    </row>
    <row r="1047" spans="4:8" ht="12.75" customHeight="1" x14ac:dyDescent="0.25">
      <c r="D1047" s="301" t="s">
        <v>2631</v>
      </c>
      <c r="E1047" s="301" t="s">
        <v>443</v>
      </c>
      <c r="F1047" s="301" t="s">
        <v>444</v>
      </c>
      <c r="G1047" s="301" t="s">
        <v>445</v>
      </c>
      <c r="H1047" s="301" t="s">
        <v>2632</v>
      </c>
    </row>
    <row r="1048" spans="4:8" ht="12.75" customHeight="1" x14ac:dyDescent="0.25">
      <c r="D1048" s="301" t="s">
        <v>2633</v>
      </c>
      <c r="E1048" s="301" t="s">
        <v>437</v>
      </c>
      <c r="F1048" s="301" t="s">
        <v>438</v>
      </c>
      <c r="G1048" s="301" t="s">
        <v>439</v>
      </c>
      <c r="H1048" s="301" t="s">
        <v>2634</v>
      </c>
    </row>
    <row r="1049" spans="4:8" ht="12.75" customHeight="1" x14ac:dyDescent="0.25">
      <c r="D1049" s="301" t="s">
        <v>2635</v>
      </c>
      <c r="E1049" s="301" t="s">
        <v>443</v>
      </c>
      <c r="F1049" s="301" t="s">
        <v>444</v>
      </c>
      <c r="G1049" s="301" t="s">
        <v>445</v>
      </c>
      <c r="H1049" s="301" t="s">
        <v>2636</v>
      </c>
    </row>
    <row r="1050" spans="4:8" ht="12.75" customHeight="1" x14ac:dyDescent="0.25">
      <c r="D1050" s="301" t="s">
        <v>2637</v>
      </c>
      <c r="E1050" s="301" t="s">
        <v>437</v>
      </c>
      <c r="F1050" s="301" t="s">
        <v>438</v>
      </c>
      <c r="G1050" s="301" t="s">
        <v>439</v>
      </c>
      <c r="H1050" s="301" t="s">
        <v>2638</v>
      </c>
    </row>
    <row r="1051" spans="4:8" ht="12.75" customHeight="1" x14ac:dyDescent="0.25">
      <c r="D1051" s="301" t="s">
        <v>2639</v>
      </c>
      <c r="E1051" s="301" t="s">
        <v>443</v>
      </c>
      <c r="F1051" s="301" t="s">
        <v>444</v>
      </c>
      <c r="G1051" s="301" t="s">
        <v>445</v>
      </c>
      <c r="H1051" s="301" t="s">
        <v>2640</v>
      </c>
    </row>
    <row r="1052" spans="4:8" ht="12.75" customHeight="1" x14ac:dyDescent="0.25">
      <c r="D1052" s="301" t="s">
        <v>2641</v>
      </c>
      <c r="E1052" s="301" t="s">
        <v>437</v>
      </c>
      <c r="F1052" s="301" t="s">
        <v>438</v>
      </c>
      <c r="G1052" s="301" t="s">
        <v>439</v>
      </c>
      <c r="H1052" s="301" t="s">
        <v>2642</v>
      </c>
    </row>
    <row r="1053" spans="4:8" ht="12.75" customHeight="1" x14ac:dyDescent="0.25">
      <c r="D1053" s="301" t="s">
        <v>2643</v>
      </c>
      <c r="E1053" s="301" t="s">
        <v>443</v>
      </c>
      <c r="F1053" s="301" t="s">
        <v>444</v>
      </c>
      <c r="G1053" s="301" t="s">
        <v>445</v>
      </c>
      <c r="H1053" s="301" t="s">
        <v>2644</v>
      </c>
    </row>
    <row r="1054" spans="4:8" ht="12.75" customHeight="1" x14ac:dyDescent="0.25">
      <c r="D1054" s="301" t="s">
        <v>2645</v>
      </c>
      <c r="E1054" s="301" t="s">
        <v>437</v>
      </c>
      <c r="F1054" s="301" t="s">
        <v>438</v>
      </c>
      <c r="G1054" s="301" t="s">
        <v>439</v>
      </c>
      <c r="H1054" s="301" t="s">
        <v>2646</v>
      </c>
    </row>
    <row r="1055" spans="4:8" ht="12.75" customHeight="1" x14ac:dyDescent="0.25">
      <c r="D1055" s="301" t="s">
        <v>2647</v>
      </c>
      <c r="E1055" s="301" t="s">
        <v>443</v>
      </c>
      <c r="F1055" s="301" t="s">
        <v>444</v>
      </c>
      <c r="G1055" s="301" t="s">
        <v>445</v>
      </c>
      <c r="H1055" s="301" t="s">
        <v>2648</v>
      </c>
    </row>
    <row r="1056" spans="4:8" ht="12.75" customHeight="1" x14ac:dyDescent="0.25">
      <c r="D1056" s="301" t="s">
        <v>2649</v>
      </c>
      <c r="E1056" s="301" t="s">
        <v>437</v>
      </c>
      <c r="F1056" s="301" t="s">
        <v>438</v>
      </c>
      <c r="G1056" s="301" t="s">
        <v>439</v>
      </c>
      <c r="H1056" s="301" t="s">
        <v>2650</v>
      </c>
    </row>
    <row r="1057" spans="4:8" ht="12.75" customHeight="1" x14ac:dyDescent="0.25">
      <c r="D1057" s="301" t="s">
        <v>2651</v>
      </c>
      <c r="E1057" s="301" t="s">
        <v>443</v>
      </c>
      <c r="F1057" s="301" t="s">
        <v>444</v>
      </c>
      <c r="G1057" s="301" t="s">
        <v>445</v>
      </c>
      <c r="H1057" s="301" t="s">
        <v>2652</v>
      </c>
    </row>
    <row r="1058" spans="4:8" ht="12.75" customHeight="1" x14ac:dyDescent="0.25">
      <c r="D1058" s="301" t="s">
        <v>2653</v>
      </c>
      <c r="E1058" s="301" t="s">
        <v>437</v>
      </c>
      <c r="F1058" s="301" t="s">
        <v>438</v>
      </c>
      <c r="G1058" s="301" t="s">
        <v>439</v>
      </c>
      <c r="H1058" s="301" t="s">
        <v>2654</v>
      </c>
    </row>
    <row r="1059" spans="4:8" ht="12.75" customHeight="1" x14ac:dyDescent="0.25">
      <c r="D1059" s="301" t="s">
        <v>2655</v>
      </c>
      <c r="E1059" s="301" t="s">
        <v>443</v>
      </c>
      <c r="F1059" s="301" t="s">
        <v>444</v>
      </c>
      <c r="G1059" s="301" t="s">
        <v>445</v>
      </c>
      <c r="H1059" s="301" t="s">
        <v>2656</v>
      </c>
    </row>
    <row r="1060" spans="4:8" ht="12.75" customHeight="1" x14ac:dyDescent="0.25">
      <c r="D1060" s="301" t="s">
        <v>2657</v>
      </c>
      <c r="E1060" s="301" t="s">
        <v>437</v>
      </c>
      <c r="F1060" s="301" t="s">
        <v>438</v>
      </c>
      <c r="G1060" s="301" t="s">
        <v>439</v>
      </c>
      <c r="H1060" s="301" t="s">
        <v>2658</v>
      </c>
    </row>
    <row r="1061" spans="4:8" ht="12.75" customHeight="1" x14ac:dyDescent="0.25">
      <c r="D1061" s="301" t="s">
        <v>2659</v>
      </c>
      <c r="E1061" s="301" t="s">
        <v>443</v>
      </c>
      <c r="F1061" s="301" t="s">
        <v>444</v>
      </c>
      <c r="G1061" s="301" t="s">
        <v>445</v>
      </c>
      <c r="H1061" s="301" t="s">
        <v>2660</v>
      </c>
    </row>
    <row r="1062" spans="4:8" ht="12.75" customHeight="1" x14ac:dyDescent="0.25">
      <c r="D1062" s="301" t="s">
        <v>2661</v>
      </c>
      <c r="E1062" s="301" t="s">
        <v>437</v>
      </c>
      <c r="F1062" s="301" t="s">
        <v>438</v>
      </c>
      <c r="G1062" s="301" t="s">
        <v>439</v>
      </c>
      <c r="H1062" s="301" t="s">
        <v>2662</v>
      </c>
    </row>
    <row r="1063" spans="4:8" ht="12.75" customHeight="1" x14ac:dyDescent="0.25">
      <c r="D1063" s="301" t="s">
        <v>2663</v>
      </c>
      <c r="E1063" s="301" t="s">
        <v>443</v>
      </c>
      <c r="F1063" s="301" t="s">
        <v>444</v>
      </c>
      <c r="G1063" s="301" t="s">
        <v>445</v>
      </c>
      <c r="H1063" s="301" t="s">
        <v>2664</v>
      </c>
    </row>
    <row r="1064" spans="4:8" ht="12.75" customHeight="1" x14ac:dyDescent="0.25">
      <c r="D1064" s="301" t="s">
        <v>2665</v>
      </c>
      <c r="E1064" s="301" t="s">
        <v>425</v>
      </c>
      <c r="F1064" s="301" t="s">
        <v>573</v>
      </c>
      <c r="G1064" s="301" t="s">
        <v>574</v>
      </c>
      <c r="H1064" s="301" t="s">
        <v>2666</v>
      </c>
    </row>
    <row r="1065" spans="4:8" ht="12.75" customHeight="1" x14ac:dyDescent="0.25">
      <c r="D1065" s="301" t="s">
        <v>2667</v>
      </c>
      <c r="E1065" s="301" t="s">
        <v>454</v>
      </c>
      <c r="F1065" s="301" t="s">
        <v>504</v>
      </c>
      <c r="G1065" s="301" t="s">
        <v>505</v>
      </c>
      <c r="H1065" s="301" t="s">
        <v>2668</v>
      </c>
    </row>
    <row r="1066" spans="4:8" ht="12.75" customHeight="1" x14ac:dyDescent="0.25">
      <c r="D1066" s="301" t="s">
        <v>2669</v>
      </c>
      <c r="E1066" s="301" t="s">
        <v>454</v>
      </c>
      <c r="F1066" s="301" t="s">
        <v>504</v>
      </c>
      <c r="G1066" s="301" t="s">
        <v>505</v>
      </c>
      <c r="H1066" s="301" t="s">
        <v>2670</v>
      </c>
    </row>
    <row r="1067" spans="4:8" ht="12.75" customHeight="1" x14ac:dyDescent="0.25">
      <c r="D1067" s="306" t="s">
        <v>2671</v>
      </c>
      <c r="E1067" s="306" t="s">
        <v>458</v>
      </c>
      <c r="F1067" s="306" t="s">
        <v>660</v>
      </c>
      <c r="G1067" s="306" t="s">
        <v>661</v>
      </c>
      <c r="H1067" s="306" t="s">
        <v>2672</v>
      </c>
    </row>
    <row r="1068" spans="4:8" ht="12.75" customHeight="1" x14ac:dyDescent="0.25">
      <c r="D1068" s="301" t="s">
        <v>2673</v>
      </c>
      <c r="E1068" s="301" t="s">
        <v>452</v>
      </c>
      <c r="F1068" s="301" t="s">
        <v>735</v>
      </c>
      <c r="G1068" s="301" t="s">
        <v>501</v>
      </c>
      <c r="H1068" s="301" t="s">
        <v>2674</v>
      </c>
    </row>
    <row r="1069" spans="4:8" ht="12.75" customHeight="1" x14ac:dyDescent="0.25">
      <c r="D1069" s="301" t="s">
        <v>2675</v>
      </c>
      <c r="E1069" s="301" t="s">
        <v>425</v>
      </c>
      <c r="F1069" s="301" t="s">
        <v>1374</v>
      </c>
      <c r="G1069" s="301" t="s">
        <v>1456</v>
      </c>
      <c r="H1069" s="301" t="s">
        <v>2676</v>
      </c>
    </row>
  </sheetData>
  <autoFilter ref="D1:H1069" xr:uid="{00000000-0009-0000-0000-000007000000}"/>
  <mergeCells count="1">
    <mergeCell ref="L5:M5"/>
  </mergeCells>
  <pageMargins left="0.78749999999999998" right="0.78749999999999998" top="0.78749999999999998" bottom="0.78749999999999998"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79"/>
  <sheetViews>
    <sheetView zoomScaleNormal="100" workbookViewId="0"/>
  </sheetViews>
  <sheetFormatPr baseColWidth="10" defaultColWidth="14.44140625" defaultRowHeight="13.2" x14ac:dyDescent="0.25"/>
  <cols>
    <col min="1" max="26" width="11.6640625" customWidth="1"/>
  </cols>
  <sheetData>
    <row r="1" ht="12.75" customHeight="1" x14ac:dyDescent="0.25"/>
    <row r="2" ht="12.75" customHeight="1" x14ac:dyDescent="0.25"/>
    <row r="3" ht="12.75" customHeight="1" x14ac:dyDescent="0.25"/>
    <row r="4" ht="12.75" customHeight="1" x14ac:dyDescent="0.25"/>
    <row r="5" ht="12.75" customHeight="1" x14ac:dyDescent="0.25"/>
    <row r="6" ht="12.75" customHeight="1" x14ac:dyDescent="0.25"/>
    <row r="7" ht="12.75" customHeight="1" x14ac:dyDescent="0.25"/>
    <row r="8" ht="12.75" customHeight="1" x14ac:dyDescent="0.25"/>
    <row r="9" ht="12.75" customHeight="1" x14ac:dyDescent="0.25"/>
    <row r="10" ht="12.75" customHeight="1" x14ac:dyDescent="0.25"/>
    <row r="11" ht="12.75" customHeight="1" x14ac:dyDescent="0.25"/>
    <row r="12" ht="12.75" customHeight="1" x14ac:dyDescent="0.25"/>
    <row r="13" ht="12.75" customHeight="1" x14ac:dyDescent="0.25"/>
    <row r="14" ht="12.75" customHeight="1" x14ac:dyDescent="0.25"/>
    <row r="15" ht="12.75" customHeight="1" x14ac:dyDescent="0.25"/>
    <row r="16"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sheetData>
  <pageMargins left="0.78749999999999998" right="0.78749999999999998" top="1.05277777777778" bottom="1.05277777777778" header="0" footer="0"/>
  <pageSetup firstPageNumber="0" orientation="portrait" horizontalDpi="300" verticalDpi="300"/>
  <headerFooter>
    <oddHeader>&amp;C&amp;A</oddHeader>
    <oddFooter>&amp;CPágina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72"/>
  <sheetViews>
    <sheetView zoomScaleNormal="100" workbookViewId="0"/>
  </sheetViews>
  <sheetFormatPr baseColWidth="10" defaultColWidth="14.44140625" defaultRowHeight="13.2" x14ac:dyDescent="0.25"/>
  <cols>
    <col min="1" max="26" width="11.33203125" customWidth="1"/>
  </cols>
  <sheetData>
    <row r="1" spans="1:19" ht="12.75" customHeight="1" x14ac:dyDescent="0.25">
      <c r="A1" s="180" t="e">
        <f>IF(#REF!="","",#REF!)</f>
        <v>#REF!</v>
      </c>
      <c r="B1" s="180" t="e">
        <f>IF(#REF!="","",#REF!)</f>
        <v>#REF!</v>
      </c>
      <c r="C1" s="180" t="e">
        <f>IF(#REF!="","",#REF!)</f>
        <v>#REF!</v>
      </c>
      <c r="D1" s="180" t="e">
        <f>IF(#REF!="","",#REF!)</f>
        <v>#REF!</v>
      </c>
      <c r="E1" s="180" t="e">
        <f>IF(#REF!="","",#REF!)</f>
        <v>#REF!</v>
      </c>
      <c r="F1" s="180" t="e">
        <f>IF(#REF!="","",#REF!)</f>
        <v>#REF!</v>
      </c>
      <c r="G1" s="180" t="e">
        <f>IF(#REF!="","",#REF!)</f>
        <v>#REF!</v>
      </c>
      <c r="H1" s="180" t="e">
        <f>IF(#REF!="","",#REF!)</f>
        <v>#REF!</v>
      </c>
      <c r="I1" s="180" t="e">
        <f>IF(#REF!="","",#REF!)</f>
        <v>#REF!</v>
      </c>
      <c r="J1" s="180" t="e">
        <f>IF(#REF!="","",#REF!)</f>
        <v>#REF!</v>
      </c>
      <c r="K1" s="180" t="e">
        <f>IF(#REF!="","",#REF!)</f>
        <v>#REF!</v>
      </c>
      <c r="L1" s="180" t="e">
        <f>IF(#REF!="","",#REF!)</f>
        <v>#REF!</v>
      </c>
      <c r="M1" s="180" t="e">
        <f>IF(#REF!="","",#REF!)</f>
        <v>#REF!</v>
      </c>
      <c r="N1" t="e">
        <f>IF(#REF!="","",#REF!)</f>
        <v>#REF!</v>
      </c>
      <c r="O1" t="e">
        <f>IF(#REF!="","",#REF!)</f>
        <v>#REF!</v>
      </c>
      <c r="P1" t="e">
        <f>IF(#REF!="","",#REF!)</f>
        <v>#REF!</v>
      </c>
      <c r="Q1" t="e">
        <f>IF(#REF!="","",#REF!)</f>
        <v>#REF!</v>
      </c>
      <c r="R1" t="e">
        <f>IF(#REF!="","",#REF!)</f>
        <v>#REF!</v>
      </c>
      <c r="S1" t="e">
        <f>IF(#REF!="","",#REF!)</f>
        <v>#REF!</v>
      </c>
    </row>
    <row r="2" spans="1:19" ht="12.75" customHeight="1" x14ac:dyDescent="0.25">
      <c r="A2" s="180" t="e">
        <f>IF(#REF!="","",#REF!)</f>
        <v>#REF!</v>
      </c>
      <c r="B2" s="180" t="e">
        <f>IF(#REF!="","",#REF!)</f>
        <v>#REF!</v>
      </c>
      <c r="C2" s="180" t="e">
        <f>IF(#REF!="","",#REF!)</f>
        <v>#REF!</v>
      </c>
      <c r="D2" s="180" t="e">
        <f>IF(#REF!="","",#REF!)</f>
        <v>#REF!</v>
      </c>
      <c r="E2" s="180" t="e">
        <f>IF(#REF!="","",#REF!)</f>
        <v>#REF!</v>
      </c>
      <c r="F2" s="180" t="e">
        <f>IF(#REF!="","",#REF!)</f>
        <v>#REF!</v>
      </c>
      <c r="G2" s="180" t="e">
        <f>IF(#REF!="","",#REF!)</f>
        <v>#REF!</v>
      </c>
      <c r="H2" s="180" t="e">
        <f>IF(#REF!="","",#REF!)</f>
        <v>#REF!</v>
      </c>
      <c r="I2" s="180" t="e">
        <f>IF(#REF!="","",#REF!)</f>
        <v>#REF!</v>
      </c>
      <c r="J2" s="180" t="e">
        <f>IF(#REF!="","",#REF!)</f>
        <v>#REF!</v>
      </c>
      <c r="K2" s="180" t="e">
        <f>IF(#REF!="","",#REF!)</f>
        <v>#REF!</v>
      </c>
      <c r="L2" s="180" t="e">
        <f>IF(#REF!="","",#REF!)</f>
        <v>#REF!</v>
      </c>
      <c r="M2" s="180" t="e">
        <f>IF(#REF!="","",#REF!)</f>
        <v>#REF!</v>
      </c>
      <c r="N2" t="e">
        <f>IF(#REF!="","",#REF!)</f>
        <v>#REF!</v>
      </c>
      <c r="O2" t="e">
        <f>IF(#REF!="","",#REF!)</f>
        <v>#REF!</v>
      </c>
      <c r="P2" t="e">
        <f>IF(#REF!="","",#REF!)</f>
        <v>#REF!</v>
      </c>
      <c r="Q2" t="e">
        <f>IF(#REF!="","",#REF!)</f>
        <v>#REF!</v>
      </c>
      <c r="R2" t="e">
        <f>IF(#REF!="","",#REF!)</f>
        <v>#REF!</v>
      </c>
      <c r="S2" t="e">
        <f>IF(#REF!="","",#REF!)</f>
        <v>#REF!</v>
      </c>
    </row>
    <row r="3" spans="1:19" ht="12.75" customHeight="1" x14ac:dyDescent="0.25">
      <c r="A3" s="180" t="e">
        <f>IF(#REF!="","",#REF!)</f>
        <v>#REF!</v>
      </c>
      <c r="B3" s="180" t="e">
        <f>IF(#REF!="","",#REF!)</f>
        <v>#REF!</v>
      </c>
      <c r="C3" s="180" t="e">
        <f>IF(#REF!="","",#REF!)</f>
        <v>#REF!</v>
      </c>
      <c r="D3" s="180" t="e">
        <f>IF(#REF!="","",#REF!)</f>
        <v>#REF!</v>
      </c>
      <c r="E3" s="180" t="e">
        <f>IF(#REF!="","",#REF!)</f>
        <v>#REF!</v>
      </c>
      <c r="F3" s="180" t="e">
        <f>IF(#REF!="","",#REF!)</f>
        <v>#REF!</v>
      </c>
      <c r="G3" s="180" t="e">
        <f>IF(#REF!="","",#REF!)</f>
        <v>#REF!</v>
      </c>
      <c r="H3" s="180" t="e">
        <f>IF(#REF!="","",#REF!)</f>
        <v>#REF!</v>
      </c>
      <c r="I3" s="180" t="e">
        <f>IF(#REF!="","",#REF!)</f>
        <v>#REF!</v>
      </c>
      <c r="J3" s="180" t="e">
        <f>IF(#REF!="","",#REF!)</f>
        <v>#REF!</v>
      </c>
      <c r="K3" s="180" t="e">
        <f>IF(#REF!="","",#REF!)</f>
        <v>#REF!</v>
      </c>
      <c r="L3" s="180" t="e">
        <f>IF(#REF!="","",#REF!)</f>
        <v>#REF!</v>
      </c>
      <c r="M3" s="180" t="e">
        <f>IF(#REF!="","",#REF!)</f>
        <v>#REF!</v>
      </c>
      <c r="N3" t="e">
        <f>IF(#REF!="","",#REF!)</f>
        <v>#REF!</v>
      </c>
      <c r="O3" t="e">
        <f>IF(#REF!="","",#REF!)</f>
        <v>#REF!</v>
      </c>
      <c r="P3" t="e">
        <f>IF(#REF!="","",#REF!)</f>
        <v>#REF!</v>
      </c>
      <c r="Q3" t="e">
        <f>IF(#REF!="","",#REF!)</f>
        <v>#REF!</v>
      </c>
      <c r="R3" t="e">
        <f>IF(#REF!="","",#REF!)</f>
        <v>#REF!</v>
      </c>
      <c r="S3" t="e">
        <f>IF(#REF!="","",#REF!)</f>
        <v>#REF!</v>
      </c>
    </row>
    <row r="4" spans="1:19" ht="12.75" customHeight="1" x14ac:dyDescent="0.25">
      <c r="A4" s="180" t="e">
        <f>IF(#REF!="","",#REF!)</f>
        <v>#REF!</v>
      </c>
      <c r="B4" s="180" t="e">
        <f>IF(#REF!="","",#REF!)</f>
        <v>#REF!</v>
      </c>
      <c r="C4" s="180" t="e">
        <f>IF(#REF!="","",#REF!)</f>
        <v>#REF!</v>
      </c>
      <c r="D4" s="180" t="e">
        <f>IF(#REF!="","",#REF!)</f>
        <v>#REF!</v>
      </c>
      <c r="E4" s="180" t="e">
        <f>IF(#REF!="","",#REF!)</f>
        <v>#REF!</v>
      </c>
      <c r="F4" s="180" t="e">
        <f>IF(#REF!="","",#REF!)</f>
        <v>#REF!</v>
      </c>
      <c r="G4" s="180" t="e">
        <f>IF(#REF!="","",#REF!)</f>
        <v>#REF!</v>
      </c>
      <c r="H4" s="180" t="e">
        <f>IF(#REF!="","",#REF!)</f>
        <v>#REF!</v>
      </c>
      <c r="I4" s="180" t="e">
        <f>IF(#REF!="","",#REF!)</f>
        <v>#REF!</v>
      </c>
      <c r="J4" s="180" t="e">
        <f>IF(#REF!="","",#REF!)</f>
        <v>#REF!</v>
      </c>
      <c r="K4" s="180" t="e">
        <f>IF(#REF!="","",#REF!)</f>
        <v>#REF!</v>
      </c>
      <c r="L4" s="180" t="e">
        <f>IF(#REF!="","",#REF!)</f>
        <v>#REF!</v>
      </c>
      <c r="M4" s="180" t="e">
        <f>IF(#REF!="","",#REF!)</f>
        <v>#REF!</v>
      </c>
      <c r="N4" t="e">
        <f>IF(#REF!="","",#REF!)</f>
        <v>#REF!</v>
      </c>
      <c r="O4" t="e">
        <f>IF(#REF!="","",#REF!)</f>
        <v>#REF!</v>
      </c>
      <c r="P4" t="e">
        <f>IF(#REF!="","",#REF!)</f>
        <v>#REF!</v>
      </c>
      <c r="Q4" t="e">
        <f>IF(#REF!="","",#REF!)</f>
        <v>#REF!</v>
      </c>
      <c r="R4" t="e">
        <f>IF(#REF!="","",#REF!)</f>
        <v>#REF!</v>
      </c>
      <c r="S4" t="e">
        <f>IF(#REF!="","",#REF!)</f>
        <v>#REF!</v>
      </c>
    </row>
    <row r="5" spans="1:19" ht="12.75" customHeight="1" x14ac:dyDescent="0.25">
      <c r="A5" s="180" t="e">
        <f>IF(#REF!="","",#REF!)</f>
        <v>#REF!</v>
      </c>
      <c r="B5" s="180" t="e">
        <f>IF(#REF!="","",#REF!)</f>
        <v>#REF!</v>
      </c>
      <c r="C5" s="180" t="e">
        <f>IF(#REF!="","",#REF!)</f>
        <v>#REF!</v>
      </c>
      <c r="D5" s="180" t="e">
        <f>IF(#REF!="","",#REF!)</f>
        <v>#REF!</v>
      </c>
      <c r="E5" s="180" t="e">
        <f>IF(#REF!="","",#REF!)</f>
        <v>#REF!</v>
      </c>
      <c r="F5" s="180" t="e">
        <f>IF(#REF!="","",#REF!)</f>
        <v>#REF!</v>
      </c>
      <c r="G5" s="180" t="e">
        <f>IF(#REF!="","",#REF!)</f>
        <v>#REF!</v>
      </c>
      <c r="H5" s="180" t="e">
        <f>IF(#REF!="","",#REF!)</f>
        <v>#REF!</v>
      </c>
      <c r="I5" s="180" t="e">
        <f>IF(#REF!="","",#REF!)</f>
        <v>#REF!</v>
      </c>
      <c r="J5" s="180" t="e">
        <f>IF(#REF!="","",#REF!)</f>
        <v>#REF!</v>
      </c>
      <c r="K5" s="180" t="e">
        <f>IF(#REF!="","",#REF!)</f>
        <v>#REF!</v>
      </c>
      <c r="L5" s="180" t="e">
        <f>IF(#REF!="","",#REF!)</f>
        <v>#REF!</v>
      </c>
      <c r="M5" s="180" t="e">
        <f>IF(#REF!="","",#REF!)</f>
        <v>#REF!</v>
      </c>
      <c r="N5" t="e">
        <f>IF(#REF!="","",#REF!)</f>
        <v>#REF!</v>
      </c>
      <c r="O5" t="e">
        <f>IF(#REF!="","",#REF!)</f>
        <v>#REF!</v>
      </c>
      <c r="P5" t="e">
        <f>IF(#REF!="","",#REF!)</f>
        <v>#REF!</v>
      </c>
      <c r="Q5" t="e">
        <f>IF(#REF!="","",#REF!)</f>
        <v>#REF!</v>
      </c>
      <c r="R5" t="e">
        <f>IF(#REF!="","",#REF!)</f>
        <v>#REF!</v>
      </c>
      <c r="S5" t="e">
        <f>IF(#REF!="","",#REF!)</f>
        <v>#REF!</v>
      </c>
    </row>
    <row r="6" spans="1:19" ht="12.75" customHeight="1" x14ac:dyDescent="0.25">
      <c r="A6" s="180" t="e">
        <f>IF(#REF!="","",#REF!)</f>
        <v>#REF!</v>
      </c>
      <c r="B6" s="180" t="e">
        <f>IF(#REF!="","",#REF!)</f>
        <v>#REF!</v>
      </c>
      <c r="C6" s="180" t="e">
        <f>IF(#REF!="","",#REF!)</f>
        <v>#REF!</v>
      </c>
      <c r="D6" s="180" t="e">
        <f>IF(#REF!="","",#REF!)</f>
        <v>#REF!</v>
      </c>
      <c r="E6" s="180" t="e">
        <f>IF(#REF!="","",#REF!)</f>
        <v>#REF!</v>
      </c>
      <c r="F6" s="180" t="e">
        <f>IF(#REF!="","",#REF!)</f>
        <v>#REF!</v>
      </c>
      <c r="G6" s="180" t="e">
        <f>IF(#REF!="","",#REF!)</f>
        <v>#REF!</v>
      </c>
      <c r="H6" s="180" t="e">
        <f>IF(#REF!="","",#REF!)</f>
        <v>#REF!</v>
      </c>
      <c r="I6" s="180" t="e">
        <f>IF(#REF!="","",#REF!)</f>
        <v>#REF!</v>
      </c>
      <c r="J6" s="180" t="e">
        <f>IF(#REF!="","",#REF!)</f>
        <v>#REF!</v>
      </c>
      <c r="K6" s="180" t="e">
        <f>IF(#REF!="","",#REF!)</f>
        <v>#REF!</v>
      </c>
      <c r="L6" s="180" t="e">
        <f>IF(#REF!="","",#REF!)</f>
        <v>#REF!</v>
      </c>
      <c r="M6" s="180" t="e">
        <f>IF(#REF!="","",#REF!)</f>
        <v>#REF!</v>
      </c>
      <c r="N6" t="e">
        <f>IF(#REF!="","",#REF!)</f>
        <v>#REF!</v>
      </c>
      <c r="O6" t="e">
        <f>IF(#REF!="","",#REF!)</f>
        <v>#REF!</v>
      </c>
      <c r="P6" t="e">
        <f>IF(#REF!="","",#REF!)</f>
        <v>#REF!</v>
      </c>
      <c r="Q6" t="e">
        <f>IF(#REF!="","",#REF!)</f>
        <v>#REF!</v>
      </c>
      <c r="R6" t="e">
        <f>IF(#REF!="","",#REF!)</f>
        <v>#REF!</v>
      </c>
      <c r="S6" t="e">
        <f>IF(#REF!="","",#REF!)</f>
        <v>#REF!</v>
      </c>
    </row>
    <row r="7" spans="1:19" ht="12.75" customHeight="1" x14ac:dyDescent="0.25">
      <c r="A7" s="180" t="e">
        <f>IF(#REF!="","",#REF!)</f>
        <v>#REF!</v>
      </c>
      <c r="B7" s="180" t="e">
        <f>IF(#REF!="","",#REF!)</f>
        <v>#REF!</v>
      </c>
      <c r="C7" s="180" t="e">
        <f>IF(#REF!="","",#REF!)</f>
        <v>#REF!</v>
      </c>
      <c r="D7" s="180" t="e">
        <f>IF(#REF!="","",#REF!)</f>
        <v>#REF!</v>
      </c>
      <c r="E7" s="180" t="e">
        <f>IF(#REF!="","",#REF!)</f>
        <v>#REF!</v>
      </c>
      <c r="F7" s="180" t="e">
        <f>IF(#REF!="","",#REF!)</f>
        <v>#REF!</v>
      </c>
      <c r="G7" s="180" t="e">
        <f>IF(#REF!="","",#REF!)</f>
        <v>#REF!</v>
      </c>
      <c r="H7" s="180" t="e">
        <f>IF(#REF!="","",#REF!)</f>
        <v>#REF!</v>
      </c>
      <c r="I7" s="180" t="e">
        <f>IF(#REF!="","",#REF!)</f>
        <v>#REF!</v>
      </c>
      <c r="J7" s="180" t="e">
        <f>IF(#REF!="","",#REF!)</f>
        <v>#REF!</v>
      </c>
      <c r="K7" s="180" t="e">
        <f>IF(#REF!="","",#REF!)</f>
        <v>#REF!</v>
      </c>
      <c r="L7" s="180" t="e">
        <f>IF(#REF!="","",#REF!)</f>
        <v>#REF!</v>
      </c>
      <c r="M7" s="180" t="e">
        <f>IF(#REF!="","",#REF!)</f>
        <v>#REF!</v>
      </c>
      <c r="N7" t="e">
        <f>IF(#REF!="","",#REF!)</f>
        <v>#REF!</v>
      </c>
      <c r="O7" t="e">
        <f>IF(#REF!="","",#REF!)</f>
        <v>#REF!</v>
      </c>
      <c r="P7" t="e">
        <f>IF(#REF!="","",#REF!)</f>
        <v>#REF!</v>
      </c>
      <c r="Q7" t="e">
        <f>IF(#REF!="","",#REF!)</f>
        <v>#REF!</v>
      </c>
      <c r="R7" t="e">
        <f>IF(#REF!="","",#REF!)</f>
        <v>#REF!</v>
      </c>
      <c r="S7" t="e">
        <f>IF(#REF!="","",#REF!)</f>
        <v>#REF!</v>
      </c>
    </row>
    <row r="8" spans="1:19" ht="12.75" customHeight="1" x14ac:dyDescent="0.25">
      <c r="A8" s="180" t="e">
        <f>IF(#REF!="","",#REF!)</f>
        <v>#REF!</v>
      </c>
      <c r="B8" s="180" t="e">
        <f>IF(#REF!="","",#REF!)</f>
        <v>#REF!</v>
      </c>
      <c r="C8" s="180" t="e">
        <f>IF(#REF!="","",#REF!)</f>
        <v>#REF!</v>
      </c>
      <c r="D8" s="180" t="e">
        <f>IF(#REF!="","",#REF!)</f>
        <v>#REF!</v>
      </c>
      <c r="E8" s="180" t="e">
        <f>IF(#REF!="","",#REF!)</f>
        <v>#REF!</v>
      </c>
      <c r="F8" s="180" t="e">
        <f>IF(#REF!="","",#REF!)</f>
        <v>#REF!</v>
      </c>
      <c r="G8" s="180" t="e">
        <f>IF(#REF!="","",#REF!)</f>
        <v>#REF!</v>
      </c>
      <c r="H8" s="179" t="e">
        <f>IF(#REF!="","",#REF!)</f>
        <v>#REF!</v>
      </c>
      <c r="I8" s="180" t="e">
        <f>IF(#REF!="","",#REF!)</f>
        <v>#REF!</v>
      </c>
      <c r="J8" s="180" t="e">
        <f>IF(#REF!="","",#REF!)</f>
        <v>#REF!</v>
      </c>
      <c r="K8" s="180" t="e">
        <f>IF(#REF!="","",#REF!)</f>
        <v>#REF!</v>
      </c>
      <c r="L8" s="180" t="e">
        <f>IF(#REF!="","",#REF!)</f>
        <v>#REF!</v>
      </c>
      <c r="M8" s="180" t="e">
        <f>IF(#REF!="","",#REF!)</f>
        <v>#REF!</v>
      </c>
      <c r="N8" t="e">
        <f>IF(#REF!="","",#REF!)</f>
        <v>#REF!</v>
      </c>
      <c r="O8" t="e">
        <f>IF(#REF!="","",#REF!)</f>
        <v>#REF!</v>
      </c>
      <c r="P8" t="e">
        <f>IF(#REF!="","",#REF!)</f>
        <v>#REF!</v>
      </c>
      <c r="Q8" t="e">
        <f>IF(#REF!="","",#REF!)</f>
        <v>#REF!</v>
      </c>
      <c r="R8" t="e">
        <f>IF(#REF!="","",#REF!)</f>
        <v>#REF!</v>
      </c>
      <c r="S8" t="e">
        <f>IF(#REF!="","",#REF!)</f>
        <v>#REF!</v>
      </c>
    </row>
    <row r="9" spans="1:19" ht="12.75" customHeight="1" x14ac:dyDescent="0.25">
      <c r="A9" s="180" t="e">
        <f>IF(#REF!="","",#REF!)</f>
        <v>#REF!</v>
      </c>
      <c r="B9" s="180" t="e">
        <f>IF(#REF!="","",#REF!)</f>
        <v>#REF!</v>
      </c>
      <c r="C9" s="180" t="e">
        <f>IF(#REF!="","",#REF!)</f>
        <v>#REF!</v>
      </c>
      <c r="D9" s="180" t="e">
        <f>IF(#REF!="","",#REF!)</f>
        <v>#REF!</v>
      </c>
      <c r="E9" s="180" t="e">
        <f>IF(#REF!="","",#REF!)</f>
        <v>#REF!</v>
      </c>
      <c r="F9" s="180" t="e">
        <f>IF(#REF!="","",#REF!)</f>
        <v>#REF!</v>
      </c>
      <c r="G9" s="180" t="e">
        <f>IF(#REF!="","",#REF!)</f>
        <v>#REF!</v>
      </c>
      <c r="H9" s="180" t="e">
        <f>IF(#REF!="","",#REF!)</f>
        <v>#REF!</v>
      </c>
      <c r="I9" s="180" t="e">
        <f>IF(#REF!="","",#REF!)</f>
        <v>#REF!</v>
      </c>
      <c r="J9" s="180" t="e">
        <f>IF(#REF!="","",#REF!)</f>
        <v>#REF!</v>
      </c>
      <c r="K9" s="180" t="e">
        <f>IF(#REF!="","",#REF!)</f>
        <v>#REF!</v>
      </c>
      <c r="L9" s="180" t="e">
        <f>IF(#REF!="","",#REF!)</f>
        <v>#REF!</v>
      </c>
      <c r="M9" s="180" t="e">
        <f>IF(#REF!="","",#REF!)</f>
        <v>#REF!</v>
      </c>
      <c r="N9" t="e">
        <f>IF(#REF!="","",#REF!)</f>
        <v>#REF!</v>
      </c>
      <c r="O9" t="e">
        <f>IF(#REF!="","",#REF!)</f>
        <v>#REF!</v>
      </c>
      <c r="P9" t="e">
        <f>IF(#REF!="","",#REF!)</f>
        <v>#REF!</v>
      </c>
      <c r="Q9" t="e">
        <f>IF(#REF!="","",#REF!)</f>
        <v>#REF!</v>
      </c>
      <c r="R9" t="e">
        <f>IF(#REF!="","",#REF!)</f>
        <v>#REF!</v>
      </c>
      <c r="S9" t="e">
        <f>IF(#REF!="","",#REF!)</f>
        <v>#REF!</v>
      </c>
    </row>
    <row r="10" spans="1:19" ht="12.75" customHeight="1" x14ac:dyDescent="0.25">
      <c r="A10" s="180" t="e">
        <f>IF(#REF!="","",#REF!)</f>
        <v>#REF!</v>
      </c>
      <c r="B10" s="180" t="e">
        <f>IF(#REF!="","",#REF!)</f>
        <v>#REF!</v>
      </c>
      <c r="C10" s="180" t="e">
        <f>IF(#REF!="","",#REF!)</f>
        <v>#REF!</v>
      </c>
      <c r="D10" s="180" t="e">
        <f>IF(#REF!="","",#REF!)</f>
        <v>#REF!</v>
      </c>
      <c r="E10" s="180" t="e">
        <f>IF(#REF!="","",#REF!)</f>
        <v>#REF!</v>
      </c>
      <c r="F10" s="179" t="e">
        <f>IF(#REF!="","",#REF!)</f>
        <v>#REF!</v>
      </c>
      <c r="G10" s="180" t="e">
        <f>IF(#REF!="","",#REF!)</f>
        <v>#REF!</v>
      </c>
      <c r="H10" s="179" t="e">
        <f>IF(#REF!="","",#REF!)</f>
        <v>#REF!</v>
      </c>
      <c r="I10" s="180" t="e">
        <f>IF(#REF!="","",#REF!)</f>
        <v>#REF!</v>
      </c>
      <c r="J10" s="180" t="e">
        <f>IF(#REF!="","",#REF!)</f>
        <v>#REF!</v>
      </c>
      <c r="K10" s="180" t="e">
        <f>IF(#REF!="","",#REF!)</f>
        <v>#REF!</v>
      </c>
      <c r="L10" s="180" t="e">
        <f>IF(#REF!="","",#REF!)</f>
        <v>#REF!</v>
      </c>
      <c r="M10" s="180" t="e">
        <f>IF(#REF!="","",#REF!)</f>
        <v>#REF!</v>
      </c>
      <c r="N10" t="e">
        <f>IF(#REF!="","",#REF!)</f>
        <v>#REF!</v>
      </c>
      <c r="O10" t="e">
        <f>IF(#REF!="","",#REF!)</f>
        <v>#REF!</v>
      </c>
      <c r="P10" t="e">
        <f>IF(#REF!="","",#REF!)</f>
        <v>#REF!</v>
      </c>
      <c r="Q10" t="e">
        <f>IF(#REF!="","",#REF!)</f>
        <v>#REF!</v>
      </c>
      <c r="R10" t="e">
        <f>IF(#REF!="","",#REF!)</f>
        <v>#REF!</v>
      </c>
      <c r="S10" t="e">
        <f>IF(#REF!="","",#REF!)</f>
        <v>#REF!</v>
      </c>
    </row>
    <row r="11" spans="1:19" ht="12.75" customHeight="1" x14ac:dyDescent="0.25">
      <c r="A11" s="180" t="e">
        <f>IF(#REF!="","",#REF!)</f>
        <v>#REF!</v>
      </c>
      <c r="B11" s="180" t="e">
        <f>IF(#REF!="","",#REF!)</f>
        <v>#REF!</v>
      </c>
      <c r="C11" s="180" t="e">
        <f>IF(#REF!="","",#REF!)</f>
        <v>#REF!</v>
      </c>
      <c r="D11" s="180" t="e">
        <f>IF(#REF!="","",#REF!)</f>
        <v>#REF!</v>
      </c>
      <c r="E11" s="180" t="e">
        <f>IF(#REF!="","",#REF!)</f>
        <v>#REF!</v>
      </c>
      <c r="F11" s="180" t="e">
        <f>IF(#REF!="","",#REF!)</f>
        <v>#REF!</v>
      </c>
      <c r="G11" s="180" t="e">
        <f>IF(#REF!="","",#REF!)</f>
        <v>#REF!</v>
      </c>
      <c r="H11" s="180" t="e">
        <f>IF(#REF!="","",#REF!)</f>
        <v>#REF!</v>
      </c>
      <c r="I11" s="180" t="e">
        <f>IF(#REF!="","",#REF!)</f>
        <v>#REF!</v>
      </c>
      <c r="J11" s="180" t="e">
        <f>IF(#REF!="","",#REF!)</f>
        <v>#REF!</v>
      </c>
      <c r="K11" s="180" t="e">
        <f>IF(#REF!="","",#REF!)</f>
        <v>#REF!</v>
      </c>
      <c r="L11" s="180" t="e">
        <f>IF(#REF!="","",#REF!)</f>
        <v>#REF!</v>
      </c>
      <c r="M11" s="180" t="e">
        <f>IF(#REF!="","",#REF!)</f>
        <v>#REF!</v>
      </c>
      <c r="N11" t="e">
        <f>IF(#REF!="","",#REF!)</f>
        <v>#REF!</v>
      </c>
      <c r="O11" t="e">
        <f>IF(#REF!="","",#REF!)</f>
        <v>#REF!</v>
      </c>
      <c r="P11" t="e">
        <f>IF(#REF!="","",#REF!)</f>
        <v>#REF!</v>
      </c>
      <c r="Q11" t="e">
        <f>IF(#REF!="","",#REF!)</f>
        <v>#REF!</v>
      </c>
      <c r="R11" t="e">
        <f>IF(#REF!="","",#REF!)</f>
        <v>#REF!</v>
      </c>
      <c r="S11" t="e">
        <f>IF(#REF!="","",#REF!)</f>
        <v>#REF!</v>
      </c>
    </row>
    <row r="12" spans="1:19" ht="12.75" customHeight="1" x14ac:dyDescent="0.25">
      <c r="A12" s="180" t="e">
        <f>IF(#REF!="","",#REF!)</f>
        <v>#REF!</v>
      </c>
      <c r="B12" s="180" t="e">
        <f>IF(#REF!="","",#REF!)</f>
        <v>#REF!</v>
      </c>
      <c r="C12" s="180" t="e">
        <f>IF(#REF!="","",#REF!)</f>
        <v>#REF!</v>
      </c>
      <c r="D12" s="180" t="e">
        <f>IF(#REF!="","",#REF!)</f>
        <v>#REF!</v>
      </c>
      <c r="E12" s="180" t="e">
        <f>IF(#REF!="","",#REF!)</f>
        <v>#REF!</v>
      </c>
      <c r="F12" s="180" t="e">
        <f>IF(#REF!="","",#REF!)</f>
        <v>#REF!</v>
      </c>
      <c r="G12" s="180" t="e">
        <f>IF(#REF!="","",#REF!)</f>
        <v>#REF!</v>
      </c>
      <c r="H12" s="180" t="e">
        <f>IF(#REF!="","",#REF!)</f>
        <v>#REF!</v>
      </c>
      <c r="I12" s="180" t="e">
        <f>IF(#REF!="","",#REF!)</f>
        <v>#REF!</v>
      </c>
      <c r="J12" s="180" t="e">
        <f>IF(#REF!="","",#REF!)</f>
        <v>#REF!</v>
      </c>
      <c r="K12" s="180" t="e">
        <f>IF(#REF!="","",#REF!)</f>
        <v>#REF!</v>
      </c>
      <c r="L12" s="180" t="e">
        <f>IF(#REF!="","",#REF!)</f>
        <v>#REF!</v>
      </c>
      <c r="M12" s="180" t="e">
        <f>IF(#REF!="","",#REF!)</f>
        <v>#REF!</v>
      </c>
      <c r="N12" t="e">
        <f>IF(#REF!="","",#REF!)</f>
        <v>#REF!</v>
      </c>
      <c r="O12" t="e">
        <f>IF(#REF!="","",#REF!)</f>
        <v>#REF!</v>
      </c>
      <c r="P12" t="e">
        <f>IF(#REF!="","",#REF!)</f>
        <v>#REF!</v>
      </c>
      <c r="Q12" t="e">
        <f>IF(#REF!="","",#REF!)</f>
        <v>#REF!</v>
      </c>
      <c r="R12" t="e">
        <f>IF(#REF!="","",#REF!)</f>
        <v>#REF!</v>
      </c>
      <c r="S12" t="e">
        <f>IF(#REF!="","",#REF!)</f>
        <v>#REF!</v>
      </c>
    </row>
    <row r="13" spans="1:19" ht="12.75" customHeight="1" x14ac:dyDescent="0.25">
      <c r="A13" s="180" t="e">
        <f>IF(#REF!="","",#REF!)</f>
        <v>#REF!</v>
      </c>
      <c r="B13" s="180" t="e">
        <f>IF(#REF!="","",#REF!)</f>
        <v>#REF!</v>
      </c>
      <c r="C13" s="180" t="e">
        <f>IF(#REF!="","",#REF!)</f>
        <v>#REF!</v>
      </c>
      <c r="D13" s="180" t="e">
        <f>IF(#REF!="","",#REF!)</f>
        <v>#REF!</v>
      </c>
      <c r="E13" s="180" t="e">
        <f>IF(#REF!="","",#REF!)</f>
        <v>#REF!</v>
      </c>
      <c r="F13" s="180" t="e">
        <f>IF(#REF!="","",#REF!)</f>
        <v>#REF!</v>
      </c>
      <c r="G13" s="180" t="e">
        <f>IF(#REF!="","",#REF!)</f>
        <v>#REF!</v>
      </c>
      <c r="H13" s="180" t="e">
        <f>IF(#REF!="","",#REF!)</f>
        <v>#REF!</v>
      </c>
      <c r="I13" s="180" t="e">
        <f>IF(#REF!="","",#REF!)</f>
        <v>#REF!</v>
      </c>
      <c r="J13" s="180" t="e">
        <f>IF(#REF!="","",#REF!)</f>
        <v>#REF!</v>
      </c>
      <c r="K13" s="180" t="e">
        <f>IF(#REF!="","",#REF!)</f>
        <v>#REF!</v>
      </c>
      <c r="L13" s="180" t="e">
        <f>IF(#REF!="","",#REF!)</f>
        <v>#REF!</v>
      </c>
      <c r="M13" s="179" t="e">
        <f>IF(#REF!="","",#REF!)</f>
        <v>#REF!</v>
      </c>
      <c r="N13" t="e">
        <f>IF(#REF!="","",#REF!)</f>
        <v>#REF!</v>
      </c>
      <c r="O13" t="e">
        <f>IF(#REF!="","",#REF!)</f>
        <v>#REF!</v>
      </c>
      <c r="P13" t="e">
        <f>IF(#REF!="","",#REF!)</f>
        <v>#REF!</v>
      </c>
      <c r="Q13" t="e">
        <f>IF(#REF!="","",#REF!)</f>
        <v>#REF!</v>
      </c>
      <c r="R13" t="e">
        <f>IF(#REF!="","",#REF!)</f>
        <v>#REF!</v>
      </c>
      <c r="S13" t="e">
        <f>IF(#REF!="","",#REF!)</f>
        <v>#REF!</v>
      </c>
    </row>
    <row r="14" spans="1:19" ht="12.75" customHeight="1" x14ac:dyDescent="0.25">
      <c r="A14" s="180" t="e">
        <f>IF(#REF!="","",#REF!)</f>
        <v>#REF!</v>
      </c>
      <c r="B14" s="180" t="e">
        <f>IF(#REF!="","",#REF!)</f>
        <v>#REF!</v>
      </c>
      <c r="C14" s="180" t="e">
        <f>IF(#REF!="","",#REF!)</f>
        <v>#REF!</v>
      </c>
      <c r="D14" s="180" t="e">
        <f>IF(#REF!="","",#REF!)</f>
        <v>#REF!</v>
      </c>
      <c r="E14" s="180" t="e">
        <f>IF(#REF!="","",#REF!)</f>
        <v>#REF!</v>
      </c>
      <c r="F14" s="180" t="e">
        <f>IF(#REF!="","",#REF!)</f>
        <v>#REF!</v>
      </c>
      <c r="G14" s="180" t="e">
        <f>IF(#REF!="","",#REF!)</f>
        <v>#REF!</v>
      </c>
      <c r="H14" s="180" t="e">
        <f>IF(#REF!="","",#REF!)</f>
        <v>#REF!</v>
      </c>
      <c r="I14" s="180" t="e">
        <f>IF(#REF!="","",#REF!)</f>
        <v>#REF!</v>
      </c>
      <c r="J14" s="180" t="e">
        <f>IF(#REF!="","",#REF!)</f>
        <v>#REF!</v>
      </c>
      <c r="K14" s="180" t="e">
        <f>IF(#REF!="","",#REF!)</f>
        <v>#REF!</v>
      </c>
      <c r="L14" s="180" t="e">
        <f>IF(#REF!="","",#REF!)</f>
        <v>#REF!</v>
      </c>
      <c r="M14" s="180" t="e">
        <f>IF(#REF!="","",#REF!)</f>
        <v>#REF!</v>
      </c>
      <c r="N14" t="e">
        <f>IF(#REF!="","",#REF!)</f>
        <v>#REF!</v>
      </c>
      <c r="O14" t="e">
        <f>IF(#REF!="","",#REF!)</f>
        <v>#REF!</v>
      </c>
      <c r="P14" t="e">
        <f>IF(#REF!="","",#REF!)</f>
        <v>#REF!</v>
      </c>
      <c r="Q14" t="e">
        <f>IF(#REF!="","",#REF!)</f>
        <v>#REF!</v>
      </c>
      <c r="R14" t="e">
        <f>IF(#REF!="","",#REF!)</f>
        <v>#REF!</v>
      </c>
      <c r="S14" t="e">
        <f>IF(#REF!="","",#REF!)</f>
        <v>#REF!</v>
      </c>
    </row>
    <row r="15" spans="1:19" ht="12.75" customHeight="1" x14ac:dyDescent="0.25">
      <c r="A15" s="180" t="e">
        <f>IF(#REF!="","",#REF!)</f>
        <v>#REF!</v>
      </c>
      <c r="B15" s="180" t="e">
        <f>IF(#REF!="","",#REF!)</f>
        <v>#REF!</v>
      </c>
      <c r="C15" s="180" t="e">
        <f>IF(#REF!="","",#REF!)</f>
        <v>#REF!</v>
      </c>
      <c r="D15" s="180" t="e">
        <f>IF(#REF!="","",#REF!)</f>
        <v>#REF!</v>
      </c>
      <c r="E15" s="180" t="e">
        <f>IF(#REF!="","",#REF!)</f>
        <v>#REF!</v>
      </c>
      <c r="F15" s="180" t="e">
        <f>IF(#REF!="","",#REF!)</f>
        <v>#REF!</v>
      </c>
      <c r="G15" s="180" t="e">
        <f>IF(#REF!="","",#REF!)</f>
        <v>#REF!</v>
      </c>
      <c r="H15" s="180" t="e">
        <f>IF(#REF!="","",#REF!)</f>
        <v>#REF!</v>
      </c>
      <c r="I15" s="180" t="e">
        <f>IF(#REF!="","",#REF!)</f>
        <v>#REF!</v>
      </c>
      <c r="J15" s="180" t="e">
        <f>IF(#REF!="","",#REF!)</f>
        <v>#REF!</v>
      </c>
      <c r="K15" s="180" t="e">
        <f>IF(#REF!="","",#REF!)</f>
        <v>#REF!</v>
      </c>
      <c r="L15" s="180" t="e">
        <f>IF(#REF!="","",#REF!)</f>
        <v>#REF!</v>
      </c>
      <c r="M15" s="180" t="e">
        <f>IF(#REF!="","",#REF!)</f>
        <v>#REF!</v>
      </c>
      <c r="N15" t="e">
        <f>IF(#REF!="","",#REF!)</f>
        <v>#REF!</v>
      </c>
      <c r="O15" t="e">
        <f>IF(#REF!="","",#REF!)</f>
        <v>#REF!</v>
      </c>
      <c r="P15" t="e">
        <f>IF(#REF!="","",#REF!)</f>
        <v>#REF!</v>
      </c>
      <c r="Q15" t="e">
        <f>IF(#REF!="","",#REF!)</f>
        <v>#REF!</v>
      </c>
      <c r="R15" t="e">
        <f>IF(#REF!="","",#REF!)</f>
        <v>#REF!</v>
      </c>
      <c r="S15" t="e">
        <f>IF(#REF!="","",#REF!)</f>
        <v>#REF!</v>
      </c>
    </row>
    <row r="16" spans="1:19" ht="12.75" customHeight="1" x14ac:dyDescent="0.25">
      <c r="A16" s="180" t="e">
        <f>IF(#REF!="","",#REF!)</f>
        <v>#REF!</v>
      </c>
      <c r="B16" s="180" t="e">
        <f>IF(#REF!="","",#REF!)</f>
        <v>#REF!</v>
      </c>
      <c r="C16" s="180" t="e">
        <f>IF(#REF!="","",#REF!)</f>
        <v>#REF!</v>
      </c>
      <c r="D16" s="180" t="e">
        <f>IF(#REF!="","",#REF!)</f>
        <v>#REF!</v>
      </c>
      <c r="E16" s="180" t="e">
        <f>IF(#REF!="","",#REF!)</f>
        <v>#REF!</v>
      </c>
      <c r="F16" s="180" t="e">
        <f>IF(#REF!="","",#REF!)</f>
        <v>#REF!</v>
      </c>
      <c r="G16" s="180" t="e">
        <f>IF(#REF!="","",#REF!)</f>
        <v>#REF!</v>
      </c>
      <c r="H16" s="180" t="e">
        <f>IF(#REF!="","",#REF!)</f>
        <v>#REF!</v>
      </c>
      <c r="I16" s="180" t="e">
        <f>IF(#REF!="","",#REF!)</f>
        <v>#REF!</v>
      </c>
      <c r="J16" s="180" t="e">
        <f>IF(#REF!="","",#REF!)</f>
        <v>#REF!</v>
      </c>
      <c r="K16" s="180" t="e">
        <f>IF(#REF!="","",#REF!)</f>
        <v>#REF!</v>
      </c>
      <c r="L16" s="180" t="e">
        <f>IF(#REF!="","",#REF!)</f>
        <v>#REF!</v>
      </c>
      <c r="M16" s="180" t="e">
        <f>IF(#REF!="","",#REF!)</f>
        <v>#REF!</v>
      </c>
      <c r="N16" t="e">
        <f>IF(#REF!="","",#REF!)</f>
        <v>#REF!</v>
      </c>
      <c r="O16" t="e">
        <f>IF(#REF!="","",#REF!)</f>
        <v>#REF!</v>
      </c>
      <c r="P16" t="e">
        <f>IF(#REF!="","",#REF!)</f>
        <v>#REF!</v>
      </c>
      <c r="Q16" t="e">
        <f>IF(#REF!="","",#REF!)</f>
        <v>#REF!</v>
      </c>
      <c r="R16" t="e">
        <f>IF(#REF!="","",#REF!)</f>
        <v>#REF!</v>
      </c>
      <c r="S16" t="e">
        <f>IF(#REF!="","",#REF!)</f>
        <v>#REF!</v>
      </c>
    </row>
    <row r="17" spans="1:19" ht="12.75" customHeight="1" x14ac:dyDescent="0.25">
      <c r="A17" s="180" t="e">
        <f>IF(#REF!="","",#REF!)</f>
        <v>#REF!</v>
      </c>
      <c r="B17" s="180" t="e">
        <f>IF(#REF!="","",#REF!)</f>
        <v>#REF!</v>
      </c>
      <c r="C17" s="180" t="e">
        <f>IF(#REF!="","",#REF!)</f>
        <v>#REF!</v>
      </c>
      <c r="D17" s="180" t="e">
        <f>IF(#REF!="","",#REF!)</f>
        <v>#REF!</v>
      </c>
      <c r="E17" s="180" t="e">
        <f>IF(#REF!="","",#REF!)</f>
        <v>#REF!</v>
      </c>
      <c r="F17" s="180" t="e">
        <f>IF(#REF!="","",#REF!)</f>
        <v>#REF!</v>
      </c>
      <c r="G17" s="180" t="e">
        <f>IF(#REF!="","",#REF!)</f>
        <v>#REF!</v>
      </c>
      <c r="H17" s="180" t="e">
        <f>IF(#REF!="","",#REF!)</f>
        <v>#REF!</v>
      </c>
      <c r="I17" s="180" t="e">
        <f>IF(#REF!="","",#REF!)</f>
        <v>#REF!</v>
      </c>
      <c r="J17" s="180" t="e">
        <f>IF(#REF!="","",#REF!)</f>
        <v>#REF!</v>
      </c>
      <c r="K17" s="180" t="e">
        <f>IF(#REF!="","",#REF!)</f>
        <v>#REF!</v>
      </c>
      <c r="L17" s="180" t="e">
        <f>IF(#REF!="","",#REF!)</f>
        <v>#REF!</v>
      </c>
      <c r="M17" s="180" t="e">
        <f>IF(#REF!="","",#REF!)</f>
        <v>#REF!</v>
      </c>
      <c r="N17" t="e">
        <f>IF(#REF!="","",#REF!)</f>
        <v>#REF!</v>
      </c>
      <c r="O17" t="e">
        <f>IF(#REF!="","",#REF!)</f>
        <v>#REF!</v>
      </c>
      <c r="P17" t="e">
        <f>IF(#REF!="","",#REF!)</f>
        <v>#REF!</v>
      </c>
      <c r="Q17" t="e">
        <f>IF(#REF!="","",#REF!)</f>
        <v>#REF!</v>
      </c>
      <c r="R17" t="e">
        <f>IF(#REF!="","",#REF!)</f>
        <v>#REF!</v>
      </c>
      <c r="S17" t="e">
        <f>IF(#REF!="","",#REF!)</f>
        <v>#REF!</v>
      </c>
    </row>
    <row r="18" spans="1:19" ht="12.75" customHeight="1" x14ac:dyDescent="0.25">
      <c r="A18" s="180" t="e">
        <f>IF(#REF!="","",#REF!)</f>
        <v>#REF!</v>
      </c>
      <c r="B18" s="180" t="e">
        <f>IF(#REF!="","",#REF!)</f>
        <v>#REF!</v>
      </c>
      <c r="C18" s="180" t="e">
        <f>IF(#REF!="","",#REF!)</f>
        <v>#REF!</v>
      </c>
      <c r="D18" s="180" t="e">
        <f>IF(#REF!="","",#REF!)</f>
        <v>#REF!</v>
      </c>
      <c r="E18" s="180" t="e">
        <f>IF(#REF!="","",#REF!)</f>
        <v>#REF!</v>
      </c>
      <c r="F18" s="180" t="e">
        <f>IF(#REF!="","",#REF!)</f>
        <v>#REF!</v>
      </c>
      <c r="G18" s="180" t="e">
        <f>IF(#REF!="","",#REF!)</f>
        <v>#REF!</v>
      </c>
      <c r="H18" s="180" t="e">
        <f>IF(#REF!="","",#REF!)</f>
        <v>#REF!</v>
      </c>
      <c r="I18" s="180" t="e">
        <f>IF(#REF!="","",#REF!)</f>
        <v>#REF!</v>
      </c>
      <c r="J18" s="180" t="e">
        <f>IF(#REF!="","",#REF!)</f>
        <v>#REF!</v>
      </c>
      <c r="K18" s="180" t="e">
        <f>IF(#REF!="","",#REF!)</f>
        <v>#REF!</v>
      </c>
      <c r="L18" s="180" t="e">
        <f>IF(#REF!="","",#REF!)</f>
        <v>#REF!</v>
      </c>
      <c r="M18" s="180" t="e">
        <f>IF(#REF!="","",#REF!)</f>
        <v>#REF!</v>
      </c>
      <c r="N18" t="e">
        <f>IF(#REF!="","",#REF!)</f>
        <v>#REF!</v>
      </c>
      <c r="O18" t="e">
        <f>IF(#REF!="","",#REF!)</f>
        <v>#REF!</v>
      </c>
      <c r="P18" t="e">
        <f>IF(#REF!="","",#REF!)</f>
        <v>#REF!</v>
      </c>
      <c r="Q18" t="e">
        <f>IF(#REF!="","",#REF!)</f>
        <v>#REF!</v>
      </c>
      <c r="R18" t="e">
        <f>IF(#REF!="","",#REF!)</f>
        <v>#REF!</v>
      </c>
      <c r="S18" t="e">
        <f>IF(#REF!="","",#REF!)</f>
        <v>#REF!</v>
      </c>
    </row>
    <row r="19" spans="1:19" ht="12.75" customHeight="1" x14ac:dyDescent="0.25">
      <c r="A19" s="180" t="e">
        <f>IF(#REF!="","",#REF!)</f>
        <v>#REF!</v>
      </c>
      <c r="B19" s="180" t="e">
        <f>IF(#REF!="","",#REF!)</f>
        <v>#REF!</v>
      </c>
      <c r="C19" s="180" t="e">
        <f>IF(#REF!="","",#REF!)</f>
        <v>#REF!</v>
      </c>
      <c r="D19" s="180" t="e">
        <f>IF(#REF!="","",#REF!)</f>
        <v>#REF!</v>
      </c>
      <c r="E19" s="180" t="e">
        <f>IF(#REF!="","",#REF!)</f>
        <v>#REF!</v>
      </c>
      <c r="F19" s="180" t="e">
        <f>IF(#REF!="","",#REF!)</f>
        <v>#REF!</v>
      </c>
      <c r="G19" s="180" t="e">
        <f>IF(#REF!="","",#REF!)</f>
        <v>#REF!</v>
      </c>
      <c r="H19" s="180" t="e">
        <f>IF(#REF!="","",#REF!)</f>
        <v>#REF!</v>
      </c>
      <c r="I19" s="180" t="e">
        <f>IF(#REF!="","",#REF!)</f>
        <v>#REF!</v>
      </c>
      <c r="J19" s="180" t="e">
        <f>IF(#REF!="","",#REF!)</f>
        <v>#REF!</v>
      </c>
      <c r="K19" s="180" t="e">
        <f>IF(#REF!="","",#REF!)</f>
        <v>#REF!</v>
      </c>
      <c r="L19" s="180" t="e">
        <f>IF(#REF!="","",#REF!)</f>
        <v>#REF!</v>
      </c>
      <c r="M19" s="180" t="e">
        <f>IF(#REF!="","",#REF!)</f>
        <v>#REF!</v>
      </c>
      <c r="N19" t="e">
        <f>IF(#REF!="","",#REF!)</f>
        <v>#REF!</v>
      </c>
      <c r="O19" t="e">
        <f>IF(#REF!="","",#REF!)</f>
        <v>#REF!</v>
      </c>
      <c r="P19" t="e">
        <f>IF(#REF!="","",#REF!)</f>
        <v>#REF!</v>
      </c>
      <c r="Q19" t="e">
        <f>IF(#REF!="","",#REF!)</f>
        <v>#REF!</v>
      </c>
      <c r="R19" t="e">
        <f>IF(#REF!="","",#REF!)</f>
        <v>#REF!</v>
      </c>
      <c r="S19" t="e">
        <f>IF(#REF!="","",#REF!)</f>
        <v>#REF!</v>
      </c>
    </row>
    <row r="20" spans="1:19" ht="12.75" customHeight="1" x14ac:dyDescent="0.25">
      <c r="A20" s="180" t="e">
        <f>IF(#REF!="","",#REF!)</f>
        <v>#REF!</v>
      </c>
      <c r="B20" s="180" t="e">
        <f>IF(#REF!="","",#REF!)</f>
        <v>#REF!</v>
      </c>
      <c r="C20" s="180" t="e">
        <f>IF(#REF!="","",#REF!)</f>
        <v>#REF!</v>
      </c>
      <c r="D20" s="180" t="e">
        <f>IF(#REF!="","",#REF!)</f>
        <v>#REF!</v>
      </c>
      <c r="E20" s="180" t="e">
        <f>IF(#REF!="","",#REF!)</f>
        <v>#REF!</v>
      </c>
      <c r="F20" s="180" t="e">
        <f>IF(#REF!="","",#REF!)</f>
        <v>#REF!</v>
      </c>
      <c r="G20" s="180" t="e">
        <f>IF(#REF!="","",#REF!)</f>
        <v>#REF!</v>
      </c>
      <c r="H20" s="180" t="e">
        <f>IF(#REF!="","",#REF!)</f>
        <v>#REF!</v>
      </c>
      <c r="I20" s="180" t="e">
        <f>IF(#REF!="","",#REF!)</f>
        <v>#REF!</v>
      </c>
      <c r="J20" s="180" t="e">
        <f>IF(#REF!="","",#REF!)</f>
        <v>#REF!</v>
      </c>
      <c r="K20" s="180" t="e">
        <f>IF(#REF!="","",#REF!)</f>
        <v>#REF!</v>
      </c>
      <c r="L20" s="180" t="e">
        <f>IF(#REF!="","",#REF!)</f>
        <v>#REF!</v>
      </c>
      <c r="M20" s="180" t="e">
        <f>IF(#REF!="","",#REF!)</f>
        <v>#REF!</v>
      </c>
      <c r="N20" t="e">
        <f>IF(#REF!="","",#REF!)</f>
        <v>#REF!</v>
      </c>
      <c r="O20" t="e">
        <f>IF(#REF!="","",#REF!)</f>
        <v>#REF!</v>
      </c>
      <c r="P20" t="e">
        <f>IF(#REF!="","",#REF!)</f>
        <v>#REF!</v>
      </c>
      <c r="Q20" t="e">
        <f>IF(#REF!="","",#REF!)</f>
        <v>#REF!</v>
      </c>
      <c r="R20" t="e">
        <f>IF(#REF!="","",#REF!)</f>
        <v>#REF!</v>
      </c>
      <c r="S20" t="e">
        <f>IF(#REF!="","",#REF!)</f>
        <v>#REF!</v>
      </c>
    </row>
    <row r="21" spans="1:19" ht="12.75" customHeight="1" x14ac:dyDescent="0.25">
      <c r="A21" s="180" t="e">
        <f>IF(#REF!="","",#REF!)</f>
        <v>#REF!</v>
      </c>
      <c r="B21" s="180" t="e">
        <f>IF(#REF!="","",#REF!)</f>
        <v>#REF!</v>
      </c>
      <c r="C21" s="180" t="e">
        <f>IF(#REF!="","",#REF!)</f>
        <v>#REF!</v>
      </c>
      <c r="D21" s="180" t="e">
        <f>IF(#REF!="","",#REF!)</f>
        <v>#REF!</v>
      </c>
      <c r="E21" s="180" t="e">
        <f>IF(#REF!="","",#REF!)</f>
        <v>#REF!</v>
      </c>
      <c r="F21" s="180" t="e">
        <f>IF(#REF!="","",#REF!)</f>
        <v>#REF!</v>
      </c>
      <c r="G21" s="180" t="e">
        <f>IF(#REF!="","",#REF!)</f>
        <v>#REF!</v>
      </c>
      <c r="H21" s="180" t="e">
        <f>IF(#REF!="","",#REF!)</f>
        <v>#REF!</v>
      </c>
      <c r="I21" s="180" t="e">
        <f>IF(#REF!="","",#REF!)</f>
        <v>#REF!</v>
      </c>
      <c r="J21" s="180" t="e">
        <f>IF(#REF!="","",#REF!)</f>
        <v>#REF!</v>
      </c>
      <c r="K21" s="180" t="e">
        <f>IF(#REF!="","",#REF!)</f>
        <v>#REF!</v>
      </c>
      <c r="L21" s="180" t="e">
        <f>IF(#REF!="","",#REF!)</f>
        <v>#REF!</v>
      </c>
      <c r="M21" s="180" t="e">
        <f>IF(#REF!="","",#REF!)</f>
        <v>#REF!</v>
      </c>
      <c r="N21" t="e">
        <f>IF(#REF!="","",#REF!)</f>
        <v>#REF!</v>
      </c>
      <c r="O21" t="e">
        <f>IF(#REF!="","",#REF!)</f>
        <v>#REF!</v>
      </c>
      <c r="P21" t="e">
        <f>IF(#REF!="","",#REF!)</f>
        <v>#REF!</v>
      </c>
      <c r="Q21" t="e">
        <f>IF(#REF!="","",#REF!)</f>
        <v>#REF!</v>
      </c>
      <c r="R21" t="e">
        <f>IF(#REF!="","",#REF!)</f>
        <v>#REF!</v>
      </c>
      <c r="S21" t="e">
        <f>IF(#REF!="","",#REF!)</f>
        <v>#REF!</v>
      </c>
    </row>
    <row r="22" spans="1:19" ht="12.75" customHeight="1" x14ac:dyDescent="0.25">
      <c r="A22" s="180" t="e">
        <f>IF(#REF!="","",#REF!)</f>
        <v>#REF!</v>
      </c>
      <c r="B22" s="180" t="e">
        <f>IF(#REF!="","",#REF!)</f>
        <v>#REF!</v>
      </c>
      <c r="C22" s="180" t="e">
        <f>IF(#REF!="","",#REF!)</f>
        <v>#REF!</v>
      </c>
      <c r="D22" s="180" t="e">
        <f>IF(#REF!="","",#REF!)</f>
        <v>#REF!</v>
      </c>
      <c r="E22" s="180" t="e">
        <f>IF(#REF!="","",#REF!)</f>
        <v>#REF!</v>
      </c>
      <c r="F22" s="180" t="e">
        <f>IF(#REF!="","",#REF!)</f>
        <v>#REF!</v>
      </c>
      <c r="G22" s="180" t="e">
        <f>IF(#REF!="","",#REF!)</f>
        <v>#REF!</v>
      </c>
      <c r="H22" s="180" t="e">
        <f>IF(#REF!="","",#REF!)</f>
        <v>#REF!</v>
      </c>
      <c r="I22" s="180" t="e">
        <f>IF(#REF!="","",#REF!)</f>
        <v>#REF!</v>
      </c>
      <c r="J22" s="180" t="e">
        <f>IF(#REF!="","",#REF!)</f>
        <v>#REF!</v>
      </c>
      <c r="K22" s="180" t="e">
        <f>IF(#REF!="","",#REF!)</f>
        <v>#REF!</v>
      </c>
      <c r="L22" s="180" t="e">
        <f>IF(#REF!="","",#REF!)</f>
        <v>#REF!</v>
      </c>
      <c r="M22" s="180" t="e">
        <f>IF(#REF!="","",#REF!)</f>
        <v>#REF!</v>
      </c>
      <c r="N22" t="e">
        <f>IF(#REF!="","",#REF!)</f>
        <v>#REF!</v>
      </c>
      <c r="O22" t="e">
        <f>IF(#REF!="","",#REF!)</f>
        <v>#REF!</v>
      </c>
      <c r="P22" t="e">
        <f>IF(#REF!="","",#REF!)</f>
        <v>#REF!</v>
      </c>
      <c r="Q22" t="e">
        <f>IF(#REF!="","",#REF!)</f>
        <v>#REF!</v>
      </c>
      <c r="R22" t="e">
        <f>IF(#REF!="","",#REF!)</f>
        <v>#REF!</v>
      </c>
      <c r="S22" t="e">
        <f>IF(#REF!="","",#REF!)</f>
        <v>#REF!</v>
      </c>
    </row>
    <row r="23" spans="1:19" ht="12.75" customHeight="1" x14ac:dyDescent="0.25">
      <c r="A23" s="180" t="e">
        <f>IF(#REF!="","",#REF!)</f>
        <v>#REF!</v>
      </c>
      <c r="B23" s="180" t="e">
        <f>IF(#REF!="","",#REF!)</f>
        <v>#REF!</v>
      </c>
      <c r="C23" s="180" t="e">
        <f>IF(#REF!="","",#REF!)</f>
        <v>#REF!</v>
      </c>
      <c r="D23" s="180" t="e">
        <f>IF(#REF!="","",#REF!)</f>
        <v>#REF!</v>
      </c>
      <c r="E23" s="180" t="e">
        <f>IF(#REF!="","",#REF!)</f>
        <v>#REF!</v>
      </c>
      <c r="F23" s="180" t="e">
        <f>IF(#REF!="","",#REF!)</f>
        <v>#REF!</v>
      </c>
      <c r="G23" s="180" t="e">
        <f>IF(#REF!="","",#REF!)</f>
        <v>#REF!</v>
      </c>
      <c r="H23" s="180" t="e">
        <f>IF(#REF!="","",#REF!)</f>
        <v>#REF!</v>
      </c>
      <c r="I23" s="180" t="e">
        <f>IF(#REF!="","",#REF!)</f>
        <v>#REF!</v>
      </c>
      <c r="J23" s="180" t="e">
        <f>IF(#REF!="","",#REF!)</f>
        <v>#REF!</v>
      </c>
      <c r="K23" s="180" t="e">
        <f>IF(#REF!="","",#REF!)</f>
        <v>#REF!</v>
      </c>
      <c r="L23" s="180" t="e">
        <f>IF(#REF!="","",#REF!)</f>
        <v>#REF!</v>
      </c>
      <c r="M23" s="180" t="e">
        <f>IF(#REF!="","",#REF!)</f>
        <v>#REF!</v>
      </c>
      <c r="N23" t="e">
        <f>IF(#REF!="","",#REF!)</f>
        <v>#REF!</v>
      </c>
      <c r="O23" t="e">
        <f>IF(#REF!="","",#REF!)</f>
        <v>#REF!</v>
      </c>
      <c r="P23" t="e">
        <f>IF(#REF!="","",#REF!)</f>
        <v>#REF!</v>
      </c>
      <c r="Q23" t="e">
        <f>IF(#REF!="","",#REF!)</f>
        <v>#REF!</v>
      </c>
      <c r="R23" t="e">
        <f>IF(#REF!="","",#REF!)</f>
        <v>#REF!</v>
      </c>
      <c r="S23" t="e">
        <f>IF(#REF!="","",#REF!)</f>
        <v>#REF!</v>
      </c>
    </row>
    <row r="24" spans="1:19" ht="12.75" customHeight="1" x14ac:dyDescent="0.25">
      <c r="A24" s="180" t="e">
        <f>IF(#REF!="","",#REF!)</f>
        <v>#REF!</v>
      </c>
      <c r="B24" s="180" t="e">
        <f>IF(#REF!="","",#REF!)</f>
        <v>#REF!</v>
      </c>
      <c r="C24" s="180" t="e">
        <f>IF(#REF!="","",#REF!)</f>
        <v>#REF!</v>
      </c>
      <c r="D24" s="180" t="e">
        <f>IF(#REF!="","",#REF!)</f>
        <v>#REF!</v>
      </c>
      <c r="E24" s="180" t="e">
        <f>IF(#REF!="","",#REF!)</f>
        <v>#REF!</v>
      </c>
      <c r="F24" s="180" t="e">
        <f>IF(#REF!="","",#REF!)</f>
        <v>#REF!</v>
      </c>
      <c r="G24" s="180" t="e">
        <f>IF(#REF!="","",#REF!)</f>
        <v>#REF!</v>
      </c>
      <c r="H24" s="180" t="e">
        <f>IF(#REF!="","",#REF!)</f>
        <v>#REF!</v>
      </c>
      <c r="I24" s="180" t="e">
        <f>IF(#REF!="","",#REF!)</f>
        <v>#REF!</v>
      </c>
      <c r="J24" s="180" t="e">
        <f>IF(#REF!="","",#REF!)</f>
        <v>#REF!</v>
      </c>
      <c r="K24" s="180" t="e">
        <f>IF(#REF!="","",#REF!)</f>
        <v>#REF!</v>
      </c>
      <c r="L24" s="180" t="e">
        <f>IF(#REF!="","",#REF!)</f>
        <v>#REF!</v>
      </c>
      <c r="M24" s="180" t="e">
        <f>IF(#REF!="","",#REF!)</f>
        <v>#REF!</v>
      </c>
      <c r="N24" t="e">
        <f>IF(#REF!="","",#REF!)</f>
        <v>#REF!</v>
      </c>
      <c r="O24" t="e">
        <f>IF(#REF!="","",#REF!)</f>
        <v>#REF!</v>
      </c>
      <c r="P24" t="e">
        <f>IF(#REF!="","",#REF!)</f>
        <v>#REF!</v>
      </c>
      <c r="Q24" t="e">
        <f>IF(#REF!="","",#REF!)</f>
        <v>#REF!</v>
      </c>
      <c r="R24" t="e">
        <f>IF(#REF!="","",#REF!)</f>
        <v>#REF!</v>
      </c>
      <c r="S24" t="e">
        <f>IF(#REF!="","",#REF!)</f>
        <v>#REF!</v>
      </c>
    </row>
    <row r="25" spans="1:19" ht="12.75" customHeight="1" x14ac:dyDescent="0.25">
      <c r="A25" s="180" t="e">
        <f>IF(#REF!="","",#REF!)</f>
        <v>#REF!</v>
      </c>
      <c r="B25" s="180" t="e">
        <f>IF(#REF!="","",#REF!)</f>
        <v>#REF!</v>
      </c>
      <c r="C25" s="180" t="e">
        <f>IF(#REF!="","",#REF!)</f>
        <v>#REF!</v>
      </c>
      <c r="D25" s="179" t="e">
        <f>IF(#REF!="","",#REF!)</f>
        <v>#REF!</v>
      </c>
      <c r="E25" s="180" t="e">
        <f>IF(#REF!="","",#REF!)</f>
        <v>#REF!</v>
      </c>
      <c r="F25" s="180" t="e">
        <f>IF(#REF!="","",#REF!)</f>
        <v>#REF!</v>
      </c>
      <c r="G25" s="180" t="e">
        <f>IF(#REF!="","",#REF!)</f>
        <v>#REF!</v>
      </c>
      <c r="H25" s="180" t="e">
        <f>IF(#REF!="","",#REF!)</f>
        <v>#REF!</v>
      </c>
      <c r="I25" s="180" t="e">
        <f>IF(#REF!="","",#REF!)</f>
        <v>#REF!</v>
      </c>
      <c r="J25" s="180" t="e">
        <f>IF(#REF!="","",#REF!)</f>
        <v>#REF!</v>
      </c>
      <c r="K25" s="180" t="e">
        <f>IF(#REF!="","",#REF!)</f>
        <v>#REF!</v>
      </c>
      <c r="L25" s="180" t="e">
        <f>IF(#REF!="","",#REF!)</f>
        <v>#REF!</v>
      </c>
      <c r="M25" s="180" t="e">
        <f>IF(#REF!="","",#REF!)</f>
        <v>#REF!</v>
      </c>
      <c r="N25" t="e">
        <f>IF(#REF!="","",#REF!)</f>
        <v>#REF!</v>
      </c>
      <c r="O25" t="e">
        <f>IF(#REF!="","",#REF!)</f>
        <v>#REF!</v>
      </c>
      <c r="P25" t="e">
        <f>IF(#REF!="","",#REF!)</f>
        <v>#REF!</v>
      </c>
      <c r="Q25" t="e">
        <f>IF(#REF!="","",#REF!)</f>
        <v>#REF!</v>
      </c>
      <c r="R25" t="e">
        <f>IF(#REF!="","",#REF!)</f>
        <v>#REF!</v>
      </c>
      <c r="S25" t="e">
        <f>IF(#REF!="","",#REF!)</f>
        <v>#REF!</v>
      </c>
    </row>
    <row r="26" spans="1:19" ht="12.75" customHeight="1" x14ac:dyDescent="0.25">
      <c r="A26" s="180" t="e">
        <f>IF(#REF!="","",#REF!)</f>
        <v>#REF!</v>
      </c>
      <c r="B26" s="180" t="e">
        <f>IF(#REF!="","",#REF!)</f>
        <v>#REF!</v>
      </c>
      <c r="C26" s="180" t="e">
        <f>IF(#REF!="","",#REF!)</f>
        <v>#REF!</v>
      </c>
      <c r="D26" s="180" t="e">
        <f>IF(#REF!="","",#REF!)</f>
        <v>#REF!</v>
      </c>
      <c r="E26" s="180" t="e">
        <f>IF(#REF!="","",#REF!)</f>
        <v>#REF!</v>
      </c>
      <c r="F26" s="180" t="e">
        <f>IF(#REF!="","",#REF!)</f>
        <v>#REF!</v>
      </c>
      <c r="G26" s="180" t="e">
        <f>IF(#REF!="","",#REF!)</f>
        <v>#REF!</v>
      </c>
      <c r="H26" s="180" t="e">
        <f>IF(#REF!="","",#REF!)</f>
        <v>#REF!</v>
      </c>
      <c r="I26" s="180" t="e">
        <f>IF(#REF!="","",#REF!)</f>
        <v>#REF!</v>
      </c>
      <c r="J26" s="180" t="e">
        <f>IF(#REF!="","",#REF!)</f>
        <v>#REF!</v>
      </c>
      <c r="K26" s="180" t="e">
        <f>IF(#REF!="","",#REF!)</f>
        <v>#REF!</v>
      </c>
      <c r="L26" s="180" t="e">
        <f>IF(#REF!="","",#REF!)</f>
        <v>#REF!</v>
      </c>
      <c r="M26" s="180" t="e">
        <f>IF(#REF!="","",#REF!)</f>
        <v>#REF!</v>
      </c>
      <c r="N26" t="e">
        <f>IF(#REF!="","",#REF!)</f>
        <v>#REF!</v>
      </c>
      <c r="O26" t="e">
        <f>IF(#REF!="","",#REF!)</f>
        <v>#REF!</v>
      </c>
      <c r="P26" t="e">
        <f>IF(#REF!="","",#REF!)</f>
        <v>#REF!</v>
      </c>
      <c r="Q26" t="e">
        <f>IF(#REF!="","",#REF!)</f>
        <v>#REF!</v>
      </c>
      <c r="R26" t="e">
        <f>IF(#REF!="","",#REF!)</f>
        <v>#REF!</v>
      </c>
      <c r="S26" t="e">
        <f>IF(#REF!="","",#REF!)</f>
        <v>#REF!</v>
      </c>
    </row>
    <row r="27" spans="1:19" ht="12.75" customHeight="1" x14ac:dyDescent="0.25">
      <c r="A27" s="180" t="e">
        <f>IF(#REF!="","",#REF!)</f>
        <v>#REF!</v>
      </c>
      <c r="B27" s="180" t="e">
        <f>IF(#REF!="","",#REF!)</f>
        <v>#REF!</v>
      </c>
      <c r="C27" s="180" t="e">
        <f>IF(#REF!="","",#REF!)</f>
        <v>#REF!</v>
      </c>
      <c r="D27" s="180" t="e">
        <f>IF(#REF!="","",#REF!)</f>
        <v>#REF!</v>
      </c>
      <c r="E27" s="180" t="e">
        <f>IF(#REF!="","",#REF!)</f>
        <v>#REF!</v>
      </c>
      <c r="F27" s="180" t="e">
        <f>IF(#REF!="","",#REF!)</f>
        <v>#REF!</v>
      </c>
      <c r="G27" s="180" t="e">
        <f>IF(#REF!="","",#REF!)</f>
        <v>#REF!</v>
      </c>
      <c r="H27" s="180" t="e">
        <f>IF(#REF!="","",#REF!)</f>
        <v>#REF!</v>
      </c>
      <c r="I27" s="180" t="e">
        <f>IF(#REF!="","",#REF!)</f>
        <v>#REF!</v>
      </c>
      <c r="J27" s="180" t="e">
        <f>IF(#REF!="","",#REF!)</f>
        <v>#REF!</v>
      </c>
      <c r="K27" s="180" t="e">
        <f>IF(#REF!="","",#REF!)</f>
        <v>#REF!</v>
      </c>
      <c r="L27" s="180" t="e">
        <f>IF(#REF!="","",#REF!)</f>
        <v>#REF!</v>
      </c>
      <c r="M27" s="180" t="e">
        <f>IF(#REF!="","",#REF!)</f>
        <v>#REF!</v>
      </c>
      <c r="N27" t="e">
        <f>IF(#REF!="","",#REF!)</f>
        <v>#REF!</v>
      </c>
      <c r="O27" t="e">
        <f>IF(#REF!="","",#REF!)</f>
        <v>#REF!</v>
      </c>
      <c r="P27" t="e">
        <f>IF(#REF!="","",#REF!)</f>
        <v>#REF!</v>
      </c>
      <c r="Q27" t="e">
        <f>IF(#REF!="","",#REF!)</f>
        <v>#REF!</v>
      </c>
      <c r="R27" t="e">
        <f>IF(#REF!="","",#REF!)</f>
        <v>#REF!</v>
      </c>
      <c r="S27" t="e">
        <f>IF(#REF!="","",#REF!)</f>
        <v>#REF!</v>
      </c>
    </row>
    <row r="28" spans="1:19" ht="12.75" customHeight="1" x14ac:dyDescent="0.25">
      <c r="A28" s="180" t="e">
        <f>IF(#REF!="","",#REF!)</f>
        <v>#REF!</v>
      </c>
      <c r="B28" s="180" t="e">
        <f>IF(#REF!="","",#REF!)</f>
        <v>#REF!</v>
      </c>
      <c r="C28" s="180" t="e">
        <f>IF(#REF!="","",#REF!)</f>
        <v>#REF!</v>
      </c>
      <c r="D28" s="180" t="e">
        <f>IF(#REF!="","",#REF!)</f>
        <v>#REF!</v>
      </c>
      <c r="E28" s="180" t="e">
        <f>IF(#REF!="","",#REF!)</f>
        <v>#REF!</v>
      </c>
      <c r="F28" s="180" t="e">
        <f>IF(#REF!="","",#REF!)</f>
        <v>#REF!</v>
      </c>
      <c r="G28" s="180" t="e">
        <f>IF(#REF!="","",#REF!)</f>
        <v>#REF!</v>
      </c>
      <c r="H28" s="180" t="e">
        <f>IF(#REF!="","",#REF!)</f>
        <v>#REF!</v>
      </c>
      <c r="I28" s="180" t="e">
        <f>IF(#REF!="","",#REF!)</f>
        <v>#REF!</v>
      </c>
      <c r="J28" s="180" t="e">
        <f>IF(#REF!="","",#REF!)</f>
        <v>#REF!</v>
      </c>
      <c r="K28" s="180" t="e">
        <f>IF(#REF!="","",#REF!)</f>
        <v>#REF!</v>
      </c>
      <c r="L28" s="180" t="e">
        <f>IF(#REF!="","",#REF!)</f>
        <v>#REF!</v>
      </c>
      <c r="M28" s="180" t="e">
        <f>IF(#REF!="","",#REF!)</f>
        <v>#REF!</v>
      </c>
      <c r="N28" t="e">
        <f>IF(#REF!="","",#REF!)</f>
        <v>#REF!</v>
      </c>
      <c r="O28" t="e">
        <f>IF(#REF!="","",#REF!)</f>
        <v>#REF!</v>
      </c>
      <c r="P28" t="e">
        <f>IF(#REF!="","",#REF!)</f>
        <v>#REF!</v>
      </c>
      <c r="Q28" t="e">
        <f>IF(#REF!="","",#REF!)</f>
        <v>#REF!</v>
      </c>
      <c r="R28" t="e">
        <f>IF(#REF!="","",#REF!)</f>
        <v>#REF!</v>
      </c>
      <c r="S28" t="e">
        <f>IF(#REF!="","",#REF!)</f>
        <v>#REF!</v>
      </c>
    </row>
    <row r="29" spans="1:19" ht="12.75" customHeight="1" x14ac:dyDescent="0.25">
      <c r="A29" s="180" t="e">
        <f>IF(#REF!="","",#REF!)</f>
        <v>#REF!</v>
      </c>
      <c r="B29" s="180" t="e">
        <f>IF(#REF!="","",#REF!)</f>
        <v>#REF!</v>
      </c>
      <c r="C29" s="180" t="e">
        <f>IF(#REF!="","",#REF!)</f>
        <v>#REF!</v>
      </c>
      <c r="D29" s="180" t="e">
        <f>IF(#REF!="","",#REF!)</f>
        <v>#REF!</v>
      </c>
      <c r="E29" s="179" t="e">
        <f>IF(#REF!="","",#REF!)</f>
        <v>#REF!</v>
      </c>
      <c r="F29" s="179" t="e">
        <f>IF(#REF!="","",#REF!)</f>
        <v>#REF!</v>
      </c>
      <c r="G29" s="180" t="e">
        <f>IF(#REF!="","",#REF!)</f>
        <v>#REF!</v>
      </c>
      <c r="H29" s="180" t="e">
        <f>IF(#REF!="","",#REF!)</f>
        <v>#REF!</v>
      </c>
      <c r="I29" s="180" t="e">
        <f>IF(#REF!="","",#REF!)</f>
        <v>#REF!</v>
      </c>
      <c r="J29" s="180" t="e">
        <f>IF(#REF!="","",#REF!)</f>
        <v>#REF!</v>
      </c>
      <c r="K29" s="180" t="e">
        <f>IF(#REF!="","",#REF!)</f>
        <v>#REF!</v>
      </c>
      <c r="L29" s="180" t="e">
        <f>IF(#REF!="","",#REF!)</f>
        <v>#REF!</v>
      </c>
      <c r="M29" s="180" t="e">
        <f>IF(#REF!="","",#REF!)</f>
        <v>#REF!</v>
      </c>
      <c r="N29" t="e">
        <f>IF(#REF!="","",#REF!)</f>
        <v>#REF!</v>
      </c>
      <c r="O29" t="e">
        <f>IF(#REF!="","",#REF!)</f>
        <v>#REF!</v>
      </c>
      <c r="P29" t="e">
        <f>IF(#REF!="","",#REF!)</f>
        <v>#REF!</v>
      </c>
      <c r="Q29" t="e">
        <f>IF(#REF!="","",#REF!)</f>
        <v>#REF!</v>
      </c>
      <c r="R29" t="e">
        <f>IF(#REF!="","",#REF!)</f>
        <v>#REF!</v>
      </c>
      <c r="S29" t="e">
        <f>IF(#REF!="","",#REF!)</f>
        <v>#REF!</v>
      </c>
    </row>
    <row r="30" spans="1:19" ht="12.75" customHeight="1" x14ac:dyDescent="0.25">
      <c r="A30" s="180" t="e">
        <f>IF(#REF!="","",#REF!)</f>
        <v>#REF!</v>
      </c>
      <c r="B30" s="180" t="e">
        <f>IF(#REF!="","",#REF!)</f>
        <v>#REF!</v>
      </c>
      <c r="C30" s="180" t="e">
        <f>IF(#REF!="","",#REF!)</f>
        <v>#REF!</v>
      </c>
      <c r="D30" s="180" t="e">
        <f>IF(#REF!="","",#REF!)</f>
        <v>#REF!</v>
      </c>
      <c r="E30" s="179" t="e">
        <f>IF(#REF!="","",#REF!)</f>
        <v>#REF!</v>
      </c>
      <c r="F30" s="180" t="e">
        <f>IF(#REF!="","",#REF!)</f>
        <v>#REF!</v>
      </c>
      <c r="G30" s="180" t="e">
        <f>IF(#REF!="","",#REF!)</f>
        <v>#REF!</v>
      </c>
      <c r="H30" s="180" t="e">
        <f>IF(#REF!="","",#REF!)</f>
        <v>#REF!</v>
      </c>
      <c r="I30" s="180" t="e">
        <f>IF(#REF!="","",#REF!)</f>
        <v>#REF!</v>
      </c>
      <c r="J30" s="180" t="e">
        <f>IF(#REF!="","",#REF!)</f>
        <v>#REF!</v>
      </c>
      <c r="K30" s="180" t="e">
        <f>IF(#REF!="","",#REF!)</f>
        <v>#REF!</v>
      </c>
      <c r="L30" s="180" t="e">
        <f>IF(#REF!="","",#REF!)</f>
        <v>#REF!</v>
      </c>
      <c r="M30" s="180" t="e">
        <f>IF(#REF!="","",#REF!)</f>
        <v>#REF!</v>
      </c>
      <c r="N30" t="e">
        <f>IF(#REF!="","",#REF!)</f>
        <v>#REF!</v>
      </c>
      <c r="O30" t="e">
        <f>IF(#REF!="","",#REF!)</f>
        <v>#REF!</v>
      </c>
      <c r="P30" t="e">
        <f>IF(#REF!="","",#REF!)</f>
        <v>#REF!</v>
      </c>
      <c r="Q30" t="e">
        <f>IF(#REF!="","",#REF!)</f>
        <v>#REF!</v>
      </c>
      <c r="R30" t="e">
        <f>IF(#REF!="","",#REF!)</f>
        <v>#REF!</v>
      </c>
      <c r="S30" t="e">
        <f>IF(#REF!="","",#REF!)</f>
        <v>#REF!</v>
      </c>
    </row>
    <row r="31" spans="1:19" ht="12.75" customHeight="1" x14ac:dyDescent="0.25">
      <c r="A31" s="180" t="e">
        <f>IF(#REF!="","",#REF!)</f>
        <v>#REF!</v>
      </c>
      <c r="B31" s="180" t="e">
        <f>IF(#REF!="","",#REF!)</f>
        <v>#REF!</v>
      </c>
      <c r="C31" s="180" t="e">
        <f>IF(#REF!="","",#REF!)</f>
        <v>#REF!</v>
      </c>
      <c r="D31" s="180" t="e">
        <f>IF(#REF!="","",#REF!)</f>
        <v>#REF!</v>
      </c>
      <c r="E31" s="180" t="e">
        <f>IF(#REF!="","",#REF!)</f>
        <v>#REF!</v>
      </c>
      <c r="F31" s="180" t="e">
        <f>IF(#REF!="","",#REF!)</f>
        <v>#REF!</v>
      </c>
      <c r="G31" s="180" t="e">
        <f>IF(#REF!="","",#REF!)</f>
        <v>#REF!</v>
      </c>
      <c r="H31" s="180" t="e">
        <f>IF(#REF!="","",#REF!)</f>
        <v>#REF!</v>
      </c>
      <c r="I31" s="180" t="e">
        <f>IF(#REF!="","",#REF!)</f>
        <v>#REF!</v>
      </c>
      <c r="J31" s="180" t="e">
        <f>IF(#REF!="","",#REF!)</f>
        <v>#REF!</v>
      </c>
      <c r="K31" s="180" t="e">
        <f>IF(#REF!="","",#REF!)</f>
        <v>#REF!</v>
      </c>
      <c r="L31" s="180" t="e">
        <f>IF(#REF!="","",#REF!)</f>
        <v>#REF!</v>
      </c>
      <c r="M31" s="180" t="e">
        <f>IF(#REF!="","",#REF!)</f>
        <v>#REF!</v>
      </c>
      <c r="N31" t="e">
        <f>IF(#REF!="","",#REF!)</f>
        <v>#REF!</v>
      </c>
      <c r="O31" t="e">
        <f>IF(#REF!="","",#REF!)</f>
        <v>#REF!</v>
      </c>
      <c r="P31" t="e">
        <f>IF(#REF!="","",#REF!)</f>
        <v>#REF!</v>
      </c>
      <c r="Q31" t="e">
        <f>IF(#REF!="","",#REF!)</f>
        <v>#REF!</v>
      </c>
      <c r="R31" t="e">
        <f>IF(#REF!="","",#REF!)</f>
        <v>#REF!</v>
      </c>
      <c r="S31" t="e">
        <f>IF(#REF!="","",#REF!)</f>
        <v>#REF!</v>
      </c>
    </row>
    <row r="32" spans="1:19" ht="12.75" customHeight="1" x14ac:dyDescent="0.25">
      <c r="A32" s="180" t="e">
        <f>IF(#REF!="","",#REF!)</f>
        <v>#REF!</v>
      </c>
      <c r="B32" s="180" t="e">
        <f>IF(#REF!="","",#REF!)</f>
        <v>#REF!</v>
      </c>
      <c r="C32" s="180" t="e">
        <f>IF(#REF!="","",#REF!)</f>
        <v>#REF!</v>
      </c>
      <c r="D32" s="180" t="e">
        <f>IF(#REF!="","",#REF!)</f>
        <v>#REF!</v>
      </c>
      <c r="E32" s="180" t="e">
        <f>IF(#REF!="","",#REF!)</f>
        <v>#REF!</v>
      </c>
      <c r="F32" s="179" t="e">
        <f>IF(#REF!="","",#REF!)</f>
        <v>#REF!</v>
      </c>
      <c r="G32" s="180" t="e">
        <f>IF(#REF!="","",#REF!)</f>
        <v>#REF!</v>
      </c>
      <c r="H32" s="180" t="e">
        <f>IF(#REF!="","",#REF!)</f>
        <v>#REF!</v>
      </c>
      <c r="I32" s="180" t="e">
        <f>IF(#REF!="","",#REF!)</f>
        <v>#REF!</v>
      </c>
      <c r="J32" s="180" t="e">
        <f>IF(#REF!="","",#REF!)</f>
        <v>#REF!</v>
      </c>
      <c r="K32" s="180" t="e">
        <f>IF(#REF!="","",#REF!)</f>
        <v>#REF!</v>
      </c>
      <c r="L32" s="180" t="e">
        <f>IF(#REF!="","",#REF!)</f>
        <v>#REF!</v>
      </c>
      <c r="M32" s="180" t="e">
        <f>IF(#REF!="","",#REF!)</f>
        <v>#REF!</v>
      </c>
      <c r="N32" t="e">
        <f>IF(#REF!="","",#REF!)</f>
        <v>#REF!</v>
      </c>
      <c r="O32" t="e">
        <f>IF(#REF!="","",#REF!)</f>
        <v>#REF!</v>
      </c>
      <c r="P32" t="e">
        <f>IF(#REF!="","",#REF!)</f>
        <v>#REF!</v>
      </c>
      <c r="Q32" t="e">
        <f>IF(#REF!="","",#REF!)</f>
        <v>#REF!</v>
      </c>
      <c r="R32" t="e">
        <f>IF(#REF!="","",#REF!)</f>
        <v>#REF!</v>
      </c>
      <c r="S32" t="e">
        <f>IF(#REF!="","",#REF!)</f>
        <v>#REF!</v>
      </c>
    </row>
    <row r="33" spans="1:19" ht="12.75" customHeight="1" x14ac:dyDescent="0.25">
      <c r="A33" s="180" t="e">
        <f>IF(#REF!="","",#REF!)</f>
        <v>#REF!</v>
      </c>
      <c r="B33" s="180" t="e">
        <f>IF(#REF!="","",#REF!)</f>
        <v>#REF!</v>
      </c>
      <c r="C33" s="180" t="e">
        <f>IF(#REF!="","",#REF!)</f>
        <v>#REF!</v>
      </c>
      <c r="D33" s="180" t="e">
        <f>IF(#REF!="","",#REF!)</f>
        <v>#REF!</v>
      </c>
      <c r="E33" s="180" t="e">
        <f>IF(#REF!="","",#REF!)</f>
        <v>#REF!</v>
      </c>
      <c r="F33" s="180" t="e">
        <f>IF(#REF!="","",#REF!)</f>
        <v>#REF!</v>
      </c>
      <c r="G33" s="180" t="e">
        <f>IF(#REF!="","",#REF!)</f>
        <v>#REF!</v>
      </c>
      <c r="H33" s="180" t="e">
        <f>IF(#REF!="","",#REF!)</f>
        <v>#REF!</v>
      </c>
      <c r="I33" s="180" t="e">
        <f>IF(#REF!="","",#REF!)</f>
        <v>#REF!</v>
      </c>
      <c r="J33" s="180" t="e">
        <f>IF(#REF!="","",#REF!)</f>
        <v>#REF!</v>
      </c>
      <c r="K33" s="180" t="e">
        <f>IF(#REF!="","",#REF!)</f>
        <v>#REF!</v>
      </c>
      <c r="L33" s="180" t="e">
        <f>IF(#REF!="","",#REF!)</f>
        <v>#REF!</v>
      </c>
      <c r="M33" s="180" t="e">
        <f>IF(#REF!="","",#REF!)</f>
        <v>#REF!</v>
      </c>
      <c r="N33" t="e">
        <f>IF(#REF!="","",#REF!)</f>
        <v>#REF!</v>
      </c>
      <c r="O33" t="e">
        <f>IF(#REF!="","",#REF!)</f>
        <v>#REF!</v>
      </c>
      <c r="P33" t="e">
        <f>IF(#REF!="","",#REF!)</f>
        <v>#REF!</v>
      </c>
      <c r="Q33" t="e">
        <f>IF(#REF!="","",#REF!)</f>
        <v>#REF!</v>
      </c>
      <c r="R33" t="e">
        <f>IF(#REF!="","",#REF!)</f>
        <v>#REF!</v>
      </c>
      <c r="S33" t="e">
        <f>IF(#REF!="","",#REF!)</f>
        <v>#REF!</v>
      </c>
    </row>
    <row r="34" spans="1:19" ht="12.75" customHeight="1" x14ac:dyDescent="0.25">
      <c r="A34" s="180" t="e">
        <f>IF(#REF!="","",#REF!)</f>
        <v>#REF!</v>
      </c>
      <c r="B34" s="180" t="e">
        <f>IF(#REF!="","",#REF!)</f>
        <v>#REF!</v>
      </c>
      <c r="C34" s="180" t="e">
        <f>IF(#REF!="","",#REF!)</f>
        <v>#REF!</v>
      </c>
      <c r="D34" s="180" t="e">
        <f>IF(#REF!="","",#REF!)</f>
        <v>#REF!</v>
      </c>
      <c r="E34" s="180" t="e">
        <f>IF(#REF!="","",#REF!)</f>
        <v>#REF!</v>
      </c>
      <c r="F34" s="180" t="e">
        <f>IF(#REF!="","",#REF!)</f>
        <v>#REF!</v>
      </c>
      <c r="G34" s="180" t="e">
        <f>IF(#REF!="","",#REF!)</f>
        <v>#REF!</v>
      </c>
      <c r="H34" s="180" t="e">
        <f>IF(#REF!="","",#REF!)</f>
        <v>#REF!</v>
      </c>
      <c r="I34" s="180" t="e">
        <f>IF(#REF!="","",#REF!)</f>
        <v>#REF!</v>
      </c>
      <c r="J34" s="180" t="e">
        <f>IF(#REF!="","",#REF!)</f>
        <v>#REF!</v>
      </c>
      <c r="K34" s="180" t="e">
        <f>IF(#REF!="","",#REF!)</f>
        <v>#REF!</v>
      </c>
      <c r="L34" s="180" t="e">
        <f>IF(#REF!="","",#REF!)</f>
        <v>#REF!</v>
      </c>
      <c r="M34" s="180" t="e">
        <f>IF(#REF!="","",#REF!)</f>
        <v>#REF!</v>
      </c>
      <c r="N34" t="e">
        <f>IF(#REF!="","",#REF!)</f>
        <v>#REF!</v>
      </c>
      <c r="O34" t="e">
        <f>IF(#REF!="","",#REF!)</f>
        <v>#REF!</v>
      </c>
      <c r="P34" t="e">
        <f>IF(#REF!="","",#REF!)</f>
        <v>#REF!</v>
      </c>
      <c r="Q34" t="e">
        <f>IF(#REF!="","",#REF!)</f>
        <v>#REF!</v>
      </c>
      <c r="R34" t="e">
        <f>IF(#REF!="","",#REF!)</f>
        <v>#REF!</v>
      </c>
      <c r="S34" t="e">
        <f>IF(#REF!="","",#REF!)</f>
        <v>#REF!</v>
      </c>
    </row>
    <row r="35" spans="1:19" ht="12.75" customHeight="1" x14ac:dyDescent="0.25">
      <c r="A35" s="180" t="e">
        <f>IF(#REF!="","",#REF!)</f>
        <v>#REF!</v>
      </c>
      <c r="B35" s="180" t="e">
        <f>IF(#REF!="","",#REF!)</f>
        <v>#REF!</v>
      </c>
      <c r="C35" s="180" t="e">
        <f>IF(#REF!="","",#REF!)</f>
        <v>#REF!</v>
      </c>
      <c r="D35" s="180" t="e">
        <f>IF(#REF!="","",#REF!)</f>
        <v>#REF!</v>
      </c>
      <c r="E35" s="180" t="e">
        <f>IF(#REF!="","",#REF!)</f>
        <v>#REF!</v>
      </c>
      <c r="F35" s="180" t="e">
        <f>IF(#REF!="","",#REF!)</f>
        <v>#REF!</v>
      </c>
      <c r="G35" s="180" t="e">
        <f>IF(#REF!="","",#REF!)</f>
        <v>#REF!</v>
      </c>
      <c r="H35" s="180" t="e">
        <f>IF(#REF!="","",#REF!)</f>
        <v>#REF!</v>
      </c>
      <c r="I35" s="180" t="e">
        <f>IF(#REF!="","",#REF!)</f>
        <v>#REF!</v>
      </c>
      <c r="J35" s="180" t="e">
        <f>IF(#REF!="","",#REF!)</f>
        <v>#REF!</v>
      </c>
      <c r="K35" s="180" t="e">
        <f>IF(#REF!="","",#REF!)</f>
        <v>#REF!</v>
      </c>
      <c r="L35" s="180" t="e">
        <f>IF(#REF!="","",#REF!)</f>
        <v>#REF!</v>
      </c>
      <c r="M35" s="180" t="e">
        <f>IF(#REF!="","",#REF!)</f>
        <v>#REF!</v>
      </c>
      <c r="N35" t="e">
        <f>IF(#REF!="","",#REF!)</f>
        <v>#REF!</v>
      </c>
      <c r="O35" t="e">
        <f>IF(#REF!="","",#REF!)</f>
        <v>#REF!</v>
      </c>
      <c r="P35" t="e">
        <f>IF(#REF!="","",#REF!)</f>
        <v>#REF!</v>
      </c>
      <c r="Q35" t="e">
        <f>IF(#REF!="","",#REF!)</f>
        <v>#REF!</v>
      </c>
      <c r="R35" t="e">
        <f>IF(#REF!="","",#REF!)</f>
        <v>#REF!</v>
      </c>
      <c r="S35" t="e">
        <f>IF(#REF!="","",#REF!)</f>
        <v>#REF!</v>
      </c>
    </row>
    <row r="36" spans="1:19" ht="12.75" customHeight="1" x14ac:dyDescent="0.25">
      <c r="A36" s="180" t="e">
        <f>IF(#REF!="","",#REF!)</f>
        <v>#REF!</v>
      </c>
      <c r="B36" s="180" t="e">
        <f>IF(#REF!="","",#REF!)</f>
        <v>#REF!</v>
      </c>
      <c r="C36" s="180" t="e">
        <f>IF(#REF!="","",#REF!)</f>
        <v>#REF!</v>
      </c>
      <c r="D36" s="180" t="e">
        <f>IF(#REF!="","",#REF!)</f>
        <v>#REF!</v>
      </c>
      <c r="E36" s="180" t="e">
        <f>IF(#REF!="","",#REF!)</f>
        <v>#REF!</v>
      </c>
      <c r="F36" s="180" t="e">
        <f>IF(#REF!="","",#REF!)</f>
        <v>#REF!</v>
      </c>
      <c r="G36" s="180" t="e">
        <f>IF(#REF!="","",#REF!)</f>
        <v>#REF!</v>
      </c>
      <c r="H36" s="180" t="e">
        <f>IF(#REF!="","",#REF!)</f>
        <v>#REF!</v>
      </c>
      <c r="I36" s="180" t="e">
        <f>IF(#REF!="","",#REF!)</f>
        <v>#REF!</v>
      </c>
      <c r="J36" s="180" t="e">
        <f>IF(#REF!="","",#REF!)</f>
        <v>#REF!</v>
      </c>
      <c r="K36" s="180" t="e">
        <f>IF(#REF!="","",#REF!)</f>
        <v>#REF!</v>
      </c>
      <c r="L36" s="180" t="e">
        <f>IF(#REF!="","",#REF!)</f>
        <v>#REF!</v>
      </c>
      <c r="M36" s="180" t="e">
        <f>IF(#REF!="","",#REF!)</f>
        <v>#REF!</v>
      </c>
      <c r="N36" t="e">
        <f>IF(#REF!="","",#REF!)</f>
        <v>#REF!</v>
      </c>
      <c r="O36" t="e">
        <f>IF(#REF!="","",#REF!)</f>
        <v>#REF!</v>
      </c>
      <c r="P36" t="e">
        <f>IF(#REF!="","",#REF!)</f>
        <v>#REF!</v>
      </c>
      <c r="Q36" t="e">
        <f>IF(#REF!="","",#REF!)</f>
        <v>#REF!</v>
      </c>
      <c r="R36" t="e">
        <f>IF(#REF!="","",#REF!)</f>
        <v>#REF!</v>
      </c>
      <c r="S36" t="e">
        <f>IF(#REF!="","",#REF!)</f>
        <v>#REF!</v>
      </c>
    </row>
    <row r="37" spans="1:19" ht="12.75" customHeight="1" x14ac:dyDescent="0.25">
      <c r="A37" s="180" t="e">
        <f>IF(#REF!="","",#REF!)</f>
        <v>#REF!</v>
      </c>
      <c r="B37" s="180" t="e">
        <f>IF(#REF!="","",#REF!)</f>
        <v>#REF!</v>
      </c>
      <c r="C37" s="180" t="e">
        <f>IF(#REF!="","",#REF!)</f>
        <v>#REF!</v>
      </c>
      <c r="D37" s="180" t="e">
        <f>IF(#REF!="","",#REF!)</f>
        <v>#REF!</v>
      </c>
      <c r="E37" s="180" t="e">
        <f>IF(#REF!="","",#REF!)</f>
        <v>#REF!</v>
      </c>
      <c r="F37" s="180" t="e">
        <f>IF(#REF!="","",#REF!)</f>
        <v>#REF!</v>
      </c>
      <c r="G37" s="180" t="e">
        <f>IF(#REF!="","",#REF!)</f>
        <v>#REF!</v>
      </c>
      <c r="H37" s="180" t="e">
        <f>IF(#REF!="","",#REF!)</f>
        <v>#REF!</v>
      </c>
      <c r="I37" s="180" t="e">
        <f>IF(#REF!="","",#REF!)</f>
        <v>#REF!</v>
      </c>
      <c r="J37" s="180" t="e">
        <f>IF(#REF!="","",#REF!)</f>
        <v>#REF!</v>
      </c>
      <c r="K37" s="180" t="e">
        <f>IF(#REF!="","",#REF!)</f>
        <v>#REF!</v>
      </c>
      <c r="L37" s="180" t="e">
        <f>IF(#REF!="","",#REF!)</f>
        <v>#REF!</v>
      </c>
      <c r="M37" s="180" t="e">
        <f>IF(#REF!="","",#REF!)</f>
        <v>#REF!</v>
      </c>
      <c r="N37" t="e">
        <f>IF(#REF!="","",#REF!)</f>
        <v>#REF!</v>
      </c>
      <c r="O37" t="e">
        <f>IF(#REF!="","",#REF!)</f>
        <v>#REF!</v>
      </c>
      <c r="P37" t="e">
        <f>IF(#REF!="","",#REF!)</f>
        <v>#REF!</v>
      </c>
      <c r="Q37" t="e">
        <f>IF(#REF!="","",#REF!)</f>
        <v>#REF!</v>
      </c>
      <c r="R37" t="e">
        <f>IF(#REF!="","",#REF!)</f>
        <v>#REF!</v>
      </c>
      <c r="S37" t="e">
        <f>IF(#REF!="","",#REF!)</f>
        <v>#REF!</v>
      </c>
    </row>
    <row r="38" spans="1:19" ht="12.75" customHeight="1" x14ac:dyDescent="0.25">
      <c r="A38" s="180" t="e">
        <f>IF(#REF!="","",#REF!)</f>
        <v>#REF!</v>
      </c>
      <c r="B38" s="180" t="e">
        <f>IF(#REF!="","",#REF!)</f>
        <v>#REF!</v>
      </c>
      <c r="C38" s="180" t="e">
        <f>IF(#REF!="","",#REF!)</f>
        <v>#REF!</v>
      </c>
      <c r="D38" s="180" t="e">
        <f>IF(#REF!="","",#REF!)</f>
        <v>#REF!</v>
      </c>
      <c r="E38" s="180" t="e">
        <f>IF(#REF!="","",#REF!)</f>
        <v>#REF!</v>
      </c>
      <c r="F38" s="180" t="e">
        <f>IF(#REF!="","",#REF!)</f>
        <v>#REF!</v>
      </c>
      <c r="G38" s="180" t="e">
        <f>IF(#REF!="","",#REF!)</f>
        <v>#REF!</v>
      </c>
      <c r="H38" s="180" t="e">
        <f>IF(#REF!="","",#REF!)</f>
        <v>#REF!</v>
      </c>
      <c r="I38" s="180" t="e">
        <f>IF(#REF!="","",#REF!)</f>
        <v>#REF!</v>
      </c>
      <c r="J38" s="180" t="e">
        <f>IF(#REF!="","",#REF!)</f>
        <v>#REF!</v>
      </c>
      <c r="K38" s="180" t="e">
        <f>IF(#REF!="","",#REF!)</f>
        <v>#REF!</v>
      </c>
      <c r="L38" s="180" t="e">
        <f>IF(#REF!="","",#REF!)</f>
        <v>#REF!</v>
      </c>
      <c r="M38" s="180" t="e">
        <f>IF(#REF!="","",#REF!)</f>
        <v>#REF!</v>
      </c>
      <c r="N38" t="e">
        <f>IF(#REF!="","",#REF!)</f>
        <v>#REF!</v>
      </c>
      <c r="O38" t="e">
        <f>IF(#REF!="","",#REF!)</f>
        <v>#REF!</v>
      </c>
      <c r="P38" t="e">
        <f>IF(#REF!="","",#REF!)</f>
        <v>#REF!</v>
      </c>
      <c r="Q38" t="e">
        <f>IF(#REF!="","",#REF!)</f>
        <v>#REF!</v>
      </c>
      <c r="R38" t="e">
        <f>IF(#REF!="","",#REF!)</f>
        <v>#REF!</v>
      </c>
      <c r="S38" t="e">
        <f>IF(#REF!="","",#REF!)</f>
        <v>#REF!</v>
      </c>
    </row>
    <row r="39" spans="1:19" ht="12.75" customHeight="1" x14ac:dyDescent="0.25">
      <c r="A39" s="180" t="e">
        <f>IF(#REF!="","",#REF!)</f>
        <v>#REF!</v>
      </c>
      <c r="B39" s="180" t="e">
        <f>IF(#REF!="","",#REF!)</f>
        <v>#REF!</v>
      </c>
      <c r="C39" s="180" t="e">
        <f>IF(#REF!="","",#REF!)</f>
        <v>#REF!</v>
      </c>
      <c r="D39" s="180" t="e">
        <f>IF(#REF!="","",#REF!)</f>
        <v>#REF!</v>
      </c>
      <c r="E39" s="180" t="e">
        <f>IF(#REF!="","",#REF!)</f>
        <v>#REF!</v>
      </c>
      <c r="F39" s="180" t="e">
        <f>IF(#REF!="","",#REF!)</f>
        <v>#REF!</v>
      </c>
      <c r="G39" s="180" t="e">
        <f>IF(#REF!="","",#REF!)</f>
        <v>#REF!</v>
      </c>
      <c r="H39" s="180" t="e">
        <f>IF(#REF!="","",#REF!)</f>
        <v>#REF!</v>
      </c>
      <c r="I39" s="180" t="e">
        <f>IF(#REF!="","",#REF!)</f>
        <v>#REF!</v>
      </c>
      <c r="J39" s="180" t="e">
        <f>IF(#REF!="","",#REF!)</f>
        <v>#REF!</v>
      </c>
      <c r="K39" s="180" t="e">
        <f>IF(#REF!="","",#REF!)</f>
        <v>#REF!</v>
      </c>
      <c r="L39" s="180" t="e">
        <f>IF(#REF!="","",#REF!)</f>
        <v>#REF!</v>
      </c>
      <c r="M39" s="180" t="e">
        <f>IF(#REF!="","",#REF!)</f>
        <v>#REF!</v>
      </c>
      <c r="N39" t="e">
        <f>IF(#REF!="","",#REF!)</f>
        <v>#REF!</v>
      </c>
      <c r="O39" t="e">
        <f>IF(#REF!="","",#REF!)</f>
        <v>#REF!</v>
      </c>
      <c r="P39" t="e">
        <f>IF(#REF!="","",#REF!)</f>
        <v>#REF!</v>
      </c>
      <c r="Q39" t="e">
        <f>IF(#REF!="","",#REF!)</f>
        <v>#REF!</v>
      </c>
      <c r="R39" t="e">
        <f>IF(#REF!="","",#REF!)</f>
        <v>#REF!</v>
      </c>
      <c r="S39" t="e">
        <f>IF(#REF!="","",#REF!)</f>
        <v>#REF!</v>
      </c>
    </row>
    <row r="40" spans="1:19" ht="12.75" customHeight="1" x14ac:dyDescent="0.25">
      <c r="A40" s="180" t="e">
        <f>IF(#REF!="","",#REF!)</f>
        <v>#REF!</v>
      </c>
      <c r="B40" s="180" t="e">
        <f>IF(#REF!="","",#REF!)</f>
        <v>#REF!</v>
      </c>
      <c r="C40" s="180" t="e">
        <f>IF(#REF!="","",#REF!)</f>
        <v>#REF!</v>
      </c>
      <c r="D40" s="180" t="e">
        <f>IF(#REF!="","",#REF!)</f>
        <v>#REF!</v>
      </c>
      <c r="E40" s="180" t="e">
        <f>IF(#REF!="","",#REF!)</f>
        <v>#REF!</v>
      </c>
      <c r="F40" s="180" t="e">
        <f>IF(#REF!="","",#REF!)</f>
        <v>#REF!</v>
      </c>
      <c r="G40" s="180" t="e">
        <f>IF(#REF!="","",#REF!)</f>
        <v>#REF!</v>
      </c>
      <c r="H40" s="180" t="e">
        <f>IF(#REF!="","",#REF!)</f>
        <v>#REF!</v>
      </c>
      <c r="I40" s="180" t="e">
        <f>IF(#REF!="","",#REF!)</f>
        <v>#REF!</v>
      </c>
      <c r="J40" s="180" t="e">
        <f>IF(#REF!="","",#REF!)</f>
        <v>#REF!</v>
      </c>
      <c r="K40" s="180" t="e">
        <f>IF(#REF!="","",#REF!)</f>
        <v>#REF!</v>
      </c>
      <c r="L40" s="180" t="e">
        <f>IF(#REF!="","",#REF!)</f>
        <v>#REF!</v>
      </c>
      <c r="M40" s="180" t="e">
        <f>IF(#REF!="","",#REF!)</f>
        <v>#REF!</v>
      </c>
      <c r="N40" t="e">
        <f>IF(#REF!="","",#REF!)</f>
        <v>#REF!</v>
      </c>
      <c r="O40" t="e">
        <f>IF(#REF!="","",#REF!)</f>
        <v>#REF!</v>
      </c>
      <c r="P40" t="e">
        <f>IF(#REF!="","",#REF!)</f>
        <v>#REF!</v>
      </c>
      <c r="Q40" t="e">
        <f>IF(#REF!="","",#REF!)</f>
        <v>#REF!</v>
      </c>
      <c r="R40" t="e">
        <f>IF(#REF!="","",#REF!)</f>
        <v>#REF!</v>
      </c>
      <c r="S40" t="e">
        <f>IF(#REF!="","",#REF!)</f>
        <v>#REF!</v>
      </c>
    </row>
    <row r="41" spans="1:19" ht="12.75" customHeight="1" x14ac:dyDescent="0.25">
      <c r="A41" s="180" t="e">
        <f>IF(#REF!="","",#REF!)</f>
        <v>#REF!</v>
      </c>
      <c r="B41" s="180" t="e">
        <f>IF(#REF!="","",#REF!)</f>
        <v>#REF!</v>
      </c>
      <c r="C41" s="180" t="e">
        <f>IF(#REF!="","",#REF!)</f>
        <v>#REF!</v>
      </c>
      <c r="D41" s="180" t="e">
        <f>IF(#REF!="","",#REF!)</f>
        <v>#REF!</v>
      </c>
      <c r="E41" s="180" t="e">
        <f>IF(#REF!="","",#REF!)</f>
        <v>#REF!</v>
      </c>
      <c r="F41" s="180" t="e">
        <f>IF(#REF!="","",#REF!)</f>
        <v>#REF!</v>
      </c>
      <c r="G41" s="180" t="e">
        <f>IF(#REF!="","",#REF!)</f>
        <v>#REF!</v>
      </c>
      <c r="H41" s="180" t="e">
        <f>IF(#REF!="","",#REF!)</f>
        <v>#REF!</v>
      </c>
      <c r="I41" s="180" t="e">
        <f>IF(#REF!="","",#REF!)</f>
        <v>#REF!</v>
      </c>
      <c r="J41" s="180" t="e">
        <f>IF(#REF!="","",#REF!)</f>
        <v>#REF!</v>
      </c>
      <c r="K41" s="180" t="e">
        <f>IF(#REF!="","",#REF!)</f>
        <v>#REF!</v>
      </c>
      <c r="L41" s="180" t="e">
        <f>IF(#REF!="","",#REF!)</f>
        <v>#REF!</v>
      </c>
      <c r="M41" s="180" t="e">
        <f>IF(#REF!="","",#REF!)</f>
        <v>#REF!</v>
      </c>
      <c r="N41" t="e">
        <f>IF(#REF!="","",#REF!)</f>
        <v>#REF!</v>
      </c>
      <c r="O41" t="e">
        <f>IF(#REF!="","",#REF!)</f>
        <v>#REF!</v>
      </c>
      <c r="P41" t="e">
        <f>IF(#REF!="","",#REF!)</f>
        <v>#REF!</v>
      </c>
      <c r="Q41" t="e">
        <f>IF(#REF!="","",#REF!)</f>
        <v>#REF!</v>
      </c>
      <c r="R41" t="e">
        <f>IF(#REF!="","",#REF!)</f>
        <v>#REF!</v>
      </c>
      <c r="S41" t="e">
        <f>IF(#REF!="","",#REF!)</f>
        <v>#REF!</v>
      </c>
    </row>
    <row r="42" spans="1:19" ht="12.75" customHeight="1" x14ac:dyDescent="0.25">
      <c r="A42" s="180" t="e">
        <f>IF(#REF!="","",#REF!)</f>
        <v>#REF!</v>
      </c>
      <c r="B42" s="180" t="e">
        <f>IF(#REF!="","",#REF!)</f>
        <v>#REF!</v>
      </c>
      <c r="C42" s="180" t="e">
        <f>IF(#REF!="","",#REF!)</f>
        <v>#REF!</v>
      </c>
      <c r="D42" s="180" t="e">
        <f>IF(#REF!="","",#REF!)</f>
        <v>#REF!</v>
      </c>
      <c r="E42" s="180" t="e">
        <f>IF(#REF!="","",#REF!)</f>
        <v>#REF!</v>
      </c>
      <c r="F42" s="180" t="e">
        <f>IF(#REF!="","",#REF!)</f>
        <v>#REF!</v>
      </c>
      <c r="G42" s="180" t="e">
        <f>IF(#REF!="","",#REF!)</f>
        <v>#REF!</v>
      </c>
      <c r="H42" s="180" t="e">
        <f>IF(#REF!="","",#REF!)</f>
        <v>#REF!</v>
      </c>
      <c r="I42" s="180" t="e">
        <f>IF(#REF!="","",#REF!)</f>
        <v>#REF!</v>
      </c>
      <c r="J42" s="180" t="e">
        <f>IF(#REF!="","",#REF!)</f>
        <v>#REF!</v>
      </c>
      <c r="K42" s="180" t="e">
        <f>IF(#REF!="","",#REF!)</f>
        <v>#REF!</v>
      </c>
      <c r="L42" s="180" t="e">
        <f>IF(#REF!="","",#REF!)</f>
        <v>#REF!</v>
      </c>
      <c r="M42" s="180" t="e">
        <f>IF(#REF!="","",#REF!)</f>
        <v>#REF!</v>
      </c>
      <c r="N42" t="e">
        <f>IF(#REF!="","",#REF!)</f>
        <v>#REF!</v>
      </c>
      <c r="O42" t="e">
        <f>IF(#REF!="","",#REF!)</f>
        <v>#REF!</v>
      </c>
      <c r="P42" t="e">
        <f>IF(#REF!="","",#REF!)</f>
        <v>#REF!</v>
      </c>
      <c r="Q42" t="e">
        <f>IF(#REF!="","",#REF!)</f>
        <v>#REF!</v>
      </c>
      <c r="R42" t="e">
        <f>IF(#REF!="","",#REF!)</f>
        <v>#REF!</v>
      </c>
      <c r="S42" t="e">
        <f>IF(#REF!="","",#REF!)</f>
        <v>#REF!</v>
      </c>
    </row>
    <row r="43" spans="1:19" ht="12.75" customHeight="1" x14ac:dyDescent="0.25">
      <c r="A43" s="180" t="e">
        <f>IF(#REF!="","",#REF!)</f>
        <v>#REF!</v>
      </c>
      <c r="B43" s="180" t="e">
        <f>IF(#REF!="","",#REF!)</f>
        <v>#REF!</v>
      </c>
      <c r="C43" s="180" t="e">
        <f>IF(#REF!="","",#REF!)</f>
        <v>#REF!</v>
      </c>
      <c r="D43" s="180" t="e">
        <f>IF(#REF!="","",#REF!)</f>
        <v>#REF!</v>
      </c>
      <c r="E43" s="180" t="e">
        <f>IF(#REF!="","",#REF!)</f>
        <v>#REF!</v>
      </c>
      <c r="F43" s="180" t="e">
        <f>IF(#REF!="","",#REF!)</f>
        <v>#REF!</v>
      </c>
      <c r="G43" s="180" t="e">
        <f>IF(#REF!="","",#REF!)</f>
        <v>#REF!</v>
      </c>
      <c r="H43" s="180" t="e">
        <f>IF(#REF!="","",#REF!)</f>
        <v>#REF!</v>
      </c>
      <c r="I43" s="180" t="e">
        <f>IF(#REF!="","",#REF!)</f>
        <v>#REF!</v>
      </c>
      <c r="J43" s="180" t="e">
        <f>IF(#REF!="","",#REF!)</f>
        <v>#REF!</v>
      </c>
      <c r="K43" s="180" t="e">
        <f>IF(#REF!="","",#REF!)</f>
        <v>#REF!</v>
      </c>
      <c r="L43" s="180" t="e">
        <f>IF(#REF!="","",#REF!)</f>
        <v>#REF!</v>
      </c>
      <c r="M43" s="180" t="e">
        <f>IF(#REF!="","",#REF!)</f>
        <v>#REF!</v>
      </c>
      <c r="N43" t="e">
        <f>IF(#REF!="","",#REF!)</f>
        <v>#REF!</v>
      </c>
      <c r="O43" t="e">
        <f>IF(#REF!="","",#REF!)</f>
        <v>#REF!</v>
      </c>
      <c r="P43" t="e">
        <f>IF(#REF!="","",#REF!)</f>
        <v>#REF!</v>
      </c>
      <c r="Q43" t="e">
        <f>IF(#REF!="","",#REF!)</f>
        <v>#REF!</v>
      </c>
      <c r="R43" t="e">
        <f>IF(#REF!="","",#REF!)</f>
        <v>#REF!</v>
      </c>
      <c r="S43" t="e">
        <f>IF(#REF!="","",#REF!)</f>
        <v>#REF!</v>
      </c>
    </row>
    <row r="44" spans="1:19" ht="12.75" customHeight="1" x14ac:dyDescent="0.25">
      <c r="A44" s="180" t="e">
        <f>IF(#REF!="","",#REF!)</f>
        <v>#REF!</v>
      </c>
      <c r="B44" s="180" t="e">
        <f>IF(#REF!="","",#REF!)</f>
        <v>#REF!</v>
      </c>
      <c r="C44" s="180" t="e">
        <f>IF(#REF!="","",#REF!)</f>
        <v>#REF!</v>
      </c>
      <c r="D44" s="180" t="e">
        <f>IF(#REF!="","",#REF!)</f>
        <v>#REF!</v>
      </c>
      <c r="E44" s="180" t="e">
        <f>IF(#REF!="","",#REF!)</f>
        <v>#REF!</v>
      </c>
      <c r="F44" s="180" t="e">
        <f>IF(#REF!="","",#REF!)</f>
        <v>#REF!</v>
      </c>
      <c r="G44" s="180" t="e">
        <f>IF(#REF!="","",#REF!)</f>
        <v>#REF!</v>
      </c>
      <c r="H44" s="180" t="e">
        <f>IF(#REF!="","",#REF!)</f>
        <v>#REF!</v>
      </c>
      <c r="I44" s="180" t="e">
        <f>IF(#REF!="","",#REF!)</f>
        <v>#REF!</v>
      </c>
      <c r="J44" s="180" t="e">
        <f>IF(#REF!="","",#REF!)</f>
        <v>#REF!</v>
      </c>
      <c r="K44" s="180" t="e">
        <f>IF(#REF!="","",#REF!)</f>
        <v>#REF!</v>
      </c>
      <c r="L44" s="180" t="e">
        <f>IF(#REF!="","",#REF!)</f>
        <v>#REF!</v>
      </c>
      <c r="M44" s="180" t="e">
        <f>IF(#REF!="","",#REF!)</f>
        <v>#REF!</v>
      </c>
      <c r="N44" t="e">
        <f>IF(#REF!="","",#REF!)</f>
        <v>#REF!</v>
      </c>
      <c r="O44" t="e">
        <f>IF(#REF!="","",#REF!)</f>
        <v>#REF!</v>
      </c>
      <c r="P44" t="e">
        <f>IF(#REF!="","",#REF!)</f>
        <v>#REF!</v>
      </c>
      <c r="Q44" t="e">
        <f>IF(#REF!="","",#REF!)</f>
        <v>#REF!</v>
      </c>
      <c r="R44" t="e">
        <f>IF(#REF!="","",#REF!)</f>
        <v>#REF!</v>
      </c>
      <c r="S44" t="e">
        <f>IF(#REF!="","",#REF!)</f>
        <v>#REF!</v>
      </c>
    </row>
    <row r="45" spans="1:19" ht="12.75" customHeight="1" x14ac:dyDescent="0.25">
      <c r="A45" s="180" t="e">
        <f>IF(#REF!="","",#REF!)</f>
        <v>#REF!</v>
      </c>
      <c r="B45" s="180" t="e">
        <f>IF(#REF!="","",#REF!)</f>
        <v>#REF!</v>
      </c>
      <c r="C45" s="180" t="e">
        <f>IF(#REF!="","",#REF!)</f>
        <v>#REF!</v>
      </c>
      <c r="D45" s="180" t="e">
        <f>IF(#REF!="","",#REF!)</f>
        <v>#REF!</v>
      </c>
      <c r="E45" s="180" t="e">
        <f>IF(#REF!="","",#REF!)</f>
        <v>#REF!</v>
      </c>
      <c r="F45" s="180" t="e">
        <f>IF(#REF!="","",#REF!)</f>
        <v>#REF!</v>
      </c>
      <c r="G45" s="180" t="e">
        <f>IF(#REF!="","",#REF!)</f>
        <v>#REF!</v>
      </c>
      <c r="H45" s="180" t="e">
        <f>IF(#REF!="","",#REF!)</f>
        <v>#REF!</v>
      </c>
      <c r="I45" s="180" t="e">
        <f>IF(#REF!="","",#REF!)</f>
        <v>#REF!</v>
      </c>
      <c r="J45" s="180" t="e">
        <f>IF(#REF!="","",#REF!)</f>
        <v>#REF!</v>
      </c>
      <c r="K45" s="180" t="e">
        <f>IF(#REF!="","",#REF!)</f>
        <v>#REF!</v>
      </c>
      <c r="L45" s="180" t="e">
        <f>IF(#REF!="","",#REF!)</f>
        <v>#REF!</v>
      </c>
      <c r="M45" s="180" t="e">
        <f>IF(#REF!="","",#REF!)</f>
        <v>#REF!</v>
      </c>
      <c r="N45" t="e">
        <f>IF(#REF!="","",#REF!)</f>
        <v>#REF!</v>
      </c>
      <c r="O45" t="e">
        <f>IF(#REF!="","",#REF!)</f>
        <v>#REF!</v>
      </c>
      <c r="P45" t="e">
        <f>IF(#REF!="","",#REF!)</f>
        <v>#REF!</v>
      </c>
      <c r="Q45" t="e">
        <f>IF(#REF!="","",#REF!)</f>
        <v>#REF!</v>
      </c>
      <c r="R45" t="e">
        <f>IF(#REF!="","",#REF!)</f>
        <v>#REF!</v>
      </c>
      <c r="S45" t="e">
        <f>IF(#REF!="","",#REF!)</f>
        <v>#REF!</v>
      </c>
    </row>
    <row r="46" spans="1:19" ht="12.75" customHeight="1" x14ac:dyDescent="0.25">
      <c r="A46" s="180" t="e">
        <f>IF(#REF!="","",#REF!)</f>
        <v>#REF!</v>
      </c>
      <c r="B46" s="180" t="e">
        <f>IF(#REF!="","",#REF!)</f>
        <v>#REF!</v>
      </c>
      <c r="C46" s="180" t="e">
        <f>IF(#REF!="","",#REF!)</f>
        <v>#REF!</v>
      </c>
      <c r="D46" s="180" t="e">
        <f>IF(#REF!="","",#REF!)</f>
        <v>#REF!</v>
      </c>
      <c r="E46" s="180" t="e">
        <f>IF(#REF!="","",#REF!)</f>
        <v>#REF!</v>
      </c>
      <c r="F46" s="180" t="e">
        <f>IF(#REF!="","",#REF!)</f>
        <v>#REF!</v>
      </c>
      <c r="G46" s="180" t="e">
        <f>IF(#REF!="","",#REF!)</f>
        <v>#REF!</v>
      </c>
      <c r="H46" s="180" t="e">
        <f>IF(#REF!="","",#REF!)</f>
        <v>#REF!</v>
      </c>
      <c r="I46" s="180" t="e">
        <f>IF(#REF!="","",#REF!)</f>
        <v>#REF!</v>
      </c>
      <c r="J46" s="180" t="e">
        <f>IF(#REF!="","",#REF!)</f>
        <v>#REF!</v>
      </c>
      <c r="K46" s="180" t="e">
        <f>IF(#REF!="","",#REF!)</f>
        <v>#REF!</v>
      </c>
      <c r="L46" s="180" t="e">
        <f>IF(#REF!="","",#REF!)</f>
        <v>#REF!</v>
      </c>
      <c r="M46" s="180" t="e">
        <f>IF(#REF!="","",#REF!)</f>
        <v>#REF!</v>
      </c>
      <c r="N46" t="e">
        <f>IF(#REF!="","",#REF!)</f>
        <v>#REF!</v>
      </c>
      <c r="O46" t="e">
        <f>IF(#REF!="","",#REF!)</f>
        <v>#REF!</v>
      </c>
      <c r="P46" t="e">
        <f>IF(#REF!="","",#REF!)</f>
        <v>#REF!</v>
      </c>
      <c r="Q46" t="e">
        <f>IF(#REF!="","",#REF!)</f>
        <v>#REF!</v>
      </c>
      <c r="R46" t="e">
        <f>IF(#REF!="","",#REF!)</f>
        <v>#REF!</v>
      </c>
      <c r="S46" t="e">
        <f>IF(#REF!="","",#REF!)</f>
        <v>#REF!</v>
      </c>
    </row>
    <row r="47" spans="1:19" ht="12.75" customHeight="1" x14ac:dyDescent="0.25">
      <c r="A47" s="180" t="e">
        <f>IF(#REF!="","",#REF!)</f>
        <v>#REF!</v>
      </c>
      <c r="B47" s="180" t="e">
        <f>IF(#REF!="","",#REF!)</f>
        <v>#REF!</v>
      </c>
      <c r="C47" s="180" t="e">
        <f>IF(#REF!="","",#REF!)</f>
        <v>#REF!</v>
      </c>
      <c r="D47" s="180" t="e">
        <f>IF(#REF!="","",#REF!)</f>
        <v>#REF!</v>
      </c>
      <c r="E47" s="180" t="e">
        <f>IF(#REF!="","",#REF!)</f>
        <v>#REF!</v>
      </c>
      <c r="F47" s="180" t="e">
        <f>IF(#REF!="","",#REF!)</f>
        <v>#REF!</v>
      </c>
      <c r="G47" s="180" t="e">
        <f>IF(#REF!="","",#REF!)</f>
        <v>#REF!</v>
      </c>
      <c r="H47" s="180" t="e">
        <f>IF(#REF!="","",#REF!)</f>
        <v>#REF!</v>
      </c>
      <c r="I47" s="180" t="e">
        <f>IF(#REF!="","",#REF!)</f>
        <v>#REF!</v>
      </c>
      <c r="J47" s="180" t="e">
        <f>IF(#REF!="","",#REF!)</f>
        <v>#REF!</v>
      </c>
      <c r="K47" s="180" t="e">
        <f>IF(#REF!="","",#REF!)</f>
        <v>#REF!</v>
      </c>
      <c r="L47" s="180" t="e">
        <f>IF(#REF!="","",#REF!)</f>
        <v>#REF!</v>
      </c>
      <c r="M47" s="180" t="e">
        <f>IF(#REF!="","",#REF!)</f>
        <v>#REF!</v>
      </c>
      <c r="N47" t="e">
        <f>IF(#REF!="","",#REF!)</f>
        <v>#REF!</v>
      </c>
      <c r="O47" t="e">
        <f>IF(#REF!="","",#REF!)</f>
        <v>#REF!</v>
      </c>
      <c r="P47" t="e">
        <f>IF(#REF!="","",#REF!)</f>
        <v>#REF!</v>
      </c>
      <c r="Q47" t="e">
        <f>IF(#REF!="","",#REF!)</f>
        <v>#REF!</v>
      </c>
      <c r="R47" t="e">
        <f>IF(#REF!="","",#REF!)</f>
        <v>#REF!</v>
      </c>
      <c r="S47" t="e">
        <f>IF(#REF!="","",#REF!)</f>
        <v>#REF!</v>
      </c>
    </row>
    <row r="48" spans="1:19" ht="12.75" customHeight="1" x14ac:dyDescent="0.25">
      <c r="A48" s="180" t="e">
        <f>IF(#REF!="","",#REF!)</f>
        <v>#REF!</v>
      </c>
      <c r="B48" s="180" t="e">
        <f>IF(#REF!="","",#REF!)</f>
        <v>#REF!</v>
      </c>
      <c r="C48" s="180" t="e">
        <f>IF(#REF!="","",#REF!)</f>
        <v>#REF!</v>
      </c>
      <c r="D48" s="180" t="e">
        <f>IF(#REF!="","",#REF!)</f>
        <v>#REF!</v>
      </c>
      <c r="E48" s="180" t="e">
        <f>IF(#REF!="","",#REF!)</f>
        <v>#REF!</v>
      </c>
      <c r="F48" s="180" t="e">
        <f>IF(#REF!="","",#REF!)</f>
        <v>#REF!</v>
      </c>
      <c r="G48" s="180" t="e">
        <f>IF(#REF!="","",#REF!)</f>
        <v>#REF!</v>
      </c>
      <c r="H48" s="180" t="e">
        <f>IF(#REF!="","",#REF!)</f>
        <v>#REF!</v>
      </c>
      <c r="I48" s="180" t="e">
        <f>IF(#REF!="","",#REF!)</f>
        <v>#REF!</v>
      </c>
      <c r="J48" s="180" t="e">
        <f>IF(#REF!="","",#REF!)</f>
        <v>#REF!</v>
      </c>
      <c r="K48" s="180" t="e">
        <f>IF(#REF!="","",#REF!)</f>
        <v>#REF!</v>
      </c>
      <c r="L48" s="180" t="e">
        <f>IF(#REF!="","",#REF!)</f>
        <v>#REF!</v>
      </c>
      <c r="M48" s="180" t="e">
        <f>IF(#REF!="","",#REF!)</f>
        <v>#REF!</v>
      </c>
      <c r="N48" t="e">
        <f>IF(#REF!="","",#REF!)</f>
        <v>#REF!</v>
      </c>
      <c r="O48" t="e">
        <f>IF(#REF!="","",#REF!)</f>
        <v>#REF!</v>
      </c>
      <c r="P48" t="e">
        <f>IF(#REF!="","",#REF!)</f>
        <v>#REF!</v>
      </c>
      <c r="Q48" t="e">
        <f>IF(#REF!="","",#REF!)</f>
        <v>#REF!</v>
      </c>
      <c r="R48" t="e">
        <f>IF(#REF!="","",#REF!)</f>
        <v>#REF!</v>
      </c>
      <c r="S48" t="e">
        <f>IF(#REF!="","",#REF!)</f>
        <v>#REF!</v>
      </c>
    </row>
    <row r="49" spans="1:19" ht="12.75" customHeight="1" x14ac:dyDescent="0.25">
      <c r="A49" s="180" t="e">
        <f>IF(#REF!="","",#REF!)</f>
        <v>#REF!</v>
      </c>
      <c r="B49" s="180" t="e">
        <f>IF(#REF!="","",#REF!)</f>
        <v>#REF!</v>
      </c>
      <c r="C49" s="180" t="e">
        <f>IF(#REF!="","",#REF!)</f>
        <v>#REF!</v>
      </c>
      <c r="D49" s="180" t="e">
        <f>IF(#REF!="","",#REF!)</f>
        <v>#REF!</v>
      </c>
      <c r="E49" s="180" t="e">
        <f>IF(#REF!="","",#REF!)</f>
        <v>#REF!</v>
      </c>
      <c r="F49" s="180" t="e">
        <f>IF(#REF!="","",#REF!)</f>
        <v>#REF!</v>
      </c>
      <c r="G49" s="180" t="e">
        <f>IF(#REF!="","",#REF!)</f>
        <v>#REF!</v>
      </c>
      <c r="H49" s="180" t="e">
        <f>IF(#REF!="","",#REF!)</f>
        <v>#REF!</v>
      </c>
      <c r="I49" s="180" t="e">
        <f>IF(#REF!="","",#REF!)</f>
        <v>#REF!</v>
      </c>
      <c r="J49" s="180" t="e">
        <f>IF(#REF!="","",#REF!)</f>
        <v>#REF!</v>
      </c>
      <c r="K49" s="180" t="e">
        <f>IF(#REF!="","",#REF!)</f>
        <v>#REF!</v>
      </c>
      <c r="L49" s="180" t="e">
        <f>IF(#REF!="","",#REF!)</f>
        <v>#REF!</v>
      </c>
      <c r="M49" s="180" t="e">
        <f>IF(#REF!="","",#REF!)</f>
        <v>#REF!</v>
      </c>
      <c r="N49" t="e">
        <f>IF(#REF!="","",#REF!)</f>
        <v>#REF!</v>
      </c>
      <c r="O49" t="e">
        <f>IF(#REF!="","",#REF!)</f>
        <v>#REF!</v>
      </c>
      <c r="P49" t="e">
        <f>IF(#REF!="","",#REF!)</f>
        <v>#REF!</v>
      </c>
      <c r="Q49" t="e">
        <f>IF(#REF!="","",#REF!)</f>
        <v>#REF!</v>
      </c>
      <c r="R49" t="e">
        <f>IF(#REF!="","",#REF!)</f>
        <v>#REF!</v>
      </c>
      <c r="S49" t="e">
        <f>IF(#REF!="","",#REF!)</f>
        <v>#REF!</v>
      </c>
    </row>
    <row r="50" spans="1:19" ht="12.75" customHeight="1" x14ac:dyDescent="0.25">
      <c r="A50" s="180" t="e">
        <f>IF(#REF!="","",#REF!)</f>
        <v>#REF!</v>
      </c>
      <c r="B50" s="180" t="e">
        <f>IF(#REF!="","",#REF!)</f>
        <v>#REF!</v>
      </c>
      <c r="C50" s="180" t="e">
        <f>IF(#REF!="","",#REF!)</f>
        <v>#REF!</v>
      </c>
      <c r="D50" s="180" t="e">
        <f>IF(#REF!="","",#REF!)</f>
        <v>#REF!</v>
      </c>
      <c r="E50" s="180" t="e">
        <f>IF(#REF!="","",#REF!)</f>
        <v>#REF!</v>
      </c>
      <c r="F50" s="180" t="e">
        <f>IF(#REF!="","",#REF!)</f>
        <v>#REF!</v>
      </c>
      <c r="G50" s="180" t="e">
        <f>IF(#REF!="","",#REF!)</f>
        <v>#REF!</v>
      </c>
      <c r="H50" s="180" t="e">
        <f>IF(#REF!="","",#REF!)</f>
        <v>#REF!</v>
      </c>
      <c r="I50" s="180" t="e">
        <f>IF(#REF!="","",#REF!)</f>
        <v>#REF!</v>
      </c>
      <c r="J50" s="180" t="e">
        <f>IF(#REF!="","",#REF!)</f>
        <v>#REF!</v>
      </c>
      <c r="K50" s="180" t="e">
        <f>IF(#REF!="","",#REF!)</f>
        <v>#REF!</v>
      </c>
      <c r="L50" s="180" t="e">
        <f>IF(#REF!="","",#REF!)</f>
        <v>#REF!</v>
      </c>
      <c r="M50" s="180" t="e">
        <f>IF(#REF!="","",#REF!)</f>
        <v>#REF!</v>
      </c>
      <c r="N50" t="e">
        <f>IF(#REF!="","",#REF!)</f>
        <v>#REF!</v>
      </c>
      <c r="O50" t="e">
        <f>IF(#REF!="","",#REF!)</f>
        <v>#REF!</v>
      </c>
      <c r="P50" t="e">
        <f>IF(#REF!="","",#REF!)</f>
        <v>#REF!</v>
      </c>
      <c r="Q50" t="e">
        <f>IF(#REF!="","",#REF!)</f>
        <v>#REF!</v>
      </c>
      <c r="R50" t="e">
        <f>IF(#REF!="","",#REF!)</f>
        <v>#REF!</v>
      </c>
      <c r="S50" t="e">
        <f>IF(#REF!="","",#REF!)</f>
        <v>#REF!</v>
      </c>
    </row>
    <row r="51" spans="1:19" ht="12.75" customHeight="1" x14ac:dyDescent="0.25">
      <c r="A51" s="180" t="e">
        <f>IF(#REF!="","",#REF!)</f>
        <v>#REF!</v>
      </c>
      <c r="B51" s="180" t="e">
        <f>IF(#REF!="","",#REF!)</f>
        <v>#REF!</v>
      </c>
      <c r="C51" s="180" t="e">
        <f>IF(#REF!="","",#REF!)</f>
        <v>#REF!</v>
      </c>
      <c r="D51" s="180" t="e">
        <f>IF(#REF!="","",#REF!)</f>
        <v>#REF!</v>
      </c>
      <c r="E51" s="180" t="e">
        <f>IF(#REF!="","",#REF!)</f>
        <v>#REF!</v>
      </c>
      <c r="F51" s="180" t="e">
        <f>IF(#REF!="","",#REF!)</f>
        <v>#REF!</v>
      </c>
      <c r="G51" s="180" t="e">
        <f>IF(#REF!="","",#REF!)</f>
        <v>#REF!</v>
      </c>
      <c r="H51" s="180" t="e">
        <f>IF(#REF!="","",#REF!)</f>
        <v>#REF!</v>
      </c>
      <c r="I51" s="180" t="e">
        <f>IF(#REF!="","",#REF!)</f>
        <v>#REF!</v>
      </c>
      <c r="J51" s="180" t="e">
        <f>IF(#REF!="","",#REF!)</f>
        <v>#REF!</v>
      </c>
      <c r="K51" s="180" t="e">
        <f>IF(#REF!="","",#REF!)</f>
        <v>#REF!</v>
      </c>
      <c r="L51" s="180" t="e">
        <f>IF(#REF!="","",#REF!)</f>
        <v>#REF!</v>
      </c>
      <c r="M51" s="180" t="e">
        <f>IF(#REF!="","",#REF!)</f>
        <v>#REF!</v>
      </c>
      <c r="N51" t="e">
        <f>IF(#REF!="","",#REF!)</f>
        <v>#REF!</v>
      </c>
      <c r="O51" t="e">
        <f>IF(#REF!="","",#REF!)</f>
        <v>#REF!</v>
      </c>
      <c r="P51" t="e">
        <f>IF(#REF!="","",#REF!)</f>
        <v>#REF!</v>
      </c>
      <c r="Q51" t="e">
        <f>IF(#REF!="","",#REF!)</f>
        <v>#REF!</v>
      </c>
      <c r="R51" t="e">
        <f>IF(#REF!="","",#REF!)</f>
        <v>#REF!</v>
      </c>
      <c r="S51" t="e">
        <f>IF(#REF!="","",#REF!)</f>
        <v>#REF!</v>
      </c>
    </row>
    <row r="52" spans="1:19" ht="12.75" customHeight="1" x14ac:dyDescent="0.25">
      <c r="A52" s="180" t="e">
        <f>IF(#REF!="","",#REF!)</f>
        <v>#REF!</v>
      </c>
      <c r="B52" s="180" t="e">
        <f>IF(#REF!="","",#REF!)</f>
        <v>#REF!</v>
      </c>
      <c r="C52" s="180" t="e">
        <f>IF(#REF!="","",#REF!)</f>
        <v>#REF!</v>
      </c>
      <c r="D52" s="180" t="e">
        <f>IF(#REF!="","",#REF!)</f>
        <v>#REF!</v>
      </c>
      <c r="E52" s="180" t="e">
        <f>IF(#REF!="","",#REF!)</f>
        <v>#REF!</v>
      </c>
      <c r="F52" s="180" t="e">
        <f>IF(#REF!="","",#REF!)</f>
        <v>#REF!</v>
      </c>
      <c r="G52" s="180" t="e">
        <f>IF(#REF!="","",#REF!)</f>
        <v>#REF!</v>
      </c>
      <c r="H52" s="180" t="e">
        <f>IF(#REF!="","",#REF!)</f>
        <v>#REF!</v>
      </c>
      <c r="I52" s="180" t="e">
        <f>IF(#REF!="","",#REF!)</f>
        <v>#REF!</v>
      </c>
      <c r="J52" s="180" t="e">
        <f>IF(#REF!="","",#REF!)</f>
        <v>#REF!</v>
      </c>
      <c r="K52" s="180" t="e">
        <f>IF(#REF!="","",#REF!)</f>
        <v>#REF!</v>
      </c>
      <c r="L52" s="180" t="e">
        <f>IF(#REF!="","",#REF!)</f>
        <v>#REF!</v>
      </c>
      <c r="M52" s="180" t="e">
        <f>IF(#REF!="","",#REF!)</f>
        <v>#REF!</v>
      </c>
      <c r="N52" t="e">
        <f>IF(#REF!="","",#REF!)</f>
        <v>#REF!</v>
      </c>
      <c r="O52" t="e">
        <f>IF(#REF!="","",#REF!)</f>
        <v>#REF!</v>
      </c>
      <c r="P52" t="e">
        <f>IF(#REF!="","",#REF!)</f>
        <v>#REF!</v>
      </c>
      <c r="Q52" t="e">
        <f>IF(#REF!="","",#REF!)</f>
        <v>#REF!</v>
      </c>
      <c r="R52" t="e">
        <f>IF(#REF!="","",#REF!)</f>
        <v>#REF!</v>
      </c>
      <c r="S52" t="e">
        <f>IF(#REF!="","",#REF!)</f>
        <v>#REF!</v>
      </c>
    </row>
    <row r="53" spans="1:19" ht="12.75" customHeight="1" x14ac:dyDescent="0.25">
      <c r="A53" s="180" t="e">
        <f>IF(#REF!="","",#REF!)</f>
        <v>#REF!</v>
      </c>
      <c r="B53" s="180" t="e">
        <f>IF(#REF!="","",#REF!)</f>
        <v>#REF!</v>
      </c>
      <c r="C53" s="180" t="e">
        <f>IF(#REF!="","",#REF!)</f>
        <v>#REF!</v>
      </c>
      <c r="D53" s="180" t="e">
        <f>IF(#REF!="","",#REF!)</f>
        <v>#REF!</v>
      </c>
      <c r="E53" s="180" t="e">
        <f>IF(#REF!="","",#REF!)</f>
        <v>#REF!</v>
      </c>
      <c r="F53" s="180" t="e">
        <f>IF(#REF!="","",#REF!)</f>
        <v>#REF!</v>
      </c>
      <c r="G53" s="180" t="e">
        <f>IF(#REF!="","",#REF!)</f>
        <v>#REF!</v>
      </c>
      <c r="H53" s="180" t="e">
        <f>IF(#REF!="","",#REF!)</f>
        <v>#REF!</v>
      </c>
      <c r="I53" s="180" t="e">
        <f>IF(#REF!="","",#REF!)</f>
        <v>#REF!</v>
      </c>
      <c r="J53" s="180" t="e">
        <f>IF(#REF!="","",#REF!)</f>
        <v>#REF!</v>
      </c>
      <c r="K53" s="180" t="e">
        <f>IF(#REF!="","",#REF!)</f>
        <v>#REF!</v>
      </c>
      <c r="L53" s="180" t="e">
        <f>IF(#REF!="","",#REF!)</f>
        <v>#REF!</v>
      </c>
      <c r="M53" s="180" t="e">
        <f>IF(#REF!="","",#REF!)</f>
        <v>#REF!</v>
      </c>
      <c r="N53" t="e">
        <f>IF(#REF!="","",#REF!)</f>
        <v>#REF!</v>
      </c>
      <c r="O53" t="e">
        <f>IF(#REF!="","",#REF!)</f>
        <v>#REF!</v>
      </c>
      <c r="P53" t="e">
        <f>IF(#REF!="","",#REF!)</f>
        <v>#REF!</v>
      </c>
      <c r="Q53" t="e">
        <f>IF(#REF!="","",#REF!)</f>
        <v>#REF!</v>
      </c>
      <c r="R53" t="e">
        <f>IF(#REF!="","",#REF!)</f>
        <v>#REF!</v>
      </c>
      <c r="S53" t="e">
        <f>IF(#REF!="","",#REF!)</f>
        <v>#REF!</v>
      </c>
    </row>
    <row r="54" spans="1:19" ht="12.75" customHeight="1" x14ac:dyDescent="0.25">
      <c r="A54" s="180" t="e">
        <f>IF(#REF!="","",#REF!)</f>
        <v>#REF!</v>
      </c>
      <c r="B54" s="180" t="e">
        <f>IF(#REF!="","",#REF!)</f>
        <v>#REF!</v>
      </c>
      <c r="C54" s="180" t="e">
        <f>IF(#REF!="","",#REF!)</f>
        <v>#REF!</v>
      </c>
      <c r="D54" s="180" t="e">
        <f>IF(#REF!="","",#REF!)</f>
        <v>#REF!</v>
      </c>
      <c r="E54" s="180" t="e">
        <f>IF(#REF!="","",#REF!)</f>
        <v>#REF!</v>
      </c>
      <c r="F54" s="180" t="e">
        <f>IF(#REF!="","",#REF!)</f>
        <v>#REF!</v>
      </c>
      <c r="G54" s="180" t="e">
        <f>IF(#REF!="","",#REF!)</f>
        <v>#REF!</v>
      </c>
      <c r="H54" s="180" t="e">
        <f>IF(#REF!="","",#REF!)</f>
        <v>#REF!</v>
      </c>
      <c r="I54" s="180" t="e">
        <f>IF(#REF!="","",#REF!)</f>
        <v>#REF!</v>
      </c>
      <c r="J54" s="180" t="e">
        <f>IF(#REF!="","",#REF!)</f>
        <v>#REF!</v>
      </c>
      <c r="K54" s="180" t="e">
        <f>IF(#REF!="","",#REF!)</f>
        <v>#REF!</v>
      </c>
      <c r="L54" s="180" t="e">
        <f>IF(#REF!="","",#REF!)</f>
        <v>#REF!</v>
      </c>
      <c r="M54" s="180" t="e">
        <f>IF(#REF!="","",#REF!)</f>
        <v>#REF!</v>
      </c>
      <c r="N54" t="e">
        <f>IF(#REF!="","",#REF!)</f>
        <v>#REF!</v>
      </c>
      <c r="O54" t="e">
        <f>IF(#REF!="","",#REF!)</f>
        <v>#REF!</v>
      </c>
      <c r="P54" t="e">
        <f>IF(#REF!="","",#REF!)</f>
        <v>#REF!</v>
      </c>
      <c r="Q54" t="e">
        <f>IF(#REF!="","",#REF!)</f>
        <v>#REF!</v>
      </c>
      <c r="R54" t="e">
        <f>IF(#REF!="","",#REF!)</f>
        <v>#REF!</v>
      </c>
      <c r="S54" t="e">
        <f>IF(#REF!="","",#REF!)</f>
        <v>#REF!</v>
      </c>
    </row>
    <row r="55" spans="1:19" ht="12.75" customHeight="1" x14ac:dyDescent="0.25">
      <c r="A55" s="180" t="e">
        <f>IF(#REF!="","",#REF!)</f>
        <v>#REF!</v>
      </c>
      <c r="B55" s="180" t="e">
        <f>IF(#REF!="","",#REF!)</f>
        <v>#REF!</v>
      </c>
      <c r="C55" s="180" t="e">
        <f>IF(#REF!="","",#REF!)</f>
        <v>#REF!</v>
      </c>
      <c r="D55" s="180" t="e">
        <f>IF(#REF!="","",#REF!)</f>
        <v>#REF!</v>
      </c>
      <c r="E55" s="180" t="e">
        <f>IF(#REF!="","",#REF!)</f>
        <v>#REF!</v>
      </c>
      <c r="F55" s="180" t="e">
        <f>IF(#REF!="","",#REF!)</f>
        <v>#REF!</v>
      </c>
      <c r="G55" s="180" t="e">
        <f>IF(#REF!="","",#REF!)</f>
        <v>#REF!</v>
      </c>
      <c r="H55" s="180" t="e">
        <f>IF(#REF!="","",#REF!)</f>
        <v>#REF!</v>
      </c>
      <c r="I55" s="180" t="e">
        <f>IF(#REF!="","",#REF!)</f>
        <v>#REF!</v>
      </c>
      <c r="J55" s="180" t="e">
        <f>IF(#REF!="","",#REF!)</f>
        <v>#REF!</v>
      </c>
      <c r="K55" s="180" t="e">
        <f>IF(#REF!="","",#REF!)</f>
        <v>#REF!</v>
      </c>
      <c r="L55" s="180" t="e">
        <f>IF(#REF!="","",#REF!)</f>
        <v>#REF!</v>
      </c>
      <c r="M55" s="180" t="e">
        <f>IF(#REF!="","",#REF!)</f>
        <v>#REF!</v>
      </c>
      <c r="N55" t="e">
        <f>IF(#REF!="","",#REF!)</f>
        <v>#REF!</v>
      </c>
      <c r="O55" t="e">
        <f>IF(#REF!="","",#REF!)</f>
        <v>#REF!</v>
      </c>
      <c r="P55" t="e">
        <f>IF(#REF!="","",#REF!)</f>
        <v>#REF!</v>
      </c>
      <c r="Q55" t="e">
        <f>IF(#REF!="","",#REF!)</f>
        <v>#REF!</v>
      </c>
      <c r="R55" t="e">
        <f>IF(#REF!="","",#REF!)</f>
        <v>#REF!</v>
      </c>
      <c r="S55" t="e">
        <f>IF(#REF!="","",#REF!)</f>
        <v>#REF!</v>
      </c>
    </row>
    <row r="56" spans="1:19" ht="12.75" customHeight="1" x14ac:dyDescent="0.25">
      <c r="A56" s="180" t="e">
        <f>IF(#REF!="","",#REF!)</f>
        <v>#REF!</v>
      </c>
      <c r="B56" s="180" t="e">
        <f>IF(#REF!="","",#REF!)</f>
        <v>#REF!</v>
      </c>
      <c r="C56" s="309" t="e">
        <f>IF(#REF!="","",#REF!)</f>
        <v>#REF!</v>
      </c>
      <c r="D56" s="180" t="e">
        <f>IF(#REF!="","",#REF!)</f>
        <v>#REF!</v>
      </c>
      <c r="E56" s="309" t="e">
        <f>IF(#REF!="","",#REF!)</f>
        <v>#REF!</v>
      </c>
      <c r="F56" s="309" t="e">
        <f>IF(#REF!="","",#REF!)</f>
        <v>#REF!</v>
      </c>
      <c r="G56" s="309" t="e">
        <f>IF(#REF!="","",#REF!)</f>
        <v>#REF!</v>
      </c>
      <c r="H56" s="180" t="e">
        <f>IF(#REF!="","",#REF!)</f>
        <v>#REF!</v>
      </c>
      <c r="I56" s="309" t="e">
        <f>IF(#REF!="","",#REF!)</f>
        <v>#REF!</v>
      </c>
      <c r="J56" s="180" t="e">
        <f>IF(#REF!="","",#REF!)</f>
        <v>#REF!</v>
      </c>
      <c r="K56" s="180" t="e">
        <f>IF(#REF!="","",#REF!)</f>
        <v>#REF!</v>
      </c>
      <c r="L56" s="180" t="e">
        <f>IF(#REF!="","",#REF!)</f>
        <v>#REF!</v>
      </c>
      <c r="M56" s="180" t="e">
        <f>IF(#REF!="","",#REF!)</f>
        <v>#REF!</v>
      </c>
      <c r="N56" t="e">
        <f>IF(#REF!="","",#REF!)</f>
        <v>#REF!</v>
      </c>
      <c r="O56" t="e">
        <f>IF(#REF!="","",#REF!)</f>
        <v>#REF!</v>
      </c>
      <c r="P56" t="e">
        <f>IF(#REF!="","",#REF!)</f>
        <v>#REF!</v>
      </c>
      <c r="Q56" t="e">
        <f>IF(#REF!="","",#REF!)</f>
        <v>#REF!</v>
      </c>
      <c r="R56" t="e">
        <f>IF(#REF!="","",#REF!)</f>
        <v>#REF!</v>
      </c>
      <c r="S56" t="e">
        <f>IF(#REF!="","",#REF!)</f>
        <v>#REF!</v>
      </c>
    </row>
    <row r="57" spans="1:19" ht="12.75" customHeight="1" x14ac:dyDescent="0.25">
      <c r="A57" s="180" t="e">
        <f>IF(#REF!="","",#REF!)</f>
        <v>#REF!</v>
      </c>
      <c r="B57" s="180" t="e">
        <f>IF(#REF!="","",#REF!)</f>
        <v>#REF!</v>
      </c>
      <c r="C57" s="180" t="e">
        <f>IF(#REF!="","",#REF!)</f>
        <v>#REF!</v>
      </c>
      <c r="D57" s="180" t="e">
        <f>IF(#REF!="","",#REF!)</f>
        <v>#REF!</v>
      </c>
      <c r="E57" s="180" t="e">
        <f>IF(#REF!="","",#REF!)</f>
        <v>#REF!</v>
      </c>
      <c r="F57" s="180" t="e">
        <f>IF(#REF!="","",#REF!)</f>
        <v>#REF!</v>
      </c>
      <c r="G57" s="180" t="e">
        <f>IF(#REF!="","",#REF!)</f>
        <v>#REF!</v>
      </c>
      <c r="H57" s="180" t="e">
        <f>IF(#REF!="","",#REF!)</f>
        <v>#REF!</v>
      </c>
      <c r="I57" s="180" t="e">
        <f>IF(#REF!="","",#REF!)</f>
        <v>#REF!</v>
      </c>
      <c r="J57" s="180" t="e">
        <f>IF(#REF!="","",#REF!)</f>
        <v>#REF!</v>
      </c>
      <c r="K57" s="180" t="e">
        <f>IF(#REF!="","",#REF!)</f>
        <v>#REF!</v>
      </c>
      <c r="L57" s="180" t="e">
        <f>IF(#REF!="","",#REF!)</f>
        <v>#REF!</v>
      </c>
      <c r="M57" s="180" t="e">
        <f>IF(#REF!="","",#REF!)</f>
        <v>#REF!</v>
      </c>
      <c r="N57" t="e">
        <f>IF(#REF!="","",#REF!)</f>
        <v>#REF!</v>
      </c>
      <c r="O57" t="e">
        <f>IF(#REF!="","",#REF!)</f>
        <v>#REF!</v>
      </c>
      <c r="P57" t="e">
        <f>IF(#REF!="","",#REF!)</f>
        <v>#REF!</v>
      </c>
      <c r="Q57" t="e">
        <f>IF(#REF!="","",#REF!)</f>
        <v>#REF!</v>
      </c>
      <c r="R57" t="e">
        <f>IF(#REF!="","",#REF!)</f>
        <v>#REF!</v>
      </c>
      <c r="S57" t="e">
        <f>IF(#REF!="","",#REF!)</f>
        <v>#REF!</v>
      </c>
    </row>
    <row r="58" spans="1:19" ht="12.75" customHeight="1" x14ac:dyDescent="0.25">
      <c r="A58" s="180" t="e">
        <f>IF(#REF!="","",#REF!)</f>
        <v>#REF!</v>
      </c>
      <c r="B58" s="180" t="e">
        <f>IF(#REF!="","",#REF!)</f>
        <v>#REF!</v>
      </c>
      <c r="C58" s="309" t="e">
        <f>IF(#REF!="","",#REF!)</f>
        <v>#REF!</v>
      </c>
      <c r="D58" s="180" t="e">
        <f>IF(#REF!="","",#REF!)</f>
        <v>#REF!</v>
      </c>
      <c r="E58" s="309" t="e">
        <f>IF(#REF!="","",#REF!)</f>
        <v>#REF!</v>
      </c>
      <c r="F58" s="309" t="e">
        <f>IF(#REF!="","",#REF!)</f>
        <v>#REF!</v>
      </c>
      <c r="G58" s="309" t="e">
        <f>IF(#REF!="","",#REF!)</f>
        <v>#REF!</v>
      </c>
      <c r="H58" s="180" t="e">
        <f>IF(#REF!="","",#REF!)</f>
        <v>#REF!</v>
      </c>
      <c r="I58" s="309" t="e">
        <f>IF(#REF!="","",#REF!)</f>
        <v>#REF!</v>
      </c>
      <c r="J58" s="180" t="e">
        <f>IF(#REF!="","",#REF!)</f>
        <v>#REF!</v>
      </c>
      <c r="K58" s="180" t="e">
        <f>IF(#REF!="","",#REF!)</f>
        <v>#REF!</v>
      </c>
      <c r="L58" s="180" t="e">
        <f>IF(#REF!="","",#REF!)</f>
        <v>#REF!</v>
      </c>
      <c r="M58" s="180" t="e">
        <f>IF(#REF!="","",#REF!)</f>
        <v>#REF!</v>
      </c>
      <c r="N58" t="e">
        <f>IF(#REF!="","",#REF!)</f>
        <v>#REF!</v>
      </c>
      <c r="O58" t="e">
        <f>IF(#REF!="","",#REF!)</f>
        <v>#REF!</v>
      </c>
      <c r="P58" t="e">
        <f>IF(#REF!="","",#REF!)</f>
        <v>#REF!</v>
      </c>
      <c r="Q58" t="e">
        <f>IF(#REF!="","",#REF!)</f>
        <v>#REF!</v>
      </c>
      <c r="R58" t="e">
        <f>IF(#REF!="","",#REF!)</f>
        <v>#REF!</v>
      </c>
      <c r="S58" t="e">
        <f>IF(#REF!="","",#REF!)</f>
        <v>#REF!</v>
      </c>
    </row>
    <row r="59" spans="1:19" ht="12.75" customHeight="1" x14ac:dyDescent="0.25">
      <c r="A59" s="180" t="e">
        <f>IF(#REF!="","",#REF!)</f>
        <v>#REF!</v>
      </c>
      <c r="B59" s="180" t="e">
        <f>IF(#REF!="","",#REF!)</f>
        <v>#REF!</v>
      </c>
      <c r="C59" s="180" t="e">
        <f>IF(#REF!="","",#REF!)</f>
        <v>#REF!</v>
      </c>
      <c r="D59" s="180" t="e">
        <f>IF(#REF!="","",#REF!)</f>
        <v>#REF!</v>
      </c>
      <c r="E59" s="180" t="e">
        <f>IF(#REF!="","",#REF!)</f>
        <v>#REF!</v>
      </c>
      <c r="F59" s="180" t="e">
        <f>IF(#REF!="","",#REF!)</f>
        <v>#REF!</v>
      </c>
      <c r="G59" s="180" t="e">
        <f>IF(#REF!="","",#REF!)</f>
        <v>#REF!</v>
      </c>
      <c r="H59" s="180" t="e">
        <f>IF(#REF!="","",#REF!)</f>
        <v>#REF!</v>
      </c>
      <c r="I59" s="180" t="e">
        <f>IF(#REF!="","",#REF!)</f>
        <v>#REF!</v>
      </c>
      <c r="J59" s="180" t="e">
        <f>IF(#REF!="","",#REF!)</f>
        <v>#REF!</v>
      </c>
      <c r="K59" s="180" t="e">
        <f>IF(#REF!="","",#REF!)</f>
        <v>#REF!</v>
      </c>
      <c r="L59" s="180" t="e">
        <f>IF(#REF!="","",#REF!)</f>
        <v>#REF!</v>
      </c>
      <c r="M59" s="180" t="e">
        <f>IF(#REF!="","",#REF!)</f>
        <v>#REF!</v>
      </c>
      <c r="N59" t="e">
        <f>IF(#REF!="","",#REF!)</f>
        <v>#REF!</v>
      </c>
      <c r="O59" t="e">
        <f>IF(#REF!="","",#REF!)</f>
        <v>#REF!</v>
      </c>
      <c r="P59" t="e">
        <f>IF(#REF!="","",#REF!)</f>
        <v>#REF!</v>
      </c>
      <c r="Q59" t="e">
        <f>IF(#REF!="","",#REF!)</f>
        <v>#REF!</v>
      </c>
      <c r="R59" t="e">
        <f>IF(#REF!="","",#REF!)</f>
        <v>#REF!</v>
      </c>
      <c r="S59" t="e">
        <f>IF(#REF!="","",#REF!)</f>
        <v>#REF!</v>
      </c>
    </row>
    <row r="60" spans="1:19" ht="12.75" customHeight="1" x14ac:dyDescent="0.25">
      <c r="A60" s="180" t="e">
        <f>IF(#REF!="","",#REF!)</f>
        <v>#REF!</v>
      </c>
      <c r="B60" s="180" t="e">
        <f>IF(#REF!="","",#REF!)</f>
        <v>#REF!</v>
      </c>
      <c r="C60" s="309" t="e">
        <f>IF(#REF!="","",#REF!)</f>
        <v>#REF!</v>
      </c>
      <c r="D60" s="180" t="e">
        <f>IF(#REF!="","",#REF!)</f>
        <v>#REF!</v>
      </c>
      <c r="E60" s="309" t="e">
        <f>IF(#REF!="","",#REF!)</f>
        <v>#REF!</v>
      </c>
      <c r="F60" s="180" t="e">
        <f>IF(#REF!="","",#REF!)</f>
        <v>#REF!</v>
      </c>
      <c r="G60" s="180" t="e">
        <f>IF(#REF!="","",#REF!)</f>
        <v>#REF!</v>
      </c>
      <c r="H60" s="180" t="e">
        <f>IF(#REF!="","",#REF!)</f>
        <v>#REF!</v>
      </c>
      <c r="I60" s="180" t="e">
        <f>IF(#REF!="","",#REF!)</f>
        <v>#REF!</v>
      </c>
      <c r="J60" s="180" t="e">
        <f>IF(#REF!="","",#REF!)</f>
        <v>#REF!</v>
      </c>
      <c r="K60" s="180" t="e">
        <f>IF(#REF!="","",#REF!)</f>
        <v>#REF!</v>
      </c>
      <c r="L60" s="180" t="e">
        <f>IF(#REF!="","",#REF!)</f>
        <v>#REF!</v>
      </c>
      <c r="M60" s="180" t="e">
        <f>IF(#REF!="","",#REF!)</f>
        <v>#REF!</v>
      </c>
      <c r="N60" t="e">
        <f>IF(#REF!="","",#REF!)</f>
        <v>#REF!</v>
      </c>
      <c r="O60" t="e">
        <f>IF(#REF!="","",#REF!)</f>
        <v>#REF!</v>
      </c>
      <c r="P60" t="e">
        <f>IF(#REF!="","",#REF!)</f>
        <v>#REF!</v>
      </c>
      <c r="Q60" t="e">
        <f>IF(#REF!="","",#REF!)</f>
        <v>#REF!</v>
      </c>
      <c r="R60" t="e">
        <f>IF(#REF!="","",#REF!)</f>
        <v>#REF!</v>
      </c>
      <c r="S60" t="e">
        <f>IF(#REF!="","",#REF!)</f>
        <v>#REF!</v>
      </c>
    </row>
    <row r="61" spans="1:19" ht="12.75" customHeight="1" x14ac:dyDescent="0.25">
      <c r="A61" s="180" t="e">
        <f>IF(#REF!="","",#REF!)</f>
        <v>#REF!</v>
      </c>
      <c r="B61" s="180" t="e">
        <f>IF(#REF!="","",#REF!)</f>
        <v>#REF!</v>
      </c>
      <c r="C61" s="180" t="e">
        <f>IF(#REF!="","",#REF!)</f>
        <v>#REF!</v>
      </c>
      <c r="D61" s="180" t="e">
        <f>IF(#REF!="","",#REF!)</f>
        <v>#REF!</v>
      </c>
      <c r="E61" s="180" t="e">
        <f>IF(#REF!="","",#REF!)</f>
        <v>#REF!</v>
      </c>
      <c r="F61" s="309" t="e">
        <f>IF(#REF!="","",#REF!)</f>
        <v>#REF!</v>
      </c>
      <c r="G61" s="309" t="e">
        <f>IF(#REF!="","",#REF!)</f>
        <v>#REF!</v>
      </c>
      <c r="H61" s="180" t="e">
        <f>IF(#REF!="","",#REF!)</f>
        <v>#REF!</v>
      </c>
      <c r="I61" s="309" t="e">
        <f>IF(#REF!="","",#REF!)</f>
        <v>#REF!</v>
      </c>
      <c r="J61" s="180" t="e">
        <f>IF(#REF!="","",#REF!)</f>
        <v>#REF!</v>
      </c>
      <c r="K61" s="180" t="e">
        <f>IF(#REF!="","",#REF!)</f>
        <v>#REF!</v>
      </c>
      <c r="L61" s="180" t="e">
        <f>IF(#REF!="","",#REF!)</f>
        <v>#REF!</v>
      </c>
      <c r="M61" s="180" t="e">
        <f>IF(#REF!="","",#REF!)</f>
        <v>#REF!</v>
      </c>
      <c r="N61" t="e">
        <f>IF(#REF!="","",#REF!)</f>
        <v>#REF!</v>
      </c>
      <c r="O61" t="e">
        <f>IF(#REF!="","",#REF!)</f>
        <v>#REF!</v>
      </c>
      <c r="P61" t="e">
        <f>IF(#REF!="","",#REF!)</f>
        <v>#REF!</v>
      </c>
      <c r="Q61" t="e">
        <f>IF(#REF!="","",#REF!)</f>
        <v>#REF!</v>
      </c>
      <c r="R61" t="e">
        <f>IF(#REF!="","",#REF!)</f>
        <v>#REF!</v>
      </c>
      <c r="S61" t="e">
        <f>IF(#REF!="","",#REF!)</f>
        <v>#REF!</v>
      </c>
    </row>
    <row r="62" spans="1:19" ht="12.75" customHeight="1" x14ac:dyDescent="0.25">
      <c r="A62" s="180" t="e">
        <f>IF(#REF!="","",#REF!)</f>
        <v>#REF!</v>
      </c>
      <c r="B62" s="180" t="e">
        <f>IF(#REF!="","",#REF!)</f>
        <v>#REF!</v>
      </c>
      <c r="C62" s="309" t="e">
        <f>IF(#REF!="","",#REF!)</f>
        <v>#REF!</v>
      </c>
      <c r="D62" s="180" t="e">
        <f>IF(#REF!="","",#REF!)</f>
        <v>#REF!</v>
      </c>
      <c r="E62" s="309" t="e">
        <f>IF(#REF!="","",#REF!)</f>
        <v>#REF!</v>
      </c>
      <c r="F62" s="309" t="e">
        <f>IF(#REF!="","",#REF!)</f>
        <v>#REF!</v>
      </c>
      <c r="G62" s="309" t="e">
        <f>IF(#REF!="","",#REF!)</f>
        <v>#REF!</v>
      </c>
      <c r="H62" s="180" t="e">
        <f>IF(#REF!="","",#REF!)</f>
        <v>#REF!</v>
      </c>
      <c r="I62" s="309" t="e">
        <f>IF(#REF!="","",#REF!)</f>
        <v>#REF!</v>
      </c>
      <c r="J62" s="180" t="e">
        <f>IF(#REF!="","",#REF!)</f>
        <v>#REF!</v>
      </c>
      <c r="K62" s="180" t="e">
        <f>IF(#REF!="","",#REF!)</f>
        <v>#REF!</v>
      </c>
      <c r="L62" s="180" t="e">
        <f>IF(#REF!="","",#REF!)</f>
        <v>#REF!</v>
      </c>
      <c r="M62" s="180" t="e">
        <f>IF(#REF!="","",#REF!)</f>
        <v>#REF!</v>
      </c>
      <c r="N62" t="e">
        <f>IF(#REF!="","",#REF!)</f>
        <v>#REF!</v>
      </c>
      <c r="O62" t="e">
        <f>IF(#REF!="","",#REF!)</f>
        <v>#REF!</v>
      </c>
      <c r="P62" t="e">
        <f>IF(#REF!="","",#REF!)</f>
        <v>#REF!</v>
      </c>
      <c r="Q62" t="e">
        <f>IF(#REF!="","",#REF!)</f>
        <v>#REF!</v>
      </c>
      <c r="R62" t="e">
        <f>IF(#REF!="","",#REF!)</f>
        <v>#REF!</v>
      </c>
      <c r="S62" t="e">
        <f>IF(#REF!="","",#REF!)</f>
        <v>#REF!</v>
      </c>
    </row>
    <row r="63" spans="1:19" ht="12.75" customHeight="1" x14ac:dyDescent="0.25">
      <c r="A63" s="180" t="e">
        <f>IF(#REF!="","",#REF!)</f>
        <v>#REF!</v>
      </c>
      <c r="B63" s="180" t="e">
        <f>IF(#REF!="","",#REF!)</f>
        <v>#REF!</v>
      </c>
      <c r="C63" s="180" t="e">
        <f>IF(#REF!="","",#REF!)</f>
        <v>#REF!</v>
      </c>
      <c r="D63" s="180" t="e">
        <f>IF(#REF!="","",#REF!)</f>
        <v>#REF!</v>
      </c>
      <c r="E63" s="180" t="e">
        <f>IF(#REF!="","",#REF!)</f>
        <v>#REF!</v>
      </c>
      <c r="F63" s="180" t="e">
        <f>IF(#REF!="","",#REF!)</f>
        <v>#REF!</v>
      </c>
      <c r="G63" s="180" t="e">
        <f>IF(#REF!="","",#REF!)</f>
        <v>#REF!</v>
      </c>
      <c r="H63" s="180" t="e">
        <f>IF(#REF!="","",#REF!)</f>
        <v>#REF!</v>
      </c>
      <c r="I63" s="180" t="e">
        <f>IF(#REF!="","",#REF!)</f>
        <v>#REF!</v>
      </c>
      <c r="J63" s="180" t="e">
        <f>IF(#REF!="","",#REF!)</f>
        <v>#REF!</v>
      </c>
      <c r="K63" s="180" t="e">
        <f>IF(#REF!="","",#REF!)</f>
        <v>#REF!</v>
      </c>
      <c r="L63" s="180" t="e">
        <f>IF(#REF!="","",#REF!)</f>
        <v>#REF!</v>
      </c>
      <c r="M63" s="180" t="e">
        <f>IF(#REF!="","",#REF!)</f>
        <v>#REF!</v>
      </c>
      <c r="N63" t="e">
        <f>IF(#REF!="","",#REF!)</f>
        <v>#REF!</v>
      </c>
      <c r="O63" t="e">
        <f>IF(#REF!="","",#REF!)</f>
        <v>#REF!</v>
      </c>
      <c r="P63" t="e">
        <f>IF(#REF!="","",#REF!)</f>
        <v>#REF!</v>
      </c>
      <c r="Q63" t="e">
        <f>IF(#REF!="","",#REF!)</f>
        <v>#REF!</v>
      </c>
      <c r="R63" t="e">
        <f>IF(#REF!="","",#REF!)</f>
        <v>#REF!</v>
      </c>
      <c r="S63" t="e">
        <f>IF(#REF!="","",#REF!)</f>
        <v>#REF!</v>
      </c>
    </row>
    <row r="64" spans="1:19" ht="12.75" customHeight="1" x14ac:dyDescent="0.25">
      <c r="A64" s="180" t="e">
        <f>IF(#REF!="","",#REF!)</f>
        <v>#REF!</v>
      </c>
      <c r="B64" s="180" t="e">
        <f>IF(#REF!="","",#REF!)</f>
        <v>#REF!</v>
      </c>
      <c r="C64" s="309" t="e">
        <f>IF(#REF!="","",#REF!)</f>
        <v>#REF!</v>
      </c>
      <c r="D64" s="180" t="e">
        <f>IF(#REF!="","",#REF!)</f>
        <v>#REF!</v>
      </c>
      <c r="E64" s="309" t="e">
        <f>IF(#REF!="","",#REF!)</f>
        <v>#REF!</v>
      </c>
      <c r="F64" s="180" t="e">
        <f>IF(#REF!="","",#REF!)</f>
        <v>#REF!</v>
      </c>
      <c r="G64" s="180" t="e">
        <f>IF(#REF!="","",#REF!)</f>
        <v>#REF!</v>
      </c>
      <c r="H64" s="180" t="e">
        <f>IF(#REF!="","",#REF!)</f>
        <v>#REF!</v>
      </c>
      <c r="I64" s="180" t="e">
        <f>IF(#REF!="","",#REF!)</f>
        <v>#REF!</v>
      </c>
      <c r="J64" s="180" t="e">
        <f>IF(#REF!="","",#REF!)</f>
        <v>#REF!</v>
      </c>
      <c r="K64" s="180" t="e">
        <f>IF(#REF!="","",#REF!)</f>
        <v>#REF!</v>
      </c>
      <c r="L64" s="180" t="e">
        <f>IF(#REF!="","",#REF!)</f>
        <v>#REF!</v>
      </c>
      <c r="M64" s="180" t="e">
        <f>IF(#REF!="","",#REF!)</f>
        <v>#REF!</v>
      </c>
      <c r="N64" t="e">
        <f>IF(#REF!="","",#REF!)</f>
        <v>#REF!</v>
      </c>
      <c r="O64" t="e">
        <f>IF(#REF!="","",#REF!)</f>
        <v>#REF!</v>
      </c>
      <c r="P64" t="e">
        <f>IF(#REF!="","",#REF!)</f>
        <v>#REF!</v>
      </c>
      <c r="Q64" t="e">
        <f>IF(#REF!="","",#REF!)</f>
        <v>#REF!</v>
      </c>
      <c r="R64" t="e">
        <f>IF(#REF!="","",#REF!)</f>
        <v>#REF!</v>
      </c>
      <c r="S64" t="e">
        <f>IF(#REF!="","",#REF!)</f>
        <v>#REF!</v>
      </c>
    </row>
    <row r="65" spans="1:19" ht="12.75" customHeight="1" x14ac:dyDescent="0.25">
      <c r="A65" s="180" t="e">
        <f>IF(#REF!="","",#REF!)</f>
        <v>#REF!</v>
      </c>
      <c r="B65" s="180" t="e">
        <f>IF(#REF!="","",#REF!)</f>
        <v>#REF!</v>
      </c>
      <c r="C65" s="180" t="e">
        <f>IF(#REF!="","",#REF!)</f>
        <v>#REF!</v>
      </c>
      <c r="D65" s="180" t="e">
        <f>IF(#REF!="","",#REF!)</f>
        <v>#REF!</v>
      </c>
      <c r="E65" s="180" t="e">
        <f>IF(#REF!="","",#REF!)</f>
        <v>#REF!</v>
      </c>
      <c r="F65" s="309" t="e">
        <f>IF(#REF!="","",#REF!)</f>
        <v>#REF!</v>
      </c>
      <c r="G65" s="309" t="e">
        <f>IF(#REF!="","",#REF!)</f>
        <v>#REF!</v>
      </c>
      <c r="H65" s="180" t="e">
        <f>IF(#REF!="","",#REF!)</f>
        <v>#REF!</v>
      </c>
      <c r="I65" s="309" t="e">
        <f>IF(#REF!="","",#REF!)</f>
        <v>#REF!</v>
      </c>
      <c r="J65" s="180" t="e">
        <f>IF(#REF!="","",#REF!)</f>
        <v>#REF!</v>
      </c>
      <c r="K65" s="180" t="e">
        <f>IF(#REF!="","",#REF!)</f>
        <v>#REF!</v>
      </c>
      <c r="L65" s="180" t="e">
        <f>IF(#REF!="","",#REF!)</f>
        <v>#REF!</v>
      </c>
      <c r="M65" s="180" t="e">
        <f>IF(#REF!="","",#REF!)</f>
        <v>#REF!</v>
      </c>
      <c r="N65" t="e">
        <f>IF(#REF!="","",#REF!)</f>
        <v>#REF!</v>
      </c>
      <c r="O65" t="e">
        <f>IF(#REF!="","",#REF!)</f>
        <v>#REF!</v>
      </c>
      <c r="P65" t="e">
        <f>IF(#REF!="","",#REF!)</f>
        <v>#REF!</v>
      </c>
      <c r="Q65" t="e">
        <f>IF(#REF!="","",#REF!)</f>
        <v>#REF!</v>
      </c>
      <c r="R65" t="e">
        <f>IF(#REF!="","",#REF!)</f>
        <v>#REF!</v>
      </c>
      <c r="S65" t="e">
        <f>IF(#REF!="","",#REF!)</f>
        <v>#REF!</v>
      </c>
    </row>
    <row r="66" spans="1:19" ht="12.75" customHeight="1" x14ac:dyDescent="0.25">
      <c r="A66" s="180" t="e">
        <f>IF(#REF!="","",#REF!)</f>
        <v>#REF!</v>
      </c>
      <c r="B66" s="180" t="e">
        <f>IF(#REF!="","",#REF!)</f>
        <v>#REF!</v>
      </c>
      <c r="C66" s="180" t="e">
        <f>IF(#REF!="","",#REF!)</f>
        <v>#REF!</v>
      </c>
      <c r="D66" s="180" t="e">
        <f>IF(#REF!="","",#REF!)</f>
        <v>#REF!</v>
      </c>
      <c r="E66" s="180" t="e">
        <f>IF(#REF!="","",#REF!)</f>
        <v>#REF!</v>
      </c>
      <c r="F66" s="180" t="e">
        <f>IF(#REF!="","",#REF!)</f>
        <v>#REF!</v>
      </c>
      <c r="G66" s="180" t="e">
        <f>IF(#REF!="","",#REF!)</f>
        <v>#REF!</v>
      </c>
      <c r="H66" s="180" t="e">
        <f>IF(#REF!="","",#REF!)</f>
        <v>#REF!</v>
      </c>
      <c r="I66" s="180" t="e">
        <f>IF(#REF!="","",#REF!)</f>
        <v>#REF!</v>
      </c>
      <c r="J66" s="180" t="e">
        <f>IF(#REF!="","",#REF!)</f>
        <v>#REF!</v>
      </c>
      <c r="K66" s="180" t="e">
        <f>IF(#REF!="","",#REF!)</f>
        <v>#REF!</v>
      </c>
      <c r="L66" s="180" t="e">
        <f>IF(#REF!="","",#REF!)</f>
        <v>#REF!</v>
      </c>
      <c r="M66" s="180" t="e">
        <f>IF(#REF!="","",#REF!)</f>
        <v>#REF!</v>
      </c>
      <c r="N66" t="e">
        <f>IF(#REF!="","",#REF!)</f>
        <v>#REF!</v>
      </c>
      <c r="O66" t="e">
        <f>IF(#REF!="","",#REF!)</f>
        <v>#REF!</v>
      </c>
      <c r="P66" t="e">
        <f>IF(#REF!="","",#REF!)</f>
        <v>#REF!</v>
      </c>
      <c r="Q66" t="e">
        <f>IF(#REF!="","",#REF!)</f>
        <v>#REF!</v>
      </c>
      <c r="R66" t="e">
        <f>IF(#REF!="","",#REF!)</f>
        <v>#REF!</v>
      </c>
      <c r="S66" t="e">
        <f>IF(#REF!="","",#REF!)</f>
        <v>#REF!</v>
      </c>
    </row>
    <row r="67" spans="1:19" ht="12.75" customHeight="1" x14ac:dyDescent="0.25">
      <c r="A67" s="180" t="e">
        <f>IF(#REF!="","",#REF!)</f>
        <v>#REF!</v>
      </c>
      <c r="B67" s="180" t="e">
        <f>IF(#REF!="","",#REF!)</f>
        <v>#REF!</v>
      </c>
      <c r="C67" s="309" t="e">
        <f>IF(#REF!="","",#REF!)</f>
        <v>#REF!</v>
      </c>
      <c r="D67" s="180" t="e">
        <f>IF(#REF!="","",#REF!)</f>
        <v>#REF!</v>
      </c>
      <c r="E67" s="309" t="e">
        <f>IF(#REF!="","",#REF!)</f>
        <v>#REF!</v>
      </c>
      <c r="F67" s="309" t="e">
        <f>IF(#REF!="","",#REF!)</f>
        <v>#REF!</v>
      </c>
      <c r="G67" s="309" t="e">
        <f>IF(#REF!="","",#REF!)</f>
        <v>#REF!</v>
      </c>
      <c r="H67" s="180" t="e">
        <f>IF(#REF!="","",#REF!)</f>
        <v>#REF!</v>
      </c>
      <c r="I67" s="309" t="e">
        <f>IF(#REF!="","",#REF!)</f>
        <v>#REF!</v>
      </c>
      <c r="J67" s="180" t="e">
        <f>IF(#REF!="","",#REF!)</f>
        <v>#REF!</v>
      </c>
      <c r="K67" s="180" t="e">
        <f>IF(#REF!="","",#REF!)</f>
        <v>#REF!</v>
      </c>
      <c r="L67" s="180" t="e">
        <f>IF(#REF!="","",#REF!)</f>
        <v>#REF!</v>
      </c>
      <c r="M67" s="180" t="e">
        <f>IF(#REF!="","",#REF!)</f>
        <v>#REF!</v>
      </c>
      <c r="N67" t="e">
        <f>IF(#REF!="","",#REF!)</f>
        <v>#REF!</v>
      </c>
      <c r="O67" t="e">
        <f>IF(#REF!="","",#REF!)</f>
        <v>#REF!</v>
      </c>
      <c r="P67" t="e">
        <f>IF(#REF!="","",#REF!)</f>
        <v>#REF!</v>
      </c>
      <c r="Q67" t="e">
        <f>IF(#REF!="","",#REF!)</f>
        <v>#REF!</v>
      </c>
      <c r="R67" t="e">
        <f>IF(#REF!="","",#REF!)</f>
        <v>#REF!</v>
      </c>
      <c r="S67" t="e">
        <f>IF(#REF!="","",#REF!)</f>
        <v>#REF!</v>
      </c>
    </row>
    <row r="68" spans="1:19" ht="12.75" customHeight="1" x14ac:dyDescent="0.25">
      <c r="A68" s="180" t="e">
        <f>IF(#REF!="","",#REF!)</f>
        <v>#REF!</v>
      </c>
      <c r="B68" s="180" t="e">
        <f>IF(#REF!="","",#REF!)</f>
        <v>#REF!</v>
      </c>
      <c r="C68" s="180" t="e">
        <f>IF(#REF!="","",#REF!)</f>
        <v>#REF!</v>
      </c>
      <c r="D68" s="180" t="e">
        <f>IF(#REF!="","",#REF!)</f>
        <v>#REF!</v>
      </c>
      <c r="E68" s="180" t="e">
        <f>IF(#REF!="","",#REF!)</f>
        <v>#REF!</v>
      </c>
      <c r="F68" s="180" t="e">
        <f>IF(#REF!="","",#REF!)</f>
        <v>#REF!</v>
      </c>
      <c r="G68" s="180" t="e">
        <f>IF(#REF!="","",#REF!)</f>
        <v>#REF!</v>
      </c>
      <c r="H68" s="180" t="e">
        <f>IF(#REF!="","",#REF!)</f>
        <v>#REF!</v>
      </c>
      <c r="I68" s="180" t="e">
        <f>IF(#REF!="","",#REF!)</f>
        <v>#REF!</v>
      </c>
      <c r="J68" s="180" t="e">
        <f>IF(#REF!="","",#REF!)</f>
        <v>#REF!</v>
      </c>
      <c r="K68" s="180" t="e">
        <f>IF(#REF!="","",#REF!)</f>
        <v>#REF!</v>
      </c>
      <c r="L68" s="180" t="e">
        <f>IF(#REF!="","",#REF!)</f>
        <v>#REF!</v>
      </c>
      <c r="M68" s="180" t="e">
        <f>IF(#REF!="","",#REF!)</f>
        <v>#REF!</v>
      </c>
      <c r="N68" t="e">
        <f>IF(#REF!="","",#REF!)</f>
        <v>#REF!</v>
      </c>
      <c r="O68" t="e">
        <f>IF(#REF!="","",#REF!)</f>
        <v>#REF!</v>
      </c>
      <c r="P68" t="e">
        <f>IF(#REF!="","",#REF!)</f>
        <v>#REF!</v>
      </c>
      <c r="Q68" t="e">
        <f>IF(#REF!="","",#REF!)</f>
        <v>#REF!</v>
      </c>
      <c r="R68" t="e">
        <f>IF(#REF!="","",#REF!)</f>
        <v>#REF!</v>
      </c>
      <c r="S68" t="e">
        <f>IF(#REF!="","",#REF!)</f>
        <v>#REF!</v>
      </c>
    </row>
    <row r="69" spans="1:19" ht="12.75" customHeight="1" x14ac:dyDescent="0.25">
      <c r="A69" s="180" t="e">
        <f>IF(#REF!="","",#REF!)</f>
        <v>#REF!</v>
      </c>
      <c r="B69" s="180" t="e">
        <f>IF(#REF!="","",#REF!)</f>
        <v>#REF!</v>
      </c>
      <c r="C69" s="309" t="e">
        <f>IF(#REF!="","",#REF!)</f>
        <v>#REF!</v>
      </c>
      <c r="D69" s="180" t="e">
        <f>IF(#REF!="","",#REF!)</f>
        <v>#REF!</v>
      </c>
      <c r="E69" s="309" t="e">
        <f>IF(#REF!="","",#REF!)</f>
        <v>#REF!</v>
      </c>
      <c r="F69" s="180" t="e">
        <f>IF(#REF!="","",#REF!)</f>
        <v>#REF!</v>
      </c>
      <c r="G69" s="180" t="e">
        <f>IF(#REF!="","",#REF!)</f>
        <v>#REF!</v>
      </c>
      <c r="H69" s="180" t="e">
        <f>IF(#REF!="","",#REF!)</f>
        <v>#REF!</v>
      </c>
      <c r="I69" s="180" t="e">
        <f>IF(#REF!="","",#REF!)</f>
        <v>#REF!</v>
      </c>
      <c r="J69" s="180" t="e">
        <f>IF(#REF!="","",#REF!)</f>
        <v>#REF!</v>
      </c>
      <c r="K69" s="180" t="e">
        <f>IF(#REF!="","",#REF!)</f>
        <v>#REF!</v>
      </c>
      <c r="L69" s="180" t="e">
        <f>IF(#REF!="","",#REF!)</f>
        <v>#REF!</v>
      </c>
      <c r="M69" s="180" t="e">
        <f>IF(#REF!="","",#REF!)</f>
        <v>#REF!</v>
      </c>
      <c r="N69" t="e">
        <f>IF(#REF!="","",#REF!)</f>
        <v>#REF!</v>
      </c>
      <c r="O69" t="e">
        <f>IF(#REF!="","",#REF!)</f>
        <v>#REF!</v>
      </c>
      <c r="P69" t="e">
        <f>IF(#REF!="","",#REF!)</f>
        <v>#REF!</v>
      </c>
      <c r="Q69" t="e">
        <f>IF(#REF!="","",#REF!)</f>
        <v>#REF!</v>
      </c>
      <c r="R69" t="e">
        <f>IF(#REF!="","",#REF!)</f>
        <v>#REF!</v>
      </c>
      <c r="S69" t="e">
        <f>IF(#REF!="","",#REF!)</f>
        <v>#REF!</v>
      </c>
    </row>
    <row r="70" spans="1:19" ht="12.75" customHeight="1" x14ac:dyDescent="0.25">
      <c r="A70" s="180" t="e">
        <f>IF(#REF!="","",#REF!)</f>
        <v>#REF!</v>
      </c>
      <c r="B70" s="180" t="e">
        <f>IF(#REF!="","",#REF!)</f>
        <v>#REF!</v>
      </c>
      <c r="C70" s="180" t="e">
        <f>IF(#REF!="","",#REF!)</f>
        <v>#REF!</v>
      </c>
      <c r="D70" s="180" t="e">
        <f>IF(#REF!="","",#REF!)</f>
        <v>#REF!</v>
      </c>
      <c r="E70" s="180" t="e">
        <f>IF(#REF!="","",#REF!)</f>
        <v>#REF!</v>
      </c>
      <c r="F70" s="309" t="e">
        <f>IF(#REF!="","",#REF!)</f>
        <v>#REF!</v>
      </c>
      <c r="G70" s="309" t="e">
        <f>IF(#REF!="","",#REF!)</f>
        <v>#REF!</v>
      </c>
      <c r="H70" s="180" t="e">
        <f>IF(#REF!="","",#REF!)</f>
        <v>#REF!</v>
      </c>
      <c r="I70" s="309" t="e">
        <f>IF(#REF!="","",#REF!)</f>
        <v>#REF!</v>
      </c>
      <c r="J70" s="180" t="e">
        <f>IF(#REF!="","",#REF!)</f>
        <v>#REF!</v>
      </c>
      <c r="K70" s="180" t="e">
        <f>IF(#REF!="","",#REF!)</f>
        <v>#REF!</v>
      </c>
      <c r="L70" s="180" t="e">
        <f>IF(#REF!="","",#REF!)</f>
        <v>#REF!</v>
      </c>
      <c r="M70" s="180" t="e">
        <f>IF(#REF!="","",#REF!)</f>
        <v>#REF!</v>
      </c>
      <c r="N70" t="e">
        <f>IF(#REF!="","",#REF!)</f>
        <v>#REF!</v>
      </c>
      <c r="O70" t="e">
        <f>IF(#REF!="","",#REF!)</f>
        <v>#REF!</v>
      </c>
      <c r="P70" t="e">
        <f>IF(#REF!="","",#REF!)</f>
        <v>#REF!</v>
      </c>
      <c r="Q70" t="e">
        <f>IF(#REF!="","",#REF!)</f>
        <v>#REF!</v>
      </c>
      <c r="R70" t="e">
        <f>IF(#REF!="","",#REF!)</f>
        <v>#REF!</v>
      </c>
      <c r="S70" t="e">
        <f>IF(#REF!="","",#REF!)</f>
        <v>#REF!</v>
      </c>
    </row>
    <row r="71" spans="1:19" ht="12.75" customHeight="1" x14ac:dyDescent="0.25">
      <c r="A71" s="180" t="e">
        <f>IF(#REF!="","",#REF!)</f>
        <v>#REF!</v>
      </c>
      <c r="B71" s="180" t="e">
        <f>IF(#REF!="","",#REF!)</f>
        <v>#REF!</v>
      </c>
      <c r="C71" s="309" t="e">
        <f>IF(#REF!="","",#REF!)</f>
        <v>#REF!</v>
      </c>
      <c r="D71" s="180" t="e">
        <f>IF(#REF!="","",#REF!)</f>
        <v>#REF!</v>
      </c>
      <c r="E71" s="309" t="e">
        <f>IF(#REF!="","",#REF!)</f>
        <v>#REF!</v>
      </c>
      <c r="F71" s="180" t="e">
        <f>IF(#REF!="","",#REF!)</f>
        <v>#REF!</v>
      </c>
      <c r="G71" s="180" t="e">
        <f>IF(#REF!="","",#REF!)</f>
        <v>#REF!</v>
      </c>
      <c r="H71" s="180" t="e">
        <f>IF(#REF!="","",#REF!)</f>
        <v>#REF!</v>
      </c>
      <c r="I71" s="180" t="e">
        <f>IF(#REF!="","",#REF!)</f>
        <v>#REF!</v>
      </c>
      <c r="J71" s="309" t="e">
        <f>IF(#REF!="","",#REF!)</f>
        <v>#REF!</v>
      </c>
      <c r="K71" s="309" t="e">
        <f>IF(#REF!="","",#REF!)</f>
        <v>#REF!</v>
      </c>
      <c r="L71" s="309" t="e">
        <f>IF(#REF!="","",#REF!)</f>
        <v>#REF!</v>
      </c>
      <c r="M71" s="180" t="e">
        <f>IF(#REF!="","",#REF!)</f>
        <v>#REF!</v>
      </c>
      <c r="N71" t="e">
        <f>IF(#REF!="","",#REF!)</f>
        <v>#REF!</v>
      </c>
      <c r="O71" t="e">
        <f>IF(#REF!="","",#REF!)</f>
        <v>#REF!</v>
      </c>
      <c r="P71" t="e">
        <f>IF(#REF!="","",#REF!)</f>
        <v>#REF!</v>
      </c>
      <c r="Q71" t="e">
        <f>IF(#REF!="","",#REF!)</f>
        <v>#REF!</v>
      </c>
      <c r="R71" t="e">
        <f>IF(#REF!="","",#REF!)</f>
        <v>#REF!</v>
      </c>
      <c r="S71" t="e">
        <f>IF(#REF!="","",#REF!)</f>
        <v>#REF!</v>
      </c>
    </row>
    <row r="72" spans="1:19" ht="12.75" customHeight="1" x14ac:dyDescent="0.25">
      <c r="A72" s="180" t="e">
        <f>IF(#REF!="","",#REF!)</f>
        <v>#REF!</v>
      </c>
      <c r="B72" s="180" t="e">
        <f>IF(#REF!="","",#REF!)</f>
        <v>#REF!</v>
      </c>
      <c r="C72" s="180" t="e">
        <f>IF(#REF!="","",#REF!)</f>
        <v>#REF!</v>
      </c>
      <c r="D72" s="180" t="e">
        <f>IF(#REF!="","",#REF!)</f>
        <v>#REF!</v>
      </c>
      <c r="E72" s="180" t="e">
        <f>IF(#REF!="","",#REF!)</f>
        <v>#REF!</v>
      </c>
      <c r="F72" s="309" t="e">
        <f>IF(#REF!="","",#REF!)</f>
        <v>#REF!</v>
      </c>
      <c r="G72" s="309" t="e">
        <f>IF(#REF!="","",#REF!)</f>
        <v>#REF!</v>
      </c>
      <c r="H72" s="180" t="e">
        <f>IF(#REF!="","",#REF!)</f>
        <v>#REF!</v>
      </c>
      <c r="I72" s="309" t="e">
        <f>IF(#REF!="","",#REF!)</f>
        <v>#REF!</v>
      </c>
      <c r="J72" s="180" t="e">
        <f>IF(#REF!="","",#REF!)</f>
        <v>#REF!</v>
      </c>
      <c r="K72" s="180" t="e">
        <f>IF(#REF!="","",#REF!)</f>
        <v>#REF!</v>
      </c>
      <c r="L72" s="180" t="e">
        <f>IF(#REF!="","",#REF!)</f>
        <v>#REF!</v>
      </c>
      <c r="M72" s="180" t="e">
        <f>IF(#REF!="","",#REF!)</f>
        <v>#REF!</v>
      </c>
      <c r="N72" t="e">
        <f>IF(#REF!="","",#REF!)</f>
        <v>#REF!</v>
      </c>
      <c r="O72" t="e">
        <f>IF(#REF!="","",#REF!)</f>
        <v>#REF!</v>
      </c>
      <c r="P72" t="e">
        <f>IF(#REF!="","",#REF!)</f>
        <v>#REF!</v>
      </c>
      <c r="Q72" t="e">
        <f>IF(#REF!="","",#REF!)</f>
        <v>#REF!</v>
      </c>
      <c r="R72" t="e">
        <f>IF(#REF!="","",#REF!)</f>
        <v>#REF!</v>
      </c>
      <c r="S72" t="e">
        <f>IF(#REF!="","",#REF!)</f>
        <v>#REF!</v>
      </c>
    </row>
    <row r="73" spans="1:19" ht="12.75" customHeight="1" x14ac:dyDescent="0.25">
      <c r="A73" s="180" t="e">
        <f>IF(#REF!="","",#REF!)</f>
        <v>#REF!</v>
      </c>
      <c r="B73" s="180" t="e">
        <f>IF(#REF!="","",#REF!)</f>
        <v>#REF!</v>
      </c>
      <c r="C73" s="180" t="e">
        <f>IF(#REF!="","",#REF!)</f>
        <v>#REF!</v>
      </c>
      <c r="D73" s="180" t="e">
        <f>IF(#REF!="","",#REF!)</f>
        <v>#REF!</v>
      </c>
      <c r="E73" s="180" t="e">
        <f>IF(#REF!="","",#REF!)</f>
        <v>#REF!</v>
      </c>
      <c r="F73" s="180" t="e">
        <f>IF(#REF!="","",#REF!)</f>
        <v>#REF!</v>
      </c>
      <c r="G73" s="180" t="e">
        <f>IF(#REF!="","",#REF!)</f>
        <v>#REF!</v>
      </c>
      <c r="H73" s="180" t="e">
        <f>IF(#REF!="","",#REF!)</f>
        <v>#REF!</v>
      </c>
      <c r="I73" s="180" t="e">
        <f>IF(#REF!="","",#REF!)</f>
        <v>#REF!</v>
      </c>
      <c r="J73" s="309" t="e">
        <f>IF(#REF!="","",#REF!)</f>
        <v>#REF!</v>
      </c>
      <c r="K73" s="309" t="e">
        <f>IF(#REF!="","",#REF!)</f>
        <v>#REF!</v>
      </c>
      <c r="L73" s="309" t="e">
        <f>IF(#REF!="","",#REF!)</f>
        <v>#REF!</v>
      </c>
      <c r="M73" s="180" t="e">
        <f>IF(#REF!="","",#REF!)</f>
        <v>#REF!</v>
      </c>
      <c r="N73" t="e">
        <f>IF(#REF!="","",#REF!)</f>
        <v>#REF!</v>
      </c>
      <c r="O73" t="e">
        <f>IF(#REF!="","",#REF!)</f>
        <v>#REF!</v>
      </c>
      <c r="P73" t="e">
        <f>IF(#REF!="","",#REF!)</f>
        <v>#REF!</v>
      </c>
      <c r="Q73" t="e">
        <f>IF(#REF!="","",#REF!)</f>
        <v>#REF!</v>
      </c>
      <c r="R73" t="e">
        <f>IF(#REF!="","",#REF!)</f>
        <v>#REF!</v>
      </c>
      <c r="S73" t="e">
        <f>IF(#REF!="","",#REF!)</f>
        <v>#REF!</v>
      </c>
    </row>
    <row r="74" spans="1:19" ht="12.75" customHeight="1" x14ac:dyDescent="0.25">
      <c r="A74" s="180" t="e">
        <f>IF(#REF!="","",#REF!)</f>
        <v>#REF!</v>
      </c>
      <c r="B74" s="180" t="e">
        <f>IF(#REF!="","",#REF!)</f>
        <v>#REF!</v>
      </c>
      <c r="C74" s="309" t="e">
        <f>IF(#REF!="","",#REF!)</f>
        <v>#REF!</v>
      </c>
      <c r="D74" s="180" t="e">
        <f>IF(#REF!="","",#REF!)</f>
        <v>#REF!</v>
      </c>
      <c r="E74" s="309" t="e">
        <f>IF(#REF!="","",#REF!)</f>
        <v>#REF!</v>
      </c>
      <c r="F74" s="180" t="e">
        <f>IF(#REF!="","",#REF!)</f>
        <v>#REF!</v>
      </c>
      <c r="G74" s="180" t="e">
        <f>IF(#REF!="","",#REF!)</f>
        <v>#REF!</v>
      </c>
      <c r="H74" s="180" t="e">
        <f>IF(#REF!="","",#REF!)</f>
        <v>#REF!</v>
      </c>
      <c r="I74" s="180" t="e">
        <f>IF(#REF!="","",#REF!)</f>
        <v>#REF!</v>
      </c>
      <c r="J74" s="180" t="e">
        <f>IF(#REF!="","",#REF!)</f>
        <v>#REF!</v>
      </c>
      <c r="K74" s="180" t="e">
        <f>IF(#REF!="","",#REF!)</f>
        <v>#REF!</v>
      </c>
      <c r="L74" s="180" t="e">
        <f>IF(#REF!="","",#REF!)</f>
        <v>#REF!</v>
      </c>
      <c r="M74" s="180" t="e">
        <f>IF(#REF!="","",#REF!)</f>
        <v>#REF!</v>
      </c>
      <c r="N74" t="e">
        <f>IF(#REF!="","",#REF!)</f>
        <v>#REF!</v>
      </c>
      <c r="O74" t="e">
        <f>IF(#REF!="","",#REF!)</f>
        <v>#REF!</v>
      </c>
      <c r="P74" t="e">
        <f>IF(#REF!="","",#REF!)</f>
        <v>#REF!</v>
      </c>
      <c r="Q74" t="e">
        <f>IF(#REF!="","",#REF!)</f>
        <v>#REF!</v>
      </c>
      <c r="R74" t="e">
        <f>IF(#REF!="","",#REF!)</f>
        <v>#REF!</v>
      </c>
      <c r="S74" t="e">
        <f>IF(#REF!="","",#REF!)</f>
        <v>#REF!</v>
      </c>
    </row>
    <row r="75" spans="1:19" ht="12.75" customHeight="1" x14ac:dyDescent="0.25">
      <c r="A75" s="180" t="e">
        <f>IF(#REF!="","",#REF!)</f>
        <v>#REF!</v>
      </c>
      <c r="B75" s="180" t="e">
        <f>IF(#REF!="","",#REF!)</f>
        <v>#REF!</v>
      </c>
      <c r="C75" s="180" t="e">
        <f>IF(#REF!="","",#REF!)</f>
        <v>#REF!</v>
      </c>
      <c r="D75" s="180" t="e">
        <f>IF(#REF!="","",#REF!)</f>
        <v>#REF!</v>
      </c>
      <c r="E75" s="180" t="e">
        <f>IF(#REF!="","",#REF!)</f>
        <v>#REF!</v>
      </c>
      <c r="F75" s="180" t="e">
        <f>IF(#REF!="","",#REF!)</f>
        <v>#REF!</v>
      </c>
      <c r="G75" s="180" t="e">
        <f>IF(#REF!="","",#REF!)</f>
        <v>#REF!</v>
      </c>
      <c r="H75" s="180" t="e">
        <f>IF(#REF!="","",#REF!)</f>
        <v>#REF!</v>
      </c>
      <c r="I75" s="180" t="e">
        <f>IF(#REF!="","",#REF!)</f>
        <v>#REF!</v>
      </c>
      <c r="J75" s="180" t="e">
        <f>IF(#REF!="","",#REF!)</f>
        <v>#REF!</v>
      </c>
      <c r="K75" s="180" t="e">
        <f>IF(#REF!="","",#REF!)</f>
        <v>#REF!</v>
      </c>
      <c r="L75" s="180" t="e">
        <f>IF(#REF!="","",#REF!)</f>
        <v>#REF!</v>
      </c>
      <c r="M75" s="180" t="e">
        <f>IF(#REF!="","",#REF!)</f>
        <v>#REF!</v>
      </c>
      <c r="N75" t="e">
        <f>IF(#REF!="","",#REF!)</f>
        <v>#REF!</v>
      </c>
      <c r="O75" t="e">
        <f>IF(#REF!="","",#REF!)</f>
        <v>#REF!</v>
      </c>
      <c r="P75" t="e">
        <f>IF(#REF!="","",#REF!)</f>
        <v>#REF!</v>
      </c>
      <c r="Q75" t="e">
        <f>IF(#REF!="","",#REF!)</f>
        <v>#REF!</v>
      </c>
      <c r="R75" t="e">
        <f>IF(#REF!="","",#REF!)</f>
        <v>#REF!</v>
      </c>
      <c r="S75" t="e">
        <f>IF(#REF!="","",#REF!)</f>
        <v>#REF!</v>
      </c>
    </row>
    <row r="76" spans="1:19" ht="12.75" customHeight="1" x14ac:dyDescent="0.25">
      <c r="A76" s="180" t="e">
        <f>IF(#REF!="","",#REF!)</f>
        <v>#REF!</v>
      </c>
      <c r="B76" s="180" t="e">
        <f>IF(#REF!="","",#REF!)</f>
        <v>#REF!</v>
      </c>
      <c r="C76" s="309" t="e">
        <f>IF(#REF!="","",#REF!)</f>
        <v>#REF!</v>
      </c>
      <c r="D76" s="180" t="e">
        <f>IF(#REF!="","",#REF!)</f>
        <v>#REF!</v>
      </c>
      <c r="E76" s="309" t="e">
        <f>IF(#REF!="","",#REF!)</f>
        <v>#REF!</v>
      </c>
      <c r="F76" s="180" t="e">
        <f>IF(#REF!="","",#REF!)</f>
        <v>#REF!</v>
      </c>
      <c r="G76" s="180" t="e">
        <f>IF(#REF!="","",#REF!)</f>
        <v>#REF!</v>
      </c>
      <c r="H76" s="180" t="e">
        <f>IF(#REF!="","",#REF!)</f>
        <v>#REF!</v>
      </c>
      <c r="I76" s="180" t="e">
        <f>IF(#REF!="","",#REF!)</f>
        <v>#REF!</v>
      </c>
      <c r="J76" s="180" t="e">
        <f>IF(#REF!="","",#REF!)</f>
        <v>#REF!</v>
      </c>
      <c r="K76" s="180" t="e">
        <f>IF(#REF!="","",#REF!)</f>
        <v>#REF!</v>
      </c>
      <c r="L76" s="180" t="e">
        <f>IF(#REF!="","",#REF!)</f>
        <v>#REF!</v>
      </c>
      <c r="M76" s="180" t="e">
        <f>IF(#REF!="","",#REF!)</f>
        <v>#REF!</v>
      </c>
      <c r="N76" t="e">
        <f>IF(#REF!="","",#REF!)</f>
        <v>#REF!</v>
      </c>
      <c r="O76" t="e">
        <f>IF(#REF!="","",#REF!)</f>
        <v>#REF!</v>
      </c>
      <c r="P76" t="e">
        <f>IF(#REF!="","",#REF!)</f>
        <v>#REF!</v>
      </c>
      <c r="Q76" t="e">
        <f>IF(#REF!="","",#REF!)</f>
        <v>#REF!</v>
      </c>
      <c r="R76" t="e">
        <f>IF(#REF!="","",#REF!)</f>
        <v>#REF!</v>
      </c>
      <c r="S76" t="e">
        <f>IF(#REF!="","",#REF!)</f>
        <v>#REF!</v>
      </c>
    </row>
    <row r="77" spans="1:19" ht="12.75" customHeight="1" x14ac:dyDescent="0.25">
      <c r="A77" s="180" t="e">
        <f>IF(#REF!="","",#REF!)</f>
        <v>#REF!</v>
      </c>
      <c r="B77" s="180" t="e">
        <f>IF(#REF!="","",#REF!)</f>
        <v>#REF!</v>
      </c>
      <c r="C77" s="180" t="e">
        <f>IF(#REF!="","",#REF!)</f>
        <v>#REF!</v>
      </c>
      <c r="D77" s="180" t="e">
        <f>IF(#REF!="","",#REF!)</f>
        <v>#REF!</v>
      </c>
      <c r="E77" s="180" t="e">
        <f>IF(#REF!="","",#REF!)</f>
        <v>#REF!</v>
      </c>
      <c r="F77" s="179" t="e">
        <f>IF(#REF!="","",#REF!)</f>
        <v>#REF!</v>
      </c>
      <c r="G77" s="180" t="e">
        <f>IF(#REF!="","",#REF!)</f>
        <v>#REF!</v>
      </c>
      <c r="H77" s="180" t="e">
        <f>IF(#REF!="","",#REF!)</f>
        <v>#REF!</v>
      </c>
      <c r="I77" s="180" t="e">
        <f>IF(#REF!="","",#REF!)</f>
        <v>#REF!</v>
      </c>
      <c r="J77" s="180" t="e">
        <f>IF(#REF!="","",#REF!)</f>
        <v>#REF!</v>
      </c>
      <c r="K77" s="180" t="e">
        <f>IF(#REF!="","",#REF!)</f>
        <v>#REF!</v>
      </c>
      <c r="L77" s="180" t="e">
        <f>IF(#REF!="","",#REF!)</f>
        <v>#REF!</v>
      </c>
      <c r="M77" s="180" t="e">
        <f>IF(#REF!="","",#REF!)</f>
        <v>#REF!</v>
      </c>
      <c r="N77" t="e">
        <f>IF(#REF!="","",#REF!)</f>
        <v>#REF!</v>
      </c>
      <c r="O77" t="e">
        <f>IF(#REF!="","",#REF!)</f>
        <v>#REF!</v>
      </c>
      <c r="P77" t="e">
        <f>IF(#REF!="","",#REF!)</f>
        <v>#REF!</v>
      </c>
      <c r="Q77" t="e">
        <f>IF(#REF!="","",#REF!)</f>
        <v>#REF!</v>
      </c>
      <c r="R77" t="e">
        <f>IF(#REF!="","",#REF!)</f>
        <v>#REF!</v>
      </c>
      <c r="S77" t="e">
        <f>IF(#REF!="","",#REF!)</f>
        <v>#REF!</v>
      </c>
    </row>
    <row r="78" spans="1:19" ht="12.75" customHeight="1" x14ac:dyDescent="0.25">
      <c r="A78" s="180" t="e">
        <f>IF(#REF!="","",#REF!)</f>
        <v>#REF!</v>
      </c>
      <c r="B78" s="180" t="e">
        <f>IF(#REF!="","",#REF!)</f>
        <v>#REF!</v>
      </c>
      <c r="C78" s="180" t="e">
        <f>IF(#REF!="","",#REF!)</f>
        <v>#REF!</v>
      </c>
      <c r="D78" s="180" t="e">
        <f>IF(#REF!="","",#REF!)</f>
        <v>#REF!</v>
      </c>
      <c r="E78" s="180" t="e">
        <f>IF(#REF!="","",#REF!)</f>
        <v>#REF!</v>
      </c>
      <c r="F78" s="180" t="e">
        <f>IF(#REF!="","",#REF!)</f>
        <v>#REF!</v>
      </c>
      <c r="G78" s="180" t="e">
        <f>IF(#REF!="","",#REF!)</f>
        <v>#REF!</v>
      </c>
      <c r="H78" s="180" t="e">
        <f>IF(#REF!="","",#REF!)</f>
        <v>#REF!</v>
      </c>
      <c r="I78" s="180" t="e">
        <f>IF(#REF!="","",#REF!)</f>
        <v>#REF!</v>
      </c>
      <c r="J78" s="180" t="e">
        <f>IF(#REF!="","",#REF!)</f>
        <v>#REF!</v>
      </c>
      <c r="K78" s="180" t="e">
        <f>IF(#REF!="","",#REF!)</f>
        <v>#REF!</v>
      </c>
      <c r="L78" s="180" t="e">
        <f>IF(#REF!="","",#REF!)</f>
        <v>#REF!</v>
      </c>
      <c r="M78" s="180" t="e">
        <f>IF(#REF!="","",#REF!)</f>
        <v>#REF!</v>
      </c>
      <c r="N78" t="e">
        <f>IF(#REF!="","",#REF!)</f>
        <v>#REF!</v>
      </c>
      <c r="O78" t="e">
        <f>IF(#REF!="","",#REF!)</f>
        <v>#REF!</v>
      </c>
      <c r="P78" t="e">
        <f>IF(#REF!="","",#REF!)</f>
        <v>#REF!</v>
      </c>
      <c r="Q78" t="e">
        <f>IF(#REF!="","",#REF!)</f>
        <v>#REF!</v>
      </c>
      <c r="R78" t="e">
        <f>IF(#REF!="","",#REF!)</f>
        <v>#REF!</v>
      </c>
      <c r="S78" t="e">
        <f>IF(#REF!="","",#REF!)</f>
        <v>#REF!</v>
      </c>
    </row>
    <row r="79" spans="1:19" ht="12.75" customHeight="1" x14ac:dyDescent="0.25">
      <c r="A79" s="180" t="e">
        <f>IF(#REF!="","",#REF!)</f>
        <v>#REF!</v>
      </c>
      <c r="B79" s="180" t="e">
        <f>IF(#REF!="","",#REF!)</f>
        <v>#REF!</v>
      </c>
      <c r="C79" s="180" t="e">
        <f>IF(#REF!="","",#REF!)</f>
        <v>#REF!</v>
      </c>
      <c r="D79" s="180" t="e">
        <f>IF(#REF!="","",#REF!)</f>
        <v>#REF!</v>
      </c>
      <c r="E79" s="180" t="e">
        <f>IF(#REF!="","",#REF!)</f>
        <v>#REF!</v>
      </c>
      <c r="F79" s="180" t="e">
        <f>IF(#REF!="","",#REF!)</f>
        <v>#REF!</v>
      </c>
      <c r="G79" s="180" t="e">
        <f>IF(#REF!="","",#REF!)</f>
        <v>#REF!</v>
      </c>
      <c r="H79" s="180" t="e">
        <f>IF(#REF!="","",#REF!)</f>
        <v>#REF!</v>
      </c>
      <c r="I79" s="309" t="e">
        <f>IF(#REF!="","",#REF!)</f>
        <v>#REF!</v>
      </c>
      <c r="J79" s="180" t="e">
        <f>IF(#REF!="","",#REF!)</f>
        <v>#REF!</v>
      </c>
      <c r="K79" s="180" t="e">
        <f>IF(#REF!="","",#REF!)</f>
        <v>#REF!</v>
      </c>
      <c r="L79" s="180" t="e">
        <f>IF(#REF!="","",#REF!)</f>
        <v>#REF!</v>
      </c>
      <c r="M79" s="180" t="e">
        <f>IF(#REF!="","",#REF!)</f>
        <v>#REF!</v>
      </c>
      <c r="N79" t="e">
        <f>IF(#REF!="","",#REF!)</f>
        <v>#REF!</v>
      </c>
      <c r="O79" t="e">
        <f>IF(#REF!="","",#REF!)</f>
        <v>#REF!</v>
      </c>
      <c r="P79" t="e">
        <f>IF(#REF!="","",#REF!)</f>
        <v>#REF!</v>
      </c>
      <c r="Q79" t="e">
        <f>IF(#REF!="","",#REF!)</f>
        <v>#REF!</v>
      </c>
      <c r="R79" t="e">
        <f>IF(#REF!="","",#REF!)</f>
        <v>#REF!</v>
      </c>
      <c r="S79" t="e">
        <f>IF(#REF!="","",#REF!)</f>
        <v>#REF!</v>
      </c>
    </row>
    <row r="80" spans="1:19" ht="12.75" customHeight="1" x14ac:dyDescent="0.25">
      <c r="A80" s="180" t="e">
        <f>IF(#REF!="","",#REF!)</f>
        <v>#REF!</v>
      </c>
      <c r="B80" s="180" t="e">
        <f>IF(#REF!="","",#REF!)</f>
        <v>#REF!</v>
      </c>
      <c r="C80" s="309" t="e">
        <f>IF(#REF!="","",#REF!)</f>
        <v>#REF!</v>
      </c>
      <c r="D80" s="180" t="e">
        <f>IF(#REF!="","",#REF!)</f>
        <v>#REF!</v>
      </c>
      <c r="E80" s="309" t="e">
        <f>IF(#REF!="","",#REF!)</f>
        <v>#REF!</v>
      </c>
      <c r="F80" s="180" t="e">
        <f>IF(#REF!="","",#REF!)</f>
        <v>#REF!</v>
      </c>
      <c r="G80" s="180" t="e">
        <f>IF(#REF!="","",#REF!)</f>
        <v>#REF!</v>
      </c>
      <c r="H80" s="180" t="e">
        <f>IF(#REF!="","",#REF!)</f>
        <v>#REF!</v>
      </c>
      <c r="I80" s="180" t="e">
        <f>IF(#REF!="","",#REF!)</f>
        <v>#REF!</v>
      </c>
      <c r="J80" s="180" t="e">
        <f>IF(#REF!="","",#REF!)</f>
        <v>#REF!</v>
      </c>
      <c r="K80" s="180" t="e">
        <f>IF(#REF!="","",#REF!)</f>
        <v>#REF!</v>
      </c>
      <c r="L80" s="180" t="e">
        <f>IF(#REF!="","",#REF!)</f>
        <v>#REF!</v>
      </c>
      <c r="M80" s="180" t="e">
        <f>IF(#REF!="","",#REF!)</f>
        <v>#REF!</v>
      </c>
      <c r="N80" t="e">
        <f>IF(#REF!="","",#REF!)</f>
        <v>#REF!</v>
      </c>
      <c r="O80" t="e">
        <f>IF(#REF!="","",#REF!)</f>
        <v>#REF!</v>
      </c>
      <c r="P80" t="e">
        <f>IF(#REF!="","",#REF!)</f>
        <v>#REF!</v>
      </c>
      <c r="Q80" t="e">
        <f>IF(#REF!="","",#REF!)</f>
        <v>#REF!</v>
      </c>
      <c r="R80" t="e">
        <f>IF(#REF!="","",#REF!)</f>
        <v>#REF!</v>
      </c>
      <c r="S80" t="e">
        <f>IF(#REF!="","",#REF!)</f>
        <v>#REF!</v>
      </c>
    </row>
    <row r="81" spans="1:19" ht="12.75" customHeight="1" x14ac:dyDescent="0.25">
      <c r="A81" s="180" t="e">
        <f>IF(#REF!="","",#REF!)</f>
        <v>#REF!</v>
      </c>
      <c r="B81" s="180" t="e">
        <f>IF(#REF!="","",#REF!)</f>
        <v>#REF!</v>
      </c>
      <c r="C81" s="180" t="e">
        <f>IF(#REF!="","",#REF!)</f>
        <v>#REF!</v>
      </c>
      <c r="D81" s="180" t="e">
        <f>IF(#REF!="","",#REF!)</f>
        <v>#REF!</v>
      </c>
      <c r="E81" s="180" t="e">
        <f>IF(#REF!="","",#REF!)</f>
        <v>#REF!</v>
      </c>
      <c r="F81" s="180" t="e">
        <f>IF(#REF!="","",#REF!)</f>
        <v>#REF!</v>
      </c>
      <c r="G81" s="180" t="e">
        <f>IF(#REF!="","",#REF!)</f>
        <v>#REF!</v>
      </c>
      <c r="H81" s="180" t="e">
        <f>IF(#REF!="","",#REF!)</f>
        <v>#REF!</v>
      </c>
      <c r="I81" s="180" t="e">
        <f>IF(#REF!="","",#REF!)</f>
        <v>#REF!</v>
      </c>
      <c r="J81" s="180" t="e">
        <f>IF(#REF!="","",#REF!)</f>
        <v>#REF!</v>
      </c>
      <c r="K81" s="180" t="e">
        <f>IF(#REF!="","",#REF!)</f>
        <v>#REF!</v>
      </c>
      <c r="L81" s="180" t="e">
        <f>IF(#REF!="","",#REF!)</f>
        <v>#REF!</v>
      </c>
      <c r="M81" s="180" t="e">
        <f>IF(#REF!="","",#REF!)</f>
        <v>#REF!</v>
      </c>
      <c r="N81" t="e">
        <f>IF(#REF!="","",#REF!)</f>
        <v>#REF!</v>
      </c>
      <c r="O81" t="e">
        <f>IF(#REF!="","",#REF!)</f>
        <v>#REF!</v>
      </c>
      <c r="P81" t="e">
        <f>IF(#REF!="","",#REF!)</f>
        <v>#REF!</v>
      </c>
      <c r="Q81" t="e">
        <f>IF(#REF!="","",#REF!)</f>
        <v>#REF!</v>
      </c>
      <c r="R81" t="e">
        <f>IF(#REF!="","",#REF!)</f>
        <v>#REF!</v>
      </c>
      <c r="S81" t="e">
        <f>IF(#REF!="","",#REF!)</f>
        <v>#REF!</v>
      </c>
    </row>
    <row r="82" spans="1:19" ht="12.75" customHeight="1" x14ac:dyDescent="0.25">
      <c r="A82" s="180" t="e">
        <f>IF(#REF!="","",#REF!)</f>
        <v>#REF!</v>
      </c>
      <c r="B82" s="180" t="e">
        <f>IF(#REF!="","",#REF!)</f>
        <v>#REF!</v>
      </c>
      <c r="C82" s="309" t="e">
        <f>IF(#REF!="","",#REF!)</f>
        <v>#REF!</v>
      </c>
      <c r="D82" s="180" t="e">
        <f>IF(#REF!="","",#REF!)</f>
        <v>#REF!</v>
      </c>
      <c r="E82" s="309" t="e">
        <f>IF(#REF!="","",#REF!)</f>
        <v>#REF!</v>
      </c>
      <c r="F82" s="180" t="e">
        <f>IF(#REF!="","",#REF!)</f>
        <v>#REF!</v>
      </c>
      <c r="G82" s="180" t="e">
        <f>IF(#REF!="","",#REF!)</f>
        <v>#REF!</v>
      </c>
      <c r="H82" s="180" t="e">
        <f>IF(#REF!="","",#REF!)</f>
        <v>#REF!</v>
      </c>
      <c r="I82" s="180" t="e">
        <f>IF(#REF!="","",#REF!)</f>
        <v>#REF!</v>
      </c>
      <c r="J82" s="180" t="e">
        <f>IF(#REF!="","",#REF!)</f>
        <v>#REF!</v>
      </c>
      <c r="K82" s="180" t="e">
        <f>IF(#REF!="","",#REF!)</f>
        <v>#REF!</v>
      </c>
      <c r="L82" s="180" t="e">
        <f>IF(#REF!="","",#REF!)</f>
        <v>#REF!</v>
      </c>
      <c r="M82" s="180" t="e">
        <f>IF(#REF!="","",#REF!)</f>
        <v>#REF!</v>
      </c>
      <c r="N82" t="e">
        <f>IF(#REF!="","",#REF!)</f>
        <v>#REF!</v>
      </c>
      <c r="O82" t="e">
        <f>IF(#REF!="","",#REF!)</f>
        <v>#REF!</v>
      </c>
      <c r="P82" t="e">
        <f>IF(#REF!="","",#REF!)</f>
        <v>#REF!</v>
      </c>
      <c r="Q82" t="e">
        <f>IF(#REF!="","",#REF!)</f>
        <v>#REF!</v>
      </c>
      <c r="R82" t="e">
        <f>IF(#REF!="","",#REF!)</f>
        <v>#REF!</v>
      </c>
      <c r="S82" t="e">
        <f>IF(#REF!="","",#REF!)</f>
        <v>#REF!</v>
      </c>
    </row>
    <row r="83" spans="1:19" ht="12.75" customHeight="1" x14ac:dyDescent="0.25">
      <c r="A83" s="180" t="e">
        <f>IF(#REF!="","",#REF!)</f>
        <v>#REF!</v>
      </c>
      <c r="B83" s="180" t="e">
        <f>IF(#REF!="","",#REF!)</f>
        <v>#REF!</v>
      </c>
      <c r="C83" s="180" t="e">
        <f>IF(#REF!="","",#REF!)</f>
        <v>#REF!</v>
      </c>
      <c r="D83" s="180" t="e">
        <f>IF(#REF!="","",#REF!)</f>
        <v>#REF!</v>
      </c>
      <c r="E83" s="180" t="e">
        <f>IF(#REF!="","",#REF!)</f>
        <v>#REF!</v>
      </c>
      <c r="F83" s="180" t="e">
        <f>IF(#REF!="","",#REF!)</f>
        <v>#REF!</v>
      </c>
      <c r="G83" s="180" t="e">
        <f>IF(#REF!="","",#REF!)</f>
        <v>#REF!</v>
      </c>
      <c r="H83" s="180" t="e">
        <f>IF(#REF!="","",#REF!)</f>
        <v>#REF!</v>
      </c>
      <c r="I83" s="180" t="e">
        <f>IF(#REF!="","",#REF!)</f>
        <v>#REF!</v>
      </c>
      <c r="J83" s="180" t="e">
        <f>IF(#REF!="","",#REF!)</f>
        <v>#REF!</v>
      </c>
      <c r="K83" s="180" t="e">
        <f>IF(#REF!="","",#REF!)</f>
        <v>#REF!</v>
      </c>
      <c r="L83" s="180" t="e">
        <f>IF(#REF!="","",#REF!)</f>
        <v>#REF!</v>
      </c>
      <c r="M83" s="180" t="e">
        <f>IF(#REF!="","",#REF!)</f>
        <v>#REF!</v>
      </c>
      <c r="N83" t="e">
        <f>IF(#REF!="","",#REF!)</f>
        <v>#REF!</v>
      </c>
      <c r="O83" t="e">
        <f>IF(#REF!="","",#REF!)</f>
        <v>#REF!</v>
      </c>
      <c r="P83" t="e">
        <f>IF(#REF!="","",#REF!)</f>
        <v>#REF!</v>
      </c>
      <c r="Q83" t="e">
        <f>IF(#REF!="","",#REF!)</f>
        <v>#REF!</v>
      </c>
      <c r="R83" t="e">
        <f>IF(#REF!="","",#REF!)</f>
        <v>#REF!</v>
      </c>
      <c r="S83" t="e">
        <f>IF(#REF!="","",#REF!)</f>
        <v>#REF!</v>
      </c>
    </row>
    <row r="84" spans="1:19" ht="12.75" customHeight="1" x14ac:dyDescent="0.25">
      <c r="A84" s="180" t="e">
        <f>IF(#REF!="","",#REF!)</f>
        <v>#REF!</v>
      </c>
      <c r="B84" s="180" t="e">
        <f>IF(#REF!="","",#REF!)</f>
        <v>#REF!</v>
      </c>
      <c r="C84" s="180" t="e">
        <f>IF(#REF!="","",#REF!)</f>
        <v>#REF!</v>
      </c>
      <c r="D84" s="180" t="e">
        <f>IF(#REF!="","",#REF!)</f>
        <v>#REF!</v>
      </c>
      <c r="E84" s="180" t="e">
        <f>IF(#REF!="","",#REF!)</f>
        <v>#REF!</v>
      </c>
      <c r="F84" s="180" t="e">
        <f>IF(#REF!="","",#REF!)</f>
        <v>#REF!</v>
      </c>
      <c r="G84" s="180" t="e">
        <f>IF(#REF!="","",#REF!)</f>
        <v>#REF!</v>
      </c>
      <c r="H84" s="180" t="e">
        <f>IF(#REF!="","",#REF!)</f>
        <v>#REF!</v>
      </c>
      <c r="I84" s="180" t="e">
        <f>IF(#REF!="","",#REF!)</f>
        <v>#REF!</v>
      </c>
      <c r="J84" s="180" t="e">
        <f>IF(#REF!="","",#REF!)</f>
        <v>#REF!</v>
      </c>
      <c r="K84" s="180" t="e">
        <f>IF(#REF!="","",#REF!)</f>
        <v>#REF!</v>
      </c>
      <c r="L84" s="180" t="e">
        <f>IF(#REF!="","",#REF!)</f>
        <v>#REF!</v>
      </c>
      <c r="M84" s="180" t="e">
        <f>IF(#REF!="","",#REF!)</f>
        <v>#REF!</v>
      </c>
      <c r="N84" t="e">
        <f>IF(#REF!="","",#REF!)</f>
        <v>#REF!</v>
      </c>
      <c r="O84" t="e">
        <f>IF(#REF!="","",#REF!)</f>
        <v>#REF!</v>
      </c>
      <c r="P84" t="e">
        <f>IF(#REF!="","",#REF!)</f>
        <v>#REF!</v>
      </c>
      <c r="Q84" t="e">
        <f>IF(#REF!="","",#REF!)</f>
        <v>#REF!</v>
      </c>
      <c r="R84" t="e">
        <f>IF(#REF!="","",#REF!)</f>
        <v>#REF!</v>
      </c>
      <c r="S84" t="e">
        <f>IF(#REF!="","",#REF!)</f>
        <v>#REF!</v>
      </c>
    </row>
    <row r="85" spans="1:19" ht="12.75" customHeight="1" x14ac:dyDescent="0.25">
      <c r="A85" s="180" t="e">
        <f>IF(#REF!="","",#REF!)</f>
        <v>#REF!</v>
      </c>
      <c r="B85" s="180" t="e">
        <f>IF(#REF!="","",#REF!)</f>
        <v>#REF!</v>
      </c>
      <c r="C85" s="309" t="e">
        <f>IF(#REF!="","",#REF!)</f>
        <v>#REF!</v>
      </c>
      <c r="D85" s="180" t="e">
        <f>IF(#REF!="","",#REF!)</f>
        <v>#REF!</v>
      </c>
      <c r="E85" s="309" t="e">
        <f>IF(#REF!="","",#REF!)</f>
        <v>#REF!</v>
      </c>
      <c r="F85" s="180" t="e">
        <f>IF(#REF!="","",#REF!)</f>
        <v>#REF!</v>
      </c>
      <c r="G85" s="180" t="e">
        <f>IF(#REF!="","",#REF!)</f>
        <v>#REF!</v>
      </c>
      <c r="H85" s="180" t="e">
        <f>IF(#REF!="","",#REF!)</f>
        <v>#REF!</v>
      </c>
      <c r="I85" s="180" t="e">
        <f>IF(#REF!="","",#REF!)</f>
        <v>#REF!</v>
      </c>
      <c r="J85" s="180" t="e">
        <f>IF(#REF!="","",#REF!)</f>
        <v>#REF!</v>
      </c>
      <c r="K85" s="180" t="e">
        <f>IF(#REF!="","",#REF!)</f>
        <v>#REF!</v>
      </c>
      <c r="L85" s="180" t="e">
        <f>IF(#REF!="","",#REF!)</f>
        <v>#REF!</v>
      </c>
      <c r="M85" s="180" t="e">
        <f>IF(#REF!="","",#REF!)</f>
        <v>#REF!</v>
      </c>
      <c r="N85" t="e">
        <f>IF(#REF!="","",#REF!)</f>
        <v>#REF!</v>
      </c>
      <c r="O85" t="e">
        <f>IF(#REF!="","",#REF!)</f>
        <v>#REF!</v>
      </c>
      <c r="P85" t="e">
        <f>IF(#REF!="","",#REF!)</f>
        <v>#REF!</v>
      </c>
      <c r="Q85" t="e">
        <f>IF(#REF!="","",#REF!)</f>
        <v>#REF!</v>
      </c>
      <c r="R85" t="e">
        <f>IF(#REF!="","",#REF!)</f>
        <v>#REF!</v>
      </c>
      <c r="S85" t="e">
        <f>IF(#REF!="","",#REF!)</f>
        <v>#REF!</v>
      </c>
    </row>
    <row r="86" spans="1:19" ht="12.75" customHeight="1" x14ac:dyDescent="0.25">
      <c r="A86" s="180" t="e">
        <f>IF(#REF!="","",#REF!)</f>
        <v>#REF!</v>
      </c>
      <c r="B86" s="180" t="e">
        <f>IF(#REF!="","",#REF!)</f>
        <v>#REF!</v>
      </c>
      <c r="C86" s="180" t="e">
        <f>IF(#REF!="","",#REF!)</f>
        <v>#REF!</v>
      </c>
      <c r="D86" s="180" t="e">
        <f>IF(#REF!="","",#REF!)</f>
        <v>#REF!</v>
      </c>
      <c r="E86" s="180" t="e">
        <f>IF(#REF!="","",#REF!)</f>
        <v>#REF!</v>
      </c>
      <c r="F86" s="180" t="e">
        <f>IF(#REF!="","",#REF!)</f>
        <v>#REF!</v>
      </c>
      <c r="G86" s="180" t="e">
        <f>IF(#REF!="","",#REF!)</f>
        <v>#REF!</v>
      </c>
      <c r="H86" s="180" t="e">
        <f>IF(#REF!="","",#REF!)</f>
        <v>#REF!</v>
      </c>
      <c r="I86" s="180" t="e">
        <f>IF(#REF!="","",#REF!)</f>
        <v>#REF!</v>
      </c>
      <c r="J86" s="180" t="e">
        <f>IF(#REF!="","",#REF!)</f>
        <v>#REF!</v>
      </c>
      <c r="K86" s="180" t="e">
        <f>IF(#REF!="","",#REF!)</f>
        <v>#REF!</v>
      </c>
      <c r="L86" s="180" t="e">
        <f>IF(#REF!="","",#REF!)</f>
        <v>#REF!</v>
      </c>
      <c r="M86" s="180" t="e">
        <f>IF(#REF!="","",#REF!)</f>
        <v>#REF!</v>
      </c>
      <c r="N86" t="e">
        <f>IF(#REF!="","",#REF!)</f>
        <v>#REF!</v>
      </c>
      <c r="O86" t="e">
        <f>IF(#REF!="","",#REF!)</f>
        <v>#REF!</v>
      </c>
      <c r="P86" t="e">
        <f>IF(#REF!="","",#REF!)</f>
        <v>#REF!</v>
      </c>
      <c r="Q86" t="e">
        <f>IF(#REF!="","",#REF!)</f>
        <v>#REF!</v>
      </c>
      <c r="R86" t="e">
        <f>IF(#REF!="","",#REF!)</f>
        <v>#REF!</v>
      </c>
      <c r="S86" t="e">
        <f>IF(#REF!="","",#REF!)</f>
        <v>#REF!</v>
      </c>
    </row>
    <row r="87" spans="1:19" ht="12.75" customHeight="1" x14ac:dyDescent="0.25">
      <c r="A87" s="180" t="e">
        <f>IF(#REF!="","",#REF!)</f>
        <v>#REF!</v>
      </c>
      <c r="B87" s="180" t="e">
        <f>IF(#REF!="","",#REF!)</f>
        <v>#REF!</v>
      </c>
      <c r="C87" s="180" t="e">
        <f>IF(#REF!="","",#REF!)</f>
        <v>#REF!</v>
      </c>
      <c r="D87" s="180" t="e">
        <f>IF(#REF!="","",#REF!)</f>
        <v>#REF!</v>
      </c>
      <c r="E87" s="180" t="e">
        <f>IF(#REF!="","",#REF!)</f>
        <v>#REF!</v>
      </c>
      <c r="F87" s="180" t="e">
        <f>IF(#REF!="","",#REF!)</f>
        <v>#REF!</v>
      </c>
      <c r="G87" s="180" t="e">
        <f>IF(#REF!="","",#REF!)</f>
        <v>#REF!</v>
      </c>
      <c r="H87" s="180" t="e">
        <f>IF(#REF!="","",#REF!)</f>
        <v>#REF!</v>
      </c>
      <c r="I87" s="180" t="e">
        <f>IF(#REF!="","",#REF!)</f>
        <v>#REF!</v>
      </c>
      <c r="J87" s="180" t="e">
        <f>IF(#REF!="","",#REF!)</f>
        <v>#REF!</v>
      </c>
      <c r="K87" s="180" t="e">
        <f>IF(#REF!="","",#REF!)</f>
        <v>#REF!</v>
      </c>
      <c r="L87" s="180" t="e">
        <f>IF(#REF!="","",#REF!)</f>
        <v>#REF!</v>
      </c>
      <c r="M87" s="180" t="e">
        <f>IF(#REF!="","",#REF!)</f>
        <v>#REF!</v>
      </c>
      <c r="N87" t="e">
        <f>IF(#REF!="","",#REF!)</f>
        <v>#REF!</v>
      </c>
      <c r="O87" t="e">
        <f>IF(#REF!="","",#REF!)</f>
        <v>#REF!</v>
      </c>
      <c r="P87" t="e">
        <f>IF(#REF!="","",#REF!)</f>
        <v>#REF!</v>
      </c>
      <c r="Q87" t="e">
        <f>IF(#REF!="","",#REF!)</f>
        <v>#REF!</v>
      </c>
      <c r="R87" t="e">
        <f>IF(#REF!="","",#REF!)</f>
        <v>#REF!</v>
      </c>
      <c r="S87" t="e">
        <f>IF(#REF!="","",#REF!)</f>
        <v>#REF!</v>
      </c>
    </row>
    <row r="88" spans="1:19" ht="12.75" customHeight="1" x14ac:dyDescent="0.25">
      <c r="A88" s="180" t="e">
        <f>IF(#REF!="","",#REF!)</f>
        <v>#REF!</v>
      </c>
      <c r="B88" s="180" t="e">
        <f>IF(#REF!="","",#REF!)</f>
        <v>#REF!</v>
      </c>
      <c r="C88" s="180" t="e">
        <f>IF(#REF!="","",#REF!)</f>
        <v>#REF!</v>
      </c>
      <c r="D88" s="180" t="e">
        <f>IF(#REF!="","",#REF!)</f>
        <v>#REF!</v>
      </c>
      <c r="E88" s="180" t="e">
        <f>IF(#REF!="","",#REF!)</f>
        <v>#REF!</v>
      </c>
      <c r="F88" s="180" t="e">
        <f>IF(#REF!="","",#REF!)</f>
        <v>#REF!</v>
      </c>
      <c r="G88" s="180" t="e">
        <f>IF(#REF!="","",#REF!)</f>
        <v>#REF!</v>
      </c>
      <c r="H88" s="180" t="e">
        <f>IF(#REF!="","",#REF!)</f>
        <v>#REF!</v>
      </c>
      <c r="I88" s="180" t="e">
        <f>IF(#REF!="","",#REF!)</f>
        <v>#REF!</v>
      </c>
      <c r="J88" s="180" t="e">
        <f>IF(#REF!="","",#REF!)</f>
        <v>#REF!</v>
      </c>
      <c r="K88" s="180" t="e">
        <f>IF(#REF!="","",#REF!)</f>
        <v>#REF!</v>
      </c>
      <c r="L88" s="180" t="e">
        <f>IF(#REF!="","",#REF!)</f>
        <v>#REF!</v>
      </c>
      <c r="M88" s="180" t="e">
        <f>IF(#REF!="","",#REF!)</f>
        <v>#REF!</v>
      </c>
      <c r="N88" t="e">
        <f>IF(#REF!="","",#REF!)</f>
        <v>#REF!</v>
      </c>
      <c r="O88" t="e">
        <f>IF(#REF!="","",#REF!)</f>
        <v>#REF!</v>
      </c>
      <c r="P88" t="e">
        <f>IF(#REF!="","",#REF!)</f>
        <v>#REF!</v>
      </c>
      <c r="Q88" t="e">
        <f>IF(#REF!="","",#REF!)</f>
        <v>#REF!</v>
      </c>
      <c r="R88" t="e">
        <f>IF(#REF!="","",#REF!)</f>
        <v>#REF!</v>
      </c>
      <c r="S88" t="e">
        <f>IF(#REF!="","",#REF!)</f>
        <v>#REF!</v>
      </c>
    </row>
    <row r="89" spans="1:19" ht="12.75" customHeight="1" x14ac:dyDescent="0.25">
      <c r="A89" s="180" t="e">
        <f>IF(#REF!="","",#REF!)</f>
        <v>#REF!</v>
      </c>
      <c r="B89" s="180" t="e">
        <f>IF(#REF!="","",#REF!)</f>
        <v>#REF!</v>
      </c>
      <c r="C89" s="180" t="e">
        <f>IF(#REF!="","",#REF!)</f>
        <v>#REF!</v>
      </c>
      <c r="D89" s="180" t="e">
        <f>IF(#REF!="","",#REF!)</f>
        <v>#REF!</v>
      </c>
      <c r="E89" s="180" t="e">
        <f>IF(#REF!="","",#REF!)</f>
        <v>#REF!</v>
      </c>
      <c r="F89" s="180" t="e">
        <f>IF(#REF!="","",#REF!)</f>
        <v>#REF!</v>
      </c>
      <c r="G89" s="180" t="e">
        <f>IF(#REF!="","",#REF!)</f>
        <v>#REF!</v>
      </c>
      <c r="H89" s="180" t="e">
        <f>IF(#REF!="","",#REF!)</f>
        <v>#REF!</v>
      </c>
      <c r="I89" s="180" t="e">
        <f>IF(#REF!="","",#REF!)</f>
        <v>#REF!</v>
      </c>
      <c r="J89" s="180" t="e">
        <f>IF(#REF!="","",#REF!)</f>
        <v>#REF!</v>
      </c>
      <c r="K89" s="180" t="e">
        <f>IF(#REF!="","",#REF!)</f>
        <v>#REF!</v>
      </c>
      <c r="L89" s="180" t="e">
        <f>IF(#REF!="","",#REF!)</f>
        <v>#REF!</v>
      </c>
      <c r="M89" s="180" t="e">
        <f>IF(#REF!="","",#REF!)</f>
        <v>#REF!</v>
      </c>
      <c r="N89" t="e">
        <f>IF(#REF!="","",#REF!)</f>
        <v>#REF!</v>
      </c>
      <c r="O89" t="e">
        <f>IF(#REF!="","",#REF!)</f>
        <v>#REF!</v>
      </c>
      <c r="P89" t="e">
        <f>IF(#REF!="","",#REF!)</f>
        <v>#REF!</v>
      </c>
      <c r="Q89" t="e">
        <f>IF(#REF!="","",#REF!)</f>
        <v>#REF!</v>
      </c>
      <c r="R89" t="e">
        <f>IF(#REF!="","",#REF!)</f>
        <v>#REF!</v>
      </c>
      <c r="S89" t="e">
        <f>IF(#REF!="","",#REF!)</f>
        <v>#REF!</v>
      </c>
    </row>
    <row r="90" spans="1:19" ht="12.75" customHeight="1" x14ac:dyDescent="0.25">
      <c r="A90" s="180" t="e">
        <f>IF(#REF!="","",#REF!)</f>
        <v>#REF!</v>
      </c>
      <c r="B90" s="180" t="e">
        <f>IF(#REF!="","",#REF!)</f>
        <v>#REF!</v>
      </c>
      <c r="C90" s="180" t="e">
        <f>IF(#REF!="","",#REF!)</f>
        <v>#REF!</v>
      </c>
      <c r="D90" s="180" t="e">
        <f>IF(#REF!="","",#REF!)</f>
        <v>#REF!</v>
      </c>
      <c r="E90" s="180" t="e">
        <f>IF(#REF!="","",#REF!)</f>
        <v>#REF!</v>
      </c>
      <c r="F90" s="180" t="e">
        <f>IF(#REF!="","",#REF!)</f>
        <v>#REF!</v>
      </c>
      <c r="G90" s="180" t="e">
        <f>IF(#REF!="","",#REF!)</f>
        <v>#REF!</v>
      </c>
      <c r="H90" s="180" t="e">
        <f>IF(#REF!="","",#REF!)</f>
        <v>#REF!</v>
      </c>
      <c r="I90" s="180" t="e">
        <f>IF(#REF!="","",#REF!)</f>
        <v>#REF!</v>
      </c>
      <c r="J90" s="180" t="e">
        <f>IF(#REF!="","",#REF!)</f>
        <v>#REF!</v>
      </c>
      <c r="K90" s="180" t="e">
        <f>IF(#REF!="","",#REF!)</f>
        <v>#REF!</v>
      </c>
      <c r="L90" s="180" t="e">
        <f>IF(#REF!="","",#REF!)</f>
        <v>#REF!</v>
      </c>
      <c r="M90" s="180" t="e">
        <f>IF(#REF!="","",#REF!)</f>
        <v>#REF!</v>
      </c>
      <c r="N90" t="e">
        <f>IF(#REF!="","",#REF!)</f>
        <v>#REF!</v>
      </c>
      <c r="O90" t="e">
        <f>IF(#REF!="","",#REF!)</f>
        <v>#REF!</v>
      </c>
      <c r="P90" t="e">
        <f>IF(#REF!="","",#REF!)</f>
        <v>#REF!</v>
      </c>
      <c r="Q90" t="e">
        <f>IF(#REF!="","",#REF!)</f>
        <v>#REF!</v>
      </c>
      <c r="R90" t="e">
        <f>IF(#REF!="","",#REF!)</f>
        <v>#REF!</v>
      </c>
      <c r="S90" t="e">
        <f>IF(#REF!="","",#REF!)</f>
        <v>#REF!</v>
      </c>
    </row>
    <row r="91" spans="1:19" ht="12.75" customHeight="1" x14ac:dyDescent="0.25">
      <c r="A91" s="180" t="e">
        <f>IF(#REF!="","",#REF!)</f>
        <v>#REF!</v>
      </c>
      <c r="B91" s="180" t="e">
        <f>IF(#REF!="","",#REF!)</f>
        <v>#REF!</v>
      </c>
      <c r="C91" s="180" t="e">
        <f>IF(#REF!="","",#REF!)</f>
        <v>#REF!</v>
      </c>
      <c r="D91" s="180" t="e">
        <f>IF(#REF!="","",#REF!)</f>
        <v>#REF!</v>
      </c>
      <c r="E91" s="180" t="e">
        <f>IF(#REF!="","",#REF!)</f>
        <v>#REF!</v>
      </c>
      <c r="F91" s="180" t="e">
        <f>IF(#REF!="","",#REF!)</f>
        <v>#REF!</v>
      </c>
      <c r="G91" s="180" t="e">
        <f>IF(#REF!="","",#REF!)</f>
        <v>#REF!</v>
      </c>
      <c r="H91" s="180" t="e">
        <f>IF(#REF!="","",#REF!)</f>
        <v>#REF!</v>
      </c>
      <c r="I91" s="180" t="e">
        <f>IF(#REF!="","",#REF!)</f>
        <v>#REF!</v>
      </c>
      <c r="J91" s="180" t="e">
        <f>IF(#REF!="","",#REF!)</f>
        <v>#REF!</v>
      </c>
      <c r="K91" s="180" t="e">
        <f>IF(#REF!="","",#REF!)</f>
        <v>#REF!</v>
      </c>
      <c r="L91" s="180" t="e">
        <f>IF(#REF!="","",#REF!)</f>
        <v>#REF!</v>
      </c>
      <c r="M91" s="180" t="e">
        <f>IF(#REF!="","",#REF!)</f>
        <v>#REF!</v>
      </c>
      <c r="N91" t="e">
        <f>IF(#REF!="","",#REF!)</f>
        <v>#REF!</v>
      </c>
      <c r="O91" t="e">
        <f>IF(#REF!="","",#REF!)</f>
        <v>#REF!</v>
      </c>
      <c r="P91" t="e">
        <f>IF(#REF!="","",#REF!)</f>
        <v>#REF!</v>
      </c>
      <c r="Q91" t="e">
        <f>IF(#REF!="","",#REF!)</f>
        <v>#REF!</v>
      </c>
      <c r="R91" t="e">
        <f>IF(#REF!="","",#REF!)</f>
        <v>#REF!</v>
      </c>
      <c r="S91" t="e">
        <f>IF(#REF!="","",#REF!)</f>
        <v>#REF!</v>
      </c>
    </row>
    <row r="92" spans="1:19" ht="12.75" customHeight="1" x14ac:dyDescent="0.25">
      <c r="A92" s="180" t="e">
        <f>IF(#REF!="","",#REF!)</f>
        <v>#REF!</v>
      </c>
      <c r="B92" s="180" t="e">
        <f>IF(#REF!="","",#REF!)</f>
        <v>#REF!</v>
      </c>
      <c r="C92" s="180" t="e">
        <f>IF(#REF!="","",#REF!)</f>
        <v>#REF!</v>
      </c>
      <c r="D92" s="180" t="e">
        <f>IF(#REF!="","",#REF!)</f>
        <v>#REF!</v>
      </c>
      <c r="E92" s="180" t="e">
        <f>IF(#REF!="","",#REF!)</f>
        <v>#REF!</v>
      </c>
      <c r="F92" s="180" t="e">
        <f>IF(#REF!="","",#REF!)</f>
        <v>#REF!</v>
      </c>
      <c r="G92" s="180" t="e">
        <f>IF(#REF!="","",#REF!)</f>
        <v>#REF!</v>
      </c>
      <c r="H92" s="180" t="e">
        <f>IF(#REF!="","",#REF!)</f>
        <v>#REF!</v>
      </c>
      <c r="I92" s="180" t="e">
        <f>IF(#REF!="","",#REF!)</f>
        <v>#REF!</v>
      </c>
      <c r="J92" s="180" t="e">
        <f>IF(#REF!="","",#REF!)</f>
        <v>#REF!</v>
      </c>
      <c r="K92" s="180" t="e">
        <f>IF(#REF!="","",#REF!)</f>
        <v>#REF!</v>
      </c>
      <c r="L92" s="180" t="e">
        <f>IF(#REF!="","",#REF!)</f>
        <v>#REF!</v>
      </c>
      <c r="M92" s="180" t="e">
        <f>IF(#REF!="","",#REF!)</f>
        <v>#REF!</v>
      </c>
      <c r="N92" t="e">
        <f>IF(#REF!="","",#REF!)</f>
        <v>#REF!</v>
      </c>
      <c r="O92" t="e">
        <f>IF(#REF!="","",#REF!)</f>
        <v>#REF!</v>
      </c>
      <c r="P92" t="e">
        <f>IF(#REF!="","",#REF!)</f>
        <v>#REF!</v>
      </c>
      <c r="Q92" t="e">
        <f>IF(#REF!="","",#REF!)</f>
        <v>#REF!</v>
      </c>
      <c r="R92" t="e">
        <f>IF(#REF!="","",#REF!)</f>
        <v>#REF!</v>
      </c>
      <c r="S92" t="e">
        <f>IF(#REF!="","",#REF!)</f>
        <v>#REF!</v>
      </c>
    </row>
    <row r="93" spans="1:19" ht="12.75" customHeight="1" x14ac:dyDescent="0.25">
      <c r="A93" s="180" t="e">
        <f>IF(#REF!="","",#REF!)</f>
        <v>#REF!</v>
      </c>
      <c r="B93" s="180" t="e">
        <f>IF(#REF!="","",#REF!)</f>
        <v>#REF!</v>
      </c>
      <c r="C93" s="180" t="e">
        <f>IF(#REF!="","",#REF!)</f>
        <v>#REF!</v>
      </c>
      <c r="D93" s="180" t="e">
        <f>IF(#REF!="","",#REF!)</f>
        <v>#REF!</v>
      </c>
      <c r="E93" s="180" t="e">
        <f>IF(#REF!="","",#REF!)</f>
        <v>#REF!</v>
      </c>
      <c r="F93" s="180" t="e">
        <f>IF(#REF!="","",#REF!)</f>
        <v>#REF!</v>
      </c>
      <c r="G93" s="180" t="e">
        <f>IF(#REF!="","",#REF!)</f>
        <v>#REF!</v>
      </c>
      <c r="H93" s="180" t="e">
        <f>IF(#REF!="","",#REF!)</f>
        <v>#REF!</v>
      </c>
      <c r="I93" s="180" t="e">
        <f>IF(#REF!="","",#REF!)</f>
        <v>#REF!</v>
      </c>
      <c r="J93" s="180" t="e">
        <f>IF(#REF!="","",#REF!)</f>
        <v>#REF!</v>
      </c>
      <c r="K93" s="180" t="e">
        <f>IF(#REF!="","",#REF!)</f>
        <v>#REF!</v>
      </c>
      <c r="L93" s="180" t="e">
        <f>IF(#REF!="","",#REF!)</f>
        <v>#REF!</v>
      </c>
      <c r="M93" s="180" t="e">
        <f>IF(#REF!="","",#REF!)</f>
        <v>#REF!</v>
      </c>
      <c r="N93" t="e">
        <f>IF(#REF!="","",#REF!)</f>
        <v>#REF!</v>
      </c>
      <c r="O93" t="e">
        <f>IF(#REF!="","",#REF!)</f>
        <v>#REF!</v>
      </c>
      <c r="P93" t="e">
        <f>IF(#REF!="","",#REF!)</f>
        <v>#REF!</v>
      </c>
      <c r="Q93" t="e">
        <f>IF(#REF!="","",#REF!)</f>
        <v>#REF!</v>
      </c>
      <c r="R93" t="e">
        <f>IF(#REF!="","",#REF!)</f>
        <v>#REF!</v>
      </c>
      <c r="S93" t="e">
        <f>IF(#REF!="","",#REF!)</f>
        <v>#REF!</v>
      </c>
    </row>
    <row r="94" spans="1:19" ht="12.75" customHeight="1" x14ac:dyDescent="0.25">
      <c r="A94" s="180" t="e">
        <f>IF(#REF!="","",#REF!)</f>
        <v>#REF!</v>
      </c>
      <c r="B94" s="180" t="e">
        <f>IF(#REF!="","",#REF!)</f>
        <v>#REF!</v>
      </c>
      <c r="C94" s="180" t="e">
        <f>IF(#REF!="","",#REF!)</f>
        <v>#REF!</v>
      </c>
      <c r="D94" s="180" t="e">
        <f>IF(#REF!="","",#REF!)</f>
        <v>#REF!</v>
      </c>
      <c r="E94" s="180" t="e">
        <f>IF(#REF!="","",#REF!)</f>
        <v>#REF!</v>
      </c>
      <c r="F94" s="180" t="e">
        <f>IF(#REF!="","",#REF!)</f>
        <v>#REF!</v>
      </c>
      <c r="G94" s="180" t="e">
        <f>IF(#REF!="","",#REF!)</f>
        <v>#REF!</v>
      </c>
      <c r="H94" s="180" t="e">
        <f>IF(#REF!="","",#REF!)</f>
        <v>#REF!</v>
      </c>
      <c r="I94" s="180" t="e">
        <f>IF(#REF!="","",#REF!)</f>
        <v>#REF!</v>
      </c>
      <c r="J94" s="180" t="e">
        <f>IF(#REF!="","",#REF!)</f>
        <v>#REF!</v>
      </c>
      <c r="K94" s="180" t="e">
        <f>IF(#REF!="","",#REF!)</f>
        <v>#REF!</v>
      </c>
      <c r="L94" s="180" t="e">
        <f>IF(#REF!="","",#REF!)</f>
        <v>#REF!</v>
      </c>
      <c r="M94" s="180" t="e">
        <f>IF(#REF!="","",#REF!)</f>
        <v>#REF!</v>
      </c>
      <c r="N94" t="e">
        <f>IF(#REF!="","",#REF!)</f>
        <v>#REF!</v>
      </c>
      <c r="O94" t="e">
        <f>IF(#REF!="","",#REF!)</f>
        <v>#REF!</v>
      </c>
      <c r="P94" t="e">
        <f>IF(#REF!="","",#REF!)</f>
        <v>#REF!</v>
      </c>
      <c r="Q94" t="e">
        <f>IF(#REF!="","",#REF!)</f>
        <v>#REF!</v>
      </c>
      <c r="R94" t="e">
        <f>IF(#REF!="","",#REF!)</f>
        <v>#REF!</v>
      </c>
      <c r="S94" t="e">
        <f>IF(#REF!="","",#REF!)</f>
        <v>#REF!</v>
      </c>
    </row>
    <row r="95" spans="1:19" ht="12.75" customHeight="1" x14ac:dyDescent="0.25">
      <c r="A95" s="180" t="e">
        <f>IF(#REF!="","",#REF!)</f>
        <v>#REF!</v>
      </c>
      <c r="B95" s="180" t="e">
        <f>IF(#REF!="","",#REF!)</f>
        <v>#REF!</v>
      </c>
      <c r="C95" s="180" t="e">
        <f>IF(#REF!="","",#REF!)</f>
        <v>#REF!</v>
      </c>
      <c r="D95" s="180" t="e">
        <f>IF(#REF!="","",#REF!)</f>
        <v>#REF!</v>
      </c>
      <c r="E95" s="180" t="e">
        <f>IF(#REF!="","",#REF!)</f>
        <v>#REF!</v>
      </c>
      <c r="F95" s="180" t="e">
        <f>IF(#REF!="","",#REF!)</f>
        <v>#REF!</v>
      </c>
      <c r="G95" s="180" t="e">
        <f>IF(#REF!="","",#REF!)</f>
        <v>#REF!</v>
      </c>
      <c r="H95" s="180" t="e">
        <f>IF(#REF!="","",#REF!)</f>
        <v>#REF!</v>
      </c>
      <c r="I95" s="180" t="e">
        <f>IF(#REF!="","",#REF!)</f>
        <v>#REF!</v>
      </c>
      <c r="J95" s="180" t="e">
        <f>IF(#REF!="","",#REF!)</f>
        <v>#REF!</v>
      </c>
      <c r="K95" s="180" t="e">
        <f>IF(#REF!="","",#REF!)</f>
        <v>#REF!</v>
      </c>
      <c r="L95" s="180" t="e">
        <f>IF(#REF!="","",#REF!)</f>
        <v>#REF!</v>
      </c>
      <c r="M95" s="180" t="e">
        <f>IF(#REF!="","",#REF!)</f>
        <v>#REF!</v>
      </c>
      <c r="N95" t="e">
        <f>IF(#REF!="","",#REF!)</f>
        <v>#REF!</v>
      </c>
      <c r="O95" t="e">
        <f>IF(#REF!="","",#REF!)</f>
        <v>#REF!</v>
      </c>
      <c r="P95" t="e">
        <f>IF(#REF!="","",#REF!)</f>
        <v>#REF!</v>
      </c>
      <c r="Q95" t="e">
        <f>IF(#REF!="","",#REF!)</f>
        <v>#REF!</v>
      </c>
      <c r="R95" t="e">
        <f>IF(#REF!="","",#REF!)</f>
        <v>#REF!</v>
      </c>
      <c r="S95" t="e">
        <f>IF(#REF!="","",#REF!)</f>
        <v>#REF!</v>
      </c>
    </row>
    <row r="96" spans="1:19" ht="12.75" customHeight="1" x14ac:dyDescent="0.25">
      <c r="A96" s="180" t="e">
        <f>IF(#REF!="","",#REF!)</f>
        <v>#REF!</v>
      </c>
      <c r="B96" s="180" t="e">
        <f>IF(#REF!="","",#REF!)</f>
        <v>#REF!</v>
      </c>
      <c r="C96" s="180" t="e">
        <f>IF(#REF!="","",#REF!)</f>
        <v>#REF!</v>
      </c>
      <c r="D96" s="180" t="e">
        <f>IF(#REF!="","",#REF!)</f>
        <v>#REF!</v>
      </c>
      <c r="E96" s="180" t="e">
        <f>IF(#REF!="","",#REF!)</f>
        <v>#REF!</v>
      </c>
      <c r="F96" s="180" t="e">
        <f>IF(#REF!="","",#REF!)</f>
        <v>#REF!</v>
      </c>
      <c r="G96" s="180" t="e">
        <f>IF(#REF!="","",#REF!)</f>
        <v>#REF!</v>
      </c>
      <c r="H96" s="180" t="e">
        <f>IF(#REF!="","",#REF!)</f>
        <v>#REF!</v>
      </c>
      <c r="I96" s="180" t="e">
        <f>IF(#REF!="","",#REF!)</f>
        <v>#REF!</v>
      </c>
      <c r="J96" s="180" t="e">
        <f>IF(#REF!="","",#REF!)</f>
        <v>#REF!</v>
      </c>
      <c r="K96" s="180" t="e">
        <f>IF(#REF!="","",#REF!)</f>
        <v>#REF!</v>
      </c>
      <c r="L96" s="180" t="e">
        <f>IF(#REF!="","",#REF!)</f>
        <v>#REF!</v>
      </c>
      <c r="M96" s="180" t="e">
        <f>IF(#REF!="","",#REF!)</f>
        <v>#REF!</v>
      </c>
      <c r="N96" t="e">
        <f>IF(#REF!="","",#REF!)</f>
        <v>#REF!</v>
      </c>
      <c r="O96" t="e">
        <f>IF(#REF!="","",#REF!)</f>
        <v>#REF!</v>
      </c>
      <c r="P96" t="e">
        <f>IF(#REF!="","",#REF!)</f>
        <v>#REF!</v>
      </c>
      <c r="Q96" t="e">
        <f>IF(#REF!="","",#REF!)</f>
        <v>#REF!</v>
      </c>
      <c r="R96" t="e">
        <f>IF(#REF!="","",#REF!)</f>
        <v>#REF!</v>
      </c>
      <c r="S96" t="e">
        <f>IF(#REF!="","",#REF!)</f>
        <v>#REF!</v>
      </c>
    </row>
    <row r="97" spans="1:19" ht="12.75" customHeight="1" x14ac:dyDescent="0.25">
      <c r="A97" s="180" t="e">
        <f>IF(#REF!="","",#REF!)</f>
        <v>#REF!</v>
      </c>
      <c r="B97" s="180" t="e">
        <f>IF(#REF!="","",#REF!)</f>
        <v>#REF!</v>
      </c>
      <c r="C97" s="180" t="e">
        <f>IF(#REF!="","",#REF!)</f>
        <v>#REF!</v>
      </c>
      <c r="D97" s="180" t="e">
        <f>IF(#REF!="","",#REF!)</f>
        <v>#REF!</v>
      </c>
      <c r="E97" s="180" t="e">
        <f>IF(#REF!="","",#REF!)</f>
        <v>#REF!</v>
      </c>
      <c r="F97" s="180" t="e">
        <f>IF(#REF!="","",#REF!)</f>
        <v>#REF!</v>
      </c>
      <c r="G97" s="180" t="e">
        <f>IF(#REF!="","",#REF!)</f>
        <v>#REF!</v>
      </c>
      <c r="H97" s="180" t="e">
        <f>IF(#REF!="","",#REF!)</f>
        <v>#REF!</v>
      </c>
      <c r="I97" s="180" t="e">
        <f>IF(#REF!="","",#REF!)</f>
        <v>#REF!</v>
      </c>
      <c r="J97" s="180" t="e">
        <f>IF(#REF!="","",#REF!)</f>
        <v>#REF!</v>
      </c>
      <c r="K97" s="180" t="e">
        <f>IF(#REF!="","",#REF!)</f>
        <v>#REF!</v>
      </c>
      <c r="L97" s="180" t="e">
        <f>IF(#REF!="","",#REF!)</f>
        <v>#REF!</v>
      </c>
      <c r="M97" s="180" t="e">
        <f>IF(#REF!="","",#REF!)</f>
        <v>#REF!</v>
      </c>
      <c r="N97" t="e">
        <f>IF(#REF!="","",#REF!)</f>
        <v>#REF!</v>
      </c>
      <c r="O97" t="e">
        <f>IF(#REF!="","",#REF!)</f>
        <v>#REF!</v>
      </c>
      <c r="P97" t="e">
        <f>IF(#REF!="","",#REF!)</f>
        <v>#REF!</v>
      </c>
      <c r="Q97" t="e">
        <f>IF(#REF!="","",#REF!)</f>
        <v>#REF!</v>
      </c>
      <c r="R97" t="e">
        <f>IF(#REF!="","",#REF!)</f>
        <v>#REF!</v>
      </c>
      <c r="S97" t="e">
        <f>IF(#REF!="","",#REF!)</f>
        <v>#REF!</v>
      </c>
    </row>
    <row r="98" spans="1:19" ht="12.75" customHeight="1" x14ac:dyDescent="0.25">
      <c r="A98" s="180" t="e">
        <f>IF(#REF!="","",#REF!)</f>
        <v>#REF!</v>
      </c>
      <c r="B98" s="180" t="e">
        <f>IF(#REF!="","",#REF!)</f>
        <v>#REF!</v>
      </c>
      <c r="C98" s="180" t="e">
        <f>IF(#REF!="","",#REF!)</f>
        <v>#REF!</v>
      </c>
      <c r="D98" s="180" t="e">
        <f>IF(#REF!="","",#REF!)</f>
        <v>#REF!</v>
      </c>
      <c r="E98" s="180" t="e">
        <f>IF(#REF!="","",#REF!)</f>
        <v>#REF!</v>
      </c>
      <c r="F98" s="180" t="e">
        <f>IF(#REF!="","",#REF!)</f>
        <v>#REF!</v>
      </c>
      <c r="G98" s="180" t="e">
        <f>IF(#REF!="","",#REF!)</f>
        <v>#REF!</v>
      </c>
      <c r="H98" s="180" t="e">
        <f>IF(#REF!="","",#REF!)</f>
        <v>#REF!</v>
      </c>
      <c r="I98" s="180" t="e">
        <f>IF(#REF!="","",#REF!)</f>
        <v>#REF!</v>
      </c>
      <c r="J98" s="180" t="e">
        <f>IF(#REF!="","",#REF!)</f>
        <v>#REF!</v>
      </c>
      <c r="K98" s="180" t="e">
        <f>IF(#REF!="","",#REF!)</f>
        <v>#REF!</v>
      </c>
      <c r="L98" s="180" t="e">
        <f>IF(#REF!="","",#REF!)</f>
        <v>#REF!</v>
      </c>
      <c r="M98" s="180" t="e">
        <f>IF(#REF!="","",#REF!)</f>
        <v>#REF!</v>
      </c>
      <c r="N98" t="e">
        <f>IF(#REF!="","",#REF!)</f>
        <v>#REF!</v>
      </c>
      <c r="O98" t="e">
        <f>IF(#REF!="","",#REF!)</f>
        <v>#REF!</v>
      </c>
      <c r="P98" t="e">
        <f>IF(#REF!="","",#REF!)</f>
        <v>#REF!</v>
      </c>
      <c r="Q98" t="e">
        <f>IF(#REF!="","",#REF!)</f>
        <v>#REF!</v>
      </c>
      <c r="R98" t="e">
        <f>IF(#REF!="","",#REF!)</f>
        <v>#REF!</v>
      </c>
      <c r="S98" t="e">
        <f>IF(#REF!="","",#REF!)</f>
        <v>#REF!</v>
      </c>
    </row>
    <row r="99" spans="1:19" ht="12.75" customHeight="1" x14ac:dyDescent="0.25">
      <c r="A99" s="180" t="e">
        <f>IF(#REF!="","",#REF!)</f>
        <v>#REF!</v>
      </c>
      <c r="B99" s="180" t="e">
        <f>IF(#REF!="","",#REF!)</f>
        <v>#REF!</v>
      </c>
      <c r="C99" s="180" t="e">
        <f>IF(#REF!="","",#REF!)</f>
        <v>#REF!</v>
      </c>
      <c r="D99" s="180" t="e">
        <f>IF(#REF!="","",#REF!)</f>
        <v>#REF!</v>
      </c>
      <c r="E99" s="180" t="e">
        <f>IF(#REF!="","",#REF!)</f>
        <v>#REF!</v>
      </c>
      <c r="F99" s="180" t="e">
        <f>IF(#REF!="","",#REF!)</f>
        <v>#REF!</v>
      </c>
      <c r="G99" s="180" t="e">
        <f>IF(#REF!="","",#REF!)</f>
        <v>#REF!</v>
      </c>
      <c r="H99" s="180" t="e">
        <f>IF(#REF!="","",#REF!)</f>
        <v>#REF!</v>
      </c>
      <c r="I99" s="180" t="e">
        <f>IF(#REF!="","",#REF!)</f>
        <v>#REF!</v>
      </c>
      <c r="J99" s="180" t="e">
        <f>IF(#REF!="","",#REF!)</f>
        <v>#REF!</v>
      </c>
      <c r="K99" s="180" t="e">
        <f>IF(#REF!="","",#REF!)</f>
        <v>#REF!</v>
      </c>
      <c r="L99" s="180" t="e">
        <f>IF(#REF!="","",#REF!)</f>
        <v>#REF!</v>
      </c>
      <c r="M99" s="180" t="e">
        <f>IF(#REF!="","",#REF!)</f>
        <v>#REF!</v>
      </c>
      <c r="N99" t="e">
        <f>IF(#REF!="","",#REF!)</f>
        <v>#REF!</v>
      </c>
      <c r="O99" t="e">
        <f>IF(#REF!="","",#REF!)</f>
        <v>#REF!</v>
      </c>
      <c r="P99" t="e">
        <f>IF(#REF!="","",#REF!)</f>
        <v>#REF!</v>
      </c>
      <c r="Q99" t="e">
        <f>IF(#REF!="","",#REF!)</f>
        <v>#REF!</v>
      </c>
      <c r="R99" t="e">
        <f>IF(#REF!="","",#REF!)</f>
        <v>#REF!</v>
      </c>
      <c r="S99" t="e">
        <f>IF(#REF!="","",#REF!)</f>
        <v>#REF!</v>
      </c>
    </row>
    <row r="100" spans="1:19" ht="12.75" customHeight="1" x14ac:dyDescent="0.25">
      <c r="A100" s="180" t="e">
        <f>IF(#REF!="","",#REF!)</f>
        <v>#REF!</v>
      </c>
      <c r="B100" s="180" t="e">
        <f>IF(#REF!="","",#REF!)</f>
        <v>#REF!</v>
      </c>
      <c r="C100" s="180" t="e">
        <f>IF(#REF!="","",#REF!)</f>
        <v>#REF!</v>
      </c>
      <c r="D100" s="180" t="e">
        <f>IF(#REF!="","",#REF!)</f>
        <v>#REF!</v>
      </c>
      <c r="E100" s="180" t="e">
        <f>IF(#REF!="","",#REF!)</f>
        <v>#REF!</v>
      </c>
      <c r="F100" s="180" t="e">
        <f>IF(#REF!="","",#REF!)</f>
        <v>#REF!</v>
      </c>
      <c r="G100" s="180" t="e">
        <f>IF(#REF!="","",#REF!)</f>
        <v>#REF!</v>
      </c>
      <c r="H100" s="180" t="e">
        <f>IF(#REF!="","",#REF!)</f>
        <v>#REF!</v>
      </c>
      <c r="I100" s="180" t="e">
        <f>IF(#REF!="","",#REF!)</f>
        <v>#REF!</v>
      </c>
      <c r="J100" s="180" t="e">
        <f>IF(#REF!="","",#REF!)</f>
        <v>#REF!</v>
      </c>
      <c r="K100" s="180" t="e">
        <f>IF(#REF!="","",#REF!)</f>
        <v>#REF!</v>
      </c>
      <c r="L100" s="180" t="e">
        <f>IF(#REF!="","",#REF!)</f>
        <v>#REF!</v>
      </c>
      <c r="M100" s="180" t="e">
        <f>IF(#REF!="","",#REF!)</f>
        <v>#REF!</v>
      </c>
      <c r="N100" t="e">
        <f>IF(#REF!="","",#REF!)</f>
        <v>#REF!</v>
      </c>
      <c r="O100" t="e">
        <f>IF(#REF!="","",#REF!)</f>
        <v>#REF!</v>
      </c>
      <c r="P100" t="e">
        <f>IF(#REF!="","",#REF!)</f>
        <v>#REF!</v>
      </c>
      <c r="Q100" t="e">
        <f>IF(#REF!="","",#REF!)</f>
        <v>#REF!</v>
      </c>
      <c r="R100" t="e">
        <f>IF(#REF!="","",#REF!)</f>
        <v>#REF!</v>
      </c>
      <c r="S100" t="e">
        <f>IF(#REF!="","",#REF!)</f>
        <v>#REF!</v>
      </c>
    </row>
    <row r="101" spans="1:19" ht="12.75" customHeight="1" x14ac:dyDescent="0.25">
      <c r="A101" s="180" t="e">
        <f>IF(#REF!="","",#REF!)</f>
        <v>#REF!</v>
      </c>
      <c r="B101" s="180" t="e">
        <f>IF(#REF!="","",#REF!)</f>
        <v>#REF!</v>
      </c>
      <c r="C101" s="180" t="e">
        <f>IF(#REF!="","",#REF!)</f>
        <v>#REF!</v>
      </c>
      <c r="D101" s="180" t="e">
        <f>IF(#REF!="","",#REF!)</f>
        <v>#REF!</v>
      </c>
      <c r="E101" s="180" t="e">
        <f>IF(#REF!="","",#REF!)</f>
        <v>#REF!</v>
      </c>
      <c r="F101" s="180" t="e">
        <f>IF(#REF!="","",#REF!)</f>
        <v>#REF!</v>
      </c>
      <c r="G101" s="180" t="e">
        <f>IF(#REF!="","",#REF!)</f>
        <v>#REF!</v>
      </c>
      <c r="H101" s="180" t="e">
        <f>IF(#REF!="","",#REF!)</f>
        <v>#REF!</v>
      </c>
      <c r="I101" s="180" t="e">
        <f>IF(#REF!="","",#REF!)</f>
        <v>#REF!</v>
      </c>
      <c r="J101" s="180" t="e">
        <f>IF(#REF!="","",#REF!)</f>
        <v>#REF!</v>
      </c>
      <c r="K101" s="180" t="e">
        <f>IF(#REF!="","",#REF!)</f>
        <v>#REF!</v>
      </c>
      <c r="L101" s="180" t="e">
        <f>IF(#REF!="","",#REF!)</f>
        <v>#REF!</v>
      </c>
      <c r="M101" s="180" t="e">
        <f>IF(#REF!="","",#REF!)</f>
        <v>#REF!</v>
      </c>
      <c r="N101" t="e">
        <f>IF(#REF!="","",#REF!)</f>
        <v>#REF!</v>
      </c>
      <c r="O101" t="e">
        <f>IF(#REF!="","",#REF!)</f>
        <v>#REF!</v>
      </c>
      <c r="P101" t="e">
        <f>IF(#REF!="","",#REF!)</f>
        <v>#REF!</v>
      </c>
      <c r="Q101" t="e">
        <f>IF(#REF!="","",#REF!)</f>
        <v>#REF!</v>
      </c>
      <c r="R101" t="e">
        <f>IF(#REF!="","",#REF!)</f>
        <v>#REF!</v>
      </c>
      <c r="S101" t="e">
        <f>IF(#REF!="","",#REF!)</f>
        <v>#REF!</v>
      </c>
    </row>
    <row r="102" spans="1:19" ht="12.75" customHeight="1" x14ac:dyDescent="0.25">
      <c r="A102" s="180" t="e">
        <f>IF(#REF!="","",#REF!)</f>
        <v>#REF!</v>
      </c>
      <c r="B102" s="180" t="e">
        <f>IF(#REF!="","",#REF!)</f>
        <v>#REF!</v>
      </c>
      <c r="C102" s="180" t="e">
        <f>IF(#REF!="","",#REF!)</f>
        <v>#REF!</v>
      </c>
      <c r="D102" s="180" t="e">
        <f>IF(#REF!="","",#REF!)</f>
        <v>#REF!</v>
      </c>
      <c r="E102" s="180" t="e">
        <f>IF(#REF!="","",#REF!)</f>
        <v>#REF!</v>
      </c>
      <c r="F102" s="180" t="e">
        <f>IF(#REF!="","",#REF!)</f>
        <v>#REF!</v>
      </c>
      <c r="G102" s="180" t="e">
        <f>IF(#REF!="","",#REF!)</f>
        <v>#REF!</v>
      </c>
      <c r="H102" s="180" t="e">
        <f>IF(#REF!="","",#REF!)</f>
        <v>#REF!</v>
      </c>
      <c r="I102" s="180" t="e">
        <f>IF(#REF!="","",#REF!)</f>
        <v>#REF!</v>
      </c>
      <c r="J102" s="180" t="e">
        <f>IF(#REF!="","",#REF!)</f>
        <v>#REF!</v>
      </c>
      <c r="K102" s="180" t="e">
        <f>IF(#REF!="","",#REF!)</f>
        <v>#REF!</v>
      </c>
      <c r="L102" s="180" t="e">
        <f>IF(#REF!="","",#REF!)</f>
        <v>#REF!</v>
      </c>
      <c r="M102" s="180" t="e">
        <f>IF(#REF!="","",#REF!)</f>
        <v>#REF!</v>
      </c>
      <c r="N102" t="e">
        <f>IF(#REF!="","",#REF!)</f>
        <v>#REF!</v>
      </c>
      <c r="O102" t="e">
        <f>IF(#REF!="","",#REF!)</f>
        <v>#REF!</v>
      </c>
      <c r="P102" t="e">
        <f>IF(#REF!="","",#REF!)</f>
        <v>#REF!</v>
      </c>
      <c r="Q102" t="e">
        <f>IF(#REF!="","",#REF!)</f>
        <v>#REF!</v>
      </c>
      <c r="R102" t="e">
        <f>IF(#REF!="","",#REF!)</f>
        <v>#REF!</v>
      </c>
      <c r="S102" t="e">
        <f>IF(#REF!="","",#REF!)</f>
        <v>#REF!</v>
      </c>
    </row>
    <row r="103" spans="1:19" ht="12.75" customHeight="1" x14ac:dyDescent="0.25">
      <c r="A103" s="180" t="e">
        <f>IF(#REF!="","",#REF!)</f>
        <v>#REF!</v>
      </c>
      <c r="B103" s="180" t="e">
        <f>IF(#REF!="","",#REF!)</f>
        <v>#REF!</v>
      </c>
      <c r="C103" s="180" t="e">
        <f>IF(#REF!="","",#REF!)</f>
        <v>#REF!</v>
      </c>
      <c r="D103" s="180" t="e">
        <f>IF(#REF!="","",#REF!)</f>
        <v>#REF!</v>
      </c>
      <c r="E103" s="180" t="e">
        <f>IF(#REF!="","",#REF!)</f>
        <v>#REF!</v>
      </c>
      <c r="F103" s="180" t="e">
        <f>IF(#REF!="","",#REF!)</f>
        <v>#REF!</v>
      </c>
      <c r="G103" s="180" t="e">
        <f>IF(#REF!="","",#REF!)</f>
        <v>#REF!</v>
      </c>
      <c r="H103" s="180" t="e">
        <f>IF(#REF!="","",#REF!)</f>
        <v>#REF!</v>
      </c>
      <c r="I103" s="180" t="e">
        <f>IF(#REF!="","",#REF!)</f>
        <v>#REF!</v>
      </c>
      <c r="J103" s="180" t="e">
        <f>IF(#REF!="","",#REF!)</f>
        <v>#REF!</v>
      </c>
      <c r="K103" s="180" t="e">
        <f>IF(#REF!="","",#REF!)</f>
        <v>#REF!</v>
      </c>
      <c r="L103" s="180" t="e">
        <f>IF(#REF!="","",#REF!)</f>
        <v>#REF!</v>
      </c>
      <c r="M103" s="180" t="e">
        <f>IF(#REF!="","",#REF!)</f>
        <v>#REF!</v>
      </c>
      <c r="N103" t="e">
        <f>IF(#REF!="","",#REF!)</f>
        <v>#REF!</v>
      </c>
      <c r="O103" t="e">
        <f>IF(#REF!="","",#REF!)</f>
        <v>#REF!</v>
      </c>
      <c r="P103" t="e">
        <f>IF(#REF!="","",#REF!)</f>
        <v>#REF!</v>
      </c>
      <c r="Q103" t="e">
        <f>IF(#REF!="","",#REF!)</f>
        <v>#REF!</v>
      </c>
      <c r="R103" t="e">
        <f>IF(#REF!="","",#REF!)</f>
        <v>#REF!</v>
      </c>
      <c r="S103" t="e">
        <f>IF(#REF!="","",#REF!)</f>
        <v>#REF!</v>
      </c>
    </row>
    <row r="104" spans="1:19" ht="12.75" customHeight="1" x14ac:dyDescent="0.25">
      <c r="A104" s="180" t="e">
        <f>IF(#REF!="","",#REF!)</f>
        <v>#REF!</v>
      </c>
      <c r="B104" s="180" t="e">
        <f>IF(#REF!="","",#REF!)</f>
        <v>#REF!</v>
      </c>
      <c r="C104" s="180" t="e">
        <f>IF(#REF!="","",#REF!)</f>
        <v>#REF!</v>
      </c>
      <c r="D104" s="180" t="e">
        <f>IF(#REF!="","",#REF!)</f>
        <v>#REF!</v>
      </c>
      <c r="E104" s="180" t="e">
        <f>IF(#REF!="","",#REF!)</f>
        <v>#REF!</v>
      </c>
      <c r="F104" s="180" t="e">
        <f>IF(#REF!="","",#REF!)</f>
        <v>#REF!</v>
      </c>
      <c r="G104" s="180" t="e">
        <f>IF(#REF!="","",#REF!)</f>
        <v>#REF!</v>
      </c>
      <c r="H104" s="180" t="e">
        <f>IF(#REF!="","",#REF!)</f>
        <v>#REF!</v>
      </c>
      <c r="I104" s="180" t="e">
        <f>IF(#REF!="","",#REF!)</f>
        <v>#REF!</v>
      </c>
      <c r="J104" s="180" t="e">
        <f>IF(#REF!="","",#REF!)</f>
        <v>#REF!</v>
      </c>
      <c r="K104" s="180" t="e">
        <f>IF(#REF!="","",#REF!)</f>
        <v>#REF!</v>
      </c>
      <c r="L104" s="180" t="e">
        <f>IF(#REF!="","",#REF!)</f>
        <v>#REF!</v>
      </c>
      <c r="M104" s="180" t="e">
        <f>IF(#REF!="","",#REF!)</f>
        <v>#REF!</v>
      </c>
      <c r="N104" t="e">
        <f>IF(#REF!="","",#REF!)</f>
        <v>#REF!</v>
      </c>
      <c r="O104" t="e">
        <f>IF(#REF!="","",#REF!)</f>
        <v>#REF!</v>
      </c>
      <c r="P104" t="e">
        <f>IF(#REF!="","",#REF!)</f>
        <v>#REF!</v>
      </c>
      <c r="Q104" t="e">
        <f>IF(#REF!="","",#REF!)</f>
        <v>#REF!</v>
      </c>
      <c r="R104" t="e">
        <f>IF(#REF!="","",#REF!)</f>
        <v>#REF!</v>
      </c>
      <c r="S104" t="e">
        <f>IF(#REF!="","",#REF!)</f>
        <v>#REF!</v>
      </c>
    </row>
    <row r="105" spans="1:19" ht="12.75" customHeight="1" x14ac:dyDescent="0.25">
      <c r="A105" s="180" t="e">
        <f>IF(#REF!="","",#REF!)</f>
        <v>#REF!</v>
      </c>
      <c r="B105" s="180" t="e">
        <f>IF(#REF!="","",#REF!)</f>
        <v>#REF!</v>
      </c>
      <c r="C105" s="180" t="e">
        <f>IF(#REF!="","",#REF!)</f>
        <v>#REF!</v>
      </c>
      <c r="D105" s="180" t="e">
        <f>IF(#REF!="","",#REF!)</f>
        <v>#REF!</v>
      </c>
      <c r="E105" s="180" t="e">
        <f>IF(#REF!="","",#REF!)</f>
        <v>#REF!</v>
      </c>
      <c r="F105" s="180" t="e">
        <f>IF(#REF!="","",#REF!)</f>
        <v>#REF!</v>
      </c>
      <c r="G105" s="180" t="e">
        <f>IF(#REF!="","",#REF!)</f>
        <v>#REF!</v>
      </c>
      <c r="H105" s="180" t="e">
        <f>IF(#REF!="","",#REF!)</f>
        <v>#REF!</v>
      </c>
      <c r="I105" s="180" t="e">
        <f>IF(#REF!="","",#REF!)</f>
        <v>#REF!</v>
      </c>
      <c r="J105" s="180" t="e">
        <f>IF(#REF!="","",#REF!)</f>
        <v>#REF!</v>
      </c>
      <c r="K105" s="180" t="e">
        <f>IF(#REF!="","",#REF!)</f>
        <v>#REF!</v>
      </c>
      <c r="L105" s="180" t="e">
        <f>IF(#REF!="","",#REF!)</f>
        <v>#REF!</v>
      </c>
      <c r="M105" s="180" t="e">
        <f>IF(#REF!="","",#REF!)</f>
        <v>#REF!</v>
      </c>
      <c r="N105" t="e">
        <f>IF(#REF!="","",#REF!)</f>
        <v>#REF!</v>
      </c>
      <c r="O105" t="e">
        <f>IF(#REF!="","",#REF!)</f>
        <v>#REF!</v>
      </c>
      <c r="P105" t="e">
        <f>IF(#REF!="","",#REF!)</f>
        <v>#REF!</v>
      </c>
      <c r="Q105" t="e">
        <f>IF(#REF!="","",#REF!)</f>
        <v>#REF!</v>
      </c>
      <c r="R105" t="e">
        <f>IF(#REF!="","",#REF!)</f>
        <v>#REF!</v>
      </c>
      <c r="S105" t="e">
        <f>IF(#REF!="","",#REF!)</f>
        <v>#REF!</v>
      </c>
    </row>
    <row r="106" spans="1:19" ht="12.75" customHeight="1" x14ac:dyDescent="0.25">
      <c r="A106" s="180" t="e">
        <f>IF(#REF!="","",#REF!)</f>
        <v>#REF!</v>
      </c>
      <c r="B106" s="180" t="e">
        <f>IF(#REF!="","",#REF!)</f>
        <v>#REF!</v>
      </c>
      <c r="C106" s="180" t="e">
        <f>IF(#REF!="","",#REF!)</f>
        <v>#REF!</v>
      </c>
      <c r="D106" s="180" t="e">
        <f>IF(#REF!="","",#REF!)</f>
        <v>#REF!</v>
      </c>
      <c r="E106" s="180" t="e">
        <f>IF(#REF!="","",#REF!)</f>
        <v>#REF!</v>
      </c>
      <c r="F106" s="180" t="e">
        <f>IF(#REF!="","",#REF!)</f>
        <v>#REF!</v>
      </c>
      <c r="G106" s="180" t="e">
        <f>IF(#REF!="","",#REF!)</f>
        <v>#REF!</v>
      </c>
      <c r="H106" s="180" t="e">
        <f>IF(#REF!="","",#REF!)</f>
        <v>#REF!</v>
      </c>
      <c r="I106" s="180" t="e">
        <f>IF(#REF!="","",#REF!)</f>
        <v>#REF!</v>
      </c>
      <c r="J106" s="180" t="e">
        <f>IF(#REF!="","",#REF!)</f>
        <v>#REF!</v>
      </c>
      <c r="K106" s="180" t="e">
        <f>IF(#REF!="","",#REF!)</f>
        <v>#REF!</v>
      </c>
      <c r="L106" s="180" t="e">
        <f>IF(#REF!="","",#REF!)</f>
        <v>#REF!</v>
      </c>
      <c r="M106" s="180" t="e">
        <f>IF(#REF!="","",#REF!)</f>
        <v>#REF!</v>
      </c>
      <c r="N106" t="e">
        <f>IF(#REF!="","",#REF!)</f>
        <v>#REF!</v>
      </c>
      <c r="O106" t="e">
        <f>IF(#REF!="","",#REF!)</f>
        <v>#REF!</v>
      </c>
      <c r="P106" t="e">
        <f>IF(#REF!="","",#REF!)</f>
        <v>#REF!</v>
      </c>
      <c r="Q106" t="e">
        <f>IF(#REF!="","",#REF!)</f>
        <v>#REF!</v>
      </c>
      <c r="R106" t="e">
        <f>IF(#REF!="","",#REF!)</f>
        <v>#REF!</v>
      </c>
      <c r="S106" t="e">
        <f>IF(#REF!="","",#REF!)</f>
        <v>#REF!</v>
      </c>
    </row>
    <row r="107" spans="1:19" ht="12.75" customHeight="1" x14ac:dyDescent="0.25">
      <c r="A107" s="180" t="e">
        <f>IF(#REF!="","",#REF!)</f>
        <v>#REF!</v>
      </c>
      <c r="B107" s="180" t="e">
        <f>IF(#REF!="","",#REF!)</f>
        <v>#REF!</v>
      </c>
      <c r="C107" s="180" t="e">
        <f>IF(#REF!="","",#REF!)</f>
        <v>#REF!</v>
      </c>
      <c r="D107" s="180" t="e">
        <f>IF(#REF!="","",#REF!)</f>
        <v>#REF!</v>
      </c>
      <c r="E107" s="180" t="e">
        <f>IF(#REF!="","",#REF!)</f>
        <v>#REF!</v>
      </c>
      <c r="F107" s="180" t="e">
        <f>IF(#REF!="","",#REF!)</f>
        <v>#REF!</v>
      </c>
      <c r="G107" s="180" t="e">
        <f>IF(#REF!="","",#REF!)</f>
        <v>#REF!</v>
      </c>
      <c r="H107" s="180" t="e">
        <f>IF(#REF!="","",#REF!)</f>
        <v>#REF!</v>
      </c>
      <c r="I107" s="180" t="e">
        <f>IF(#REF!="","",#REF!)</f>
        <v>#REF!</v>
      </c>
      <c r="J107" s="180" t="e">
        <f>IF(#REF!="","",#REF!)</f>
        <v>#REF!</v>
      </c>
      <c r="K107" s="180" t="e">
        <f>IF(#REF!="","",#REF!)</f>
        <v>#REF!</v>
      </c>
      <c r="L107" s="180" t="e">
        <f>IF(#REF!="","",#REF!)</f>
        <v>#REF!</v>
      </c>
      <c r="M107" s="180" t="e">
        <f>IF(#REF!="","",#REF!)</f>
        <v>#REF!</v>
      </c>
      <c r="N107" t="e">
        <f>IF(#REF!="","",#REF!)</f>
        <v>#REF!</v>
      </c>
      <c r="O107" t="e">
        <f>IF(#REF!="","",#REF!)</f>
        <v>#REF!</v>
      </c>
      <c r="P107" t="e">
        <f>IF(#REF!="","",#REF!)</f>
        <v>#REF!</v>
      </c>
      <c r="Q107" t="e">
        <f>IF(#REF!="","",#REF!)</f>
        <v>#REF!</v>
      </c>
      <c r="R107" t="e">
        <f>IF(#REF!="","",#REF!)</f>
        <v>#REF!</v>
      </c>
      <c r="S107" t="e">
        <f>IF(#REF!="","",#REF!)</f>
        <v>#REF!</v>
      </c>
    </row>
    <row r="108" spans="1:19" ht="12.75" customHeight="1" x14ac:dyDescent="0.25">
      <c r="A108" s="180" t="e">
        <f>IF(#REF!="","",#REF!)</f>
        <v>#REF!</v>
      </c>
      <c r="B108" s="180" t="e">
        <f>IF(#REF!="","",#REF!)</f>
        <v>#REF!</v>
      </c>
      <c r="C108" s="180" t="e">
        <f>IF(#REF!="","",#REF!)</f>
        <v>#REF!</v>
      </c>
      <c r="D108" s="180" t="e">
        <f>IF(#REF!="","",#REF!)</f>
        <v>#REF!</v>
      </c>
      <c r="E108" s="180" t="e">
        <f>IF(#REF!="","",#REF!)</f>
        <v>#REF!</v>
      </c>
      <c r="F108" s="180" t="e">
        <f>IF(#REF!="","",#REF!)</f>
        <v>#REF!</v>
      </c>
      <c r="G108" s="180" t="e">
        <f>IF(#REF!="","",#REF!)</f>
        <v>#REF!</v>
      </c>
      <c r="H108" s="180" t="e">
        <f>IF(#REF!="","",#REF!)</f>
        <v>#REF!</v>
      </c>
      <c r="I108" s="180" t="e">
        <f>IF(#REF!="","",#REF!)</f>
        <v>#REF!</v>
      </c>
      <c r="J108" s="180" t="e">
        <f>IF(#REF!="","",#REF!)</f>
        <v>#REF!</v>
      </c>
      <c r="K108" s="180" t="e">
        <f>IF(#REF!="","",#REF!)</f>
        <v>#REF!</v>
      </c>
      <c r="L108" s="180" t="e">
        <f>IF(#REF!="","",#REF!)</f>
        <v>#REF!</v>
      </c>
      <c r="M108" s="180" t="e">
        <f>IF(#REF!="","",#REF!)</f>
        <v>#REF!</v>
      </c>
      <c r="N108" t="e">
        <f>IF(#REF!="","",#REF!)</f>
        <v>#REF!</v>
      </c>
      <c r="O108" t="e">
        <f>IF(#REF!="","",#REF!)</f>
        <v>#REF!</v>
      </c>
      <c r="P108" t="e">
        <f>IF(#REF!="","",#REF!)</f>
        <v>#REF!</v>
      </c>
      <c r="Q108" t="e">
        <f>IF(#REF!="","",#REF!)</f>
        <v>#REF!</v>
      </c>
      <c r="R108" t="e">
        <f>IF(#REF!="","",#REF!)</f>
        <v>#REF!</v>
      </c>
      <c r="S108" t="e">
        <f>IF(#REF!="","",#REF!)</f>
        <v>#REF!</v>
      </c>
    </row>
    <row r="109" spans="1:19" ht="12.75" customHeight="1" x14ac:dyDescent="0.25">
      <c r="A109" s="180" t="e">
        <f>IF(#REF!="","",#REF!)</f>
        <v>#REF!</v>
      </c>
      <c r="B109" s="180" t="e">
        <f>IF(#REF!="","",#REF!)</f>
        <v>#REF!</v>
      </c>
      <c r="C109" s="180" t="e">
        <f>IF(#REF!="","",#REF!)</f>
        <v>#REF!</v>
      </c>
      <c r="D109" s="180" t="e">
        <f>IF(#REF!="","",#REF!)</f>
        <v>#REF!</v>
      </c>
      <c r="E109" s="180" t="e">
        <f>IF(#REF!="","",#REF!)</f>
        <v>#REF!</v>
      </c>
      <c r="F109" s="180" t="e">
        <f>IF(#REF!="","",#REF!)</f>
        <v>#REF!</v>
      </c>
      <c r="G109" s="180" t="e">
        <f>IF(#REF!="","",#REF!)</f>
        <v>#REF!</v>
      </c>
      <c r="H109" s="180" t="e">
        <f>IF(#REF!="","",#REF!)</f>
        <v>#REF!</v>
      </c>
      <c r="I109" s="180" t="e">
        <f>IF(#REF!="","",#REF!)</f>
        <v>#REF!</v>
      </c>
      <c r="J109" s="180" t="e">
        <f>IF(#REF!="","",#REF!)</f>
        <v>#REF!</v>
      </c>
      <c r="K109" s="180" t="e">
        <f>IF(#REF!="","",#REF!)</f>
        <v>#REF!</v>
      </c>
      <c r="L109" s="180" t="e">
        <f>IF(#REF!="","",#REF!)</f>
        <v>#REF!</v>
      </c>
      <c r="M109" s="180" t="e">
        <f>IF(#REF!="","",#REF!)</f>
        <v>#REF!</v>
      </c>
      <c r="N109" t="e">
        <f>IF(#REF!="","",#REF!)</f>
        <v>#REF!</v>
      </c>
      <c r="O109" t="e">
        <f>IF(#REF!="","",#REF!)</f>
        <v>#REF!</v>
      </c>
      <c r="P109" t="e">
        <f>IF(#REF!="","",#REF!)</f>
        <v>#REF!</v>
      </c>
      <c r="Q109" t="e">
        <f>IF(#REF!="","",#REF!)</f>
        <v>#REF!</v>
      </c>
      <c r="R109" t="e">
        <f>IF(#REF!="","",#REF!)</f>
        <v>#REF!</v>
      </c>
      <c r="S109" t="e">
        <f>IF(#REF!="","",#REF!)</f>
        <v>#REF!</v>
      </c>
    </row>
    <row r="110" spans="1:19" ht="12.75" customHeight="1" x14ac:dyDescent="0.25">
      <c r="A110" s="180" t="e">
        <f>IF(#REF!="","",#REF!)</f>
        <v>#REF!</v>
      </c>
      <c r="B110" s="180" t="e">
        <f>IF(#REF!="","",#REF!)</f>
        <v>#REF!</v>
      </c>
      <c r="C110" s="180" t="e">
        <f>IF(#REF!="","",#REF!)</f>
        <v>#REF!</v>
      </c>
      <c r="D110" s="180" t="e">
        <f>IF(#REF!="","",#REF!)</f>
        <v>#REF!</v>
      </c>
      <c r="E110" s="180" t="e">
        <f>IF(#REF!="","",#REF!)</f>
        <v>#REF!</v>
      </c>
      <c r="F110" s="180" t="e">
        <f>IF(#REF!="","",#REF!)</f>
        <v>#REF!</v>
      </c>
      <c r="G110" s="180" t="e">
        <f>IF(#REF!="","",#REF!)</f>
        <v>#REF!</v>
      </c>
      <c r="H110" s="180" t="e">
        <f>IF(#REF!="","",#REF!)</f>
        <v>#REF!</v>
      </c>
      <c r="I110" s="180" t="e">
        <f>IF(#REF!="","",#REF!)</f>
        <v>#REF!</v>
      </c>
      <c r="J110" s="180" t="e">
        <f>IF(#REF!="","",#REF!)</f>
        <v>#REF!</v>
      </c>
      <c r="K110" s="180" t="e">
        <f>IF(#REF!="","",#REF!)</f>
        <v>#REF!</v>
      </c>
      <c r="L110" s="180" t="e">
        <f>IF(#REF!="","",#REF!)</f>
        <v>#REF!</v>
      </c>
      <c r="M110" s="180" t="e">
        <f>IF(#REF!="","",#REF!)</f>
        <v>#REF!</v>
      </c>
      <c r="N110" t="e">
        <f>IF(#REF!="","",#REF!)</f>
        <v>#REF!</v>
      </c>
      <c r="O110" t="e">
        <f>IF(#REF!="","",#REF!)</f>
        <v>#REF!</v>
      </c>
      <c r="P110" t="e">
        <f>IF(#REF!="","",#REF!)</f>
        <v>#REF!</v>
      </c>
      <c r="Q110" t="e">
        <f>IF(#REF!="","",#REF!)</f>
        <v>#REF!</v>
      </c>
      <c r="R110" t="e">
        <f>IF(#REF!="","",#REF!)</f>
        <v>#REF!</v>
      </c>
      <c r="S110" t="e">
        <f>IF(#REF!="","",#REF!)</f>
        <v>#REF!</v>
      </c>
    </row>
    <row r="111" spans="1:19" ht="12.75" customHeight="1" x14ac:dyDescent="0.25">
      <c r="A111" s="180" t="e">
        <f>IF(#REF!="","",#REF!)</f>
        <v>#REF!</v>
      </c>
      <c r="B111" s="180" t="e">
        <f>IF(#REF!="","",#REF!)</f>
        <v>#REF!</v>
      </c>
      <c r="C111" s="180" t="e">
        <f>IF(#REF!="","",#REF!)</f>
        <v>#REF!</v>
      </c>
      <c r="D111" s="180" t="e">
        <f>IF(#REF!="","",#REF!)</f>
        <v>#REF!</v>
      </c>
      <c r="E111" s="180" t="e">
        <f>IF(#REF!="","",#REF!)</f>
        <v>#REF!</v>
      </c>
      <c r="F111" s="180" t="e">
        <f>IF(#REF!="","",#REF!)</f>
        <v>#REF!</v>
      </c>
      <c r="G111" s="180" t="e">
        <f>IF(#REF!="","",#REF!)</f>
        <v>#REF!</v>
      </c>
      <c r="H111" s="180" t="e">
        <f>IF(#REF!="","",#REF!)</f>
        <v>#REF!</v>
      </c>
      <c r="I111" s="180" t="e">
        <f>IF(#REF!="","",#REF!)</f>
        <v>#REF!</v>
      </c>
      <c r="J111" s="180" t="e">
        <f>IF(#REF!="","",#REF!)</f>
        <v>#REF!</v>
      </c>
      <c r="K111" s="180" t="e">
        <f>IF(#REF!="","",#REF!)</f>
        <v>#REF!</v>
      </c>
      <c r="L111" s="180" t="e">
        <f>IF(#REF!="","",#REF!)</f>
        <v>#REF!</v>
      </c>
      <c r="M111" s="180" t="e">
        <f>IF(#REF!="","",#REF!)</f>
        <v>#REF!</v>
      </c>
      <c r="N111" t="e">
        <f>IF(#REF!="","",#REF!)</f>
        <v>#REF!</v>
      </c>
      <c r="O111" t="e">
        <f>IF(#REF!="","",#REF!)</f>
        <v>#REF!</v>
      </c>
      <c r="P111" t="e">
        <f>IF(#REF!="","",#REF!)</f>
        <v>#REF!</v>
      </c>
      <c r="Q111" t="e">
        <f>IF(#REF!="","",#REF!)</f>
        <v>#REF!</v>
      </c>
      <c r="R111" t="e">
        <f>IF(#REF!="","",#REF!)</f>
        <v>#REF!</v>
      </c>
      <c r="S111" t="e">
        <f>IF(#REF!="","",#REF!)</f>
        <v>#REF!</v>
      </c>
    </row>
    <row r="112" spans="1:19" ht="12.75" customHeight="1" x14ac:dyDescent="0.25">
      <c r="A112" s="180" t="e">
        <f>IF(#REF!="","",#REF!)</f>
        <v>#REF!</v>
      </c>
      <c r="B112" s="180" t="e">
        <f>IF(#REF!="","",#REF!)</f>
        <v>#REF!</v>
      </c>
      <c r="C112" s="180" t="e">
        <f>IF(#REF!="","",#REF!)</f>
        <v>#REF!</v>
      </c>
      <c r="D112" s="180" t="e">
        <f>IF(#REF!="","",#REF!)</f>
        <v>#REF!</v>
      </c>
      <c r="E112" s="180" t="e">
        <f>IF(#REF!="","",#REF!)</f>
        <v>#REF!</v>
      </c>
      <c r="F112" s="180" t="e">
        <f>IF(#REF!="","",#REF!)</f>
        <v>#REF!</v>
      </c>
      <c r="G112" s="180" t="e">
        <f>IF(#REF!="","",#REF!)</f>
        <v>#REF!</v>
      </c>
      <c r="H112" s="180" t="e">
        <f>IF(#REF!="","",#REF!)</f>
        <v>#REF!</v>
      </c>
      <c r="I112" s="180" t="e">
        <f>IF(#REF!="","",#REF!)</f>
        <v>#REF!</v>
      </c>
      <c r="J112" s="180" t="e">
        <f>IF(#REF!="","",#REF!)</f>
        <v>#REF!</v>
      </c>
      <c r="K112" s="180" t="e">
        <f>IF(#REF!="","",#REF!)</f>
        <v>#REF!</v>
      </c>
      <c r="L112" s="180" t="e">
        <f>IF(#REF!="","",#REF!)</f>
        <v>#REF!</v>
      </c>
      <c r="M112" s="180" t="e">
        <f>IF(#REF!="","",#REF!)</f>
        <v>#REF!</v>
      </c>
      <c r="N112" t="e">
        <f>IF(#REF!="","",#REF!)</f>
        <v>#REF!</v>
      </c>
      <c r="O112" t="e">
        <f>IF(#REF!="","",#REF!)</f>
        <v>#REF!</v>
      </c>
      <c r="P112" t="e">
        <f>IF(#REF!="","",#REF!)</f>
        <v>#REF!</v>
      </c>
      <c r="Q112" t="e">
        <f>IF(#REF!="","",#REF!)</f>
        <v>#REF!</v>
      </c>
      <c r="R112" t="e">
        <f>IF(#REF!="","",#REF!)</f>
        <v>#REF!</v>
      </c>
      <c r="S112" t="e">
        <f>IF(#REF!="","",#REF!)</f>
        <v>#REF!</v>
      </c>
    </row>
    <row r="113" spans="1:19" ht="12.75" customHeight="1" x14ac:dyDescent="0.25">
      <c r="A113" s="180" t="e">
        <f>IF(#REF!="","",#REF!)</f>
        <v>#REF!</v>
      </c>
      <c r="B113" s="180" t="e">
        <f>IF(#REF!="","",#REF!)</f>
        <v>#REF!</v>
      </c>
      <c r="C113" s="180" t="e">
        <f>IF(#REF!="","",#REF!)</f>
        <v>#REF!</v>
      </c>
      <c r="D113" s="180" t="e">
        <f>IF(#REF!="","",#REF!)</f>
        <v>#REF!</v>
      </c>
      <c r="E113" s="180" t="e">
        <f>IF(#REF!="","",#REF!)</f>
        <v>#REF!</v>
      </c>
      <c r="F113" s="180" t="e">
        <f>IF(#REF!="","",#REF!)</f>
        <v>#REF!</v>
      </c>
      <c r="G113" s="180" t="e">
        <f>IF(#REF!="","",#REF!)</f>
        <v>#REF!</v>
      </c>
      <c r="H113" s="180" t="e">
        <f>IF(#REF!="","",#REF!)</f>
        <v>#REF!</v>
      </c>
      <c r="I113" s="180" t="e">
        <f>IF(#REF!="","",#REF!)</f>
        <v>#REF!</v>
      </c>
      <c r="J113" s="180" t="e">
        <f>IF(#REF!="","",#REF!)</f>
        <v>#REF!</v>
      </c>
      <c r="K113" s="180" t="e">
        <f>IF(#REF!="","",#REF!)</f>
        <v>#REF!</v>
      </c>
      <c r="L113" s="180" t="e">
        <f>IF(#REF!="","",#REF!)</f>
        <v>#REF!</v>
      </c>
      <c r="M113" s="180" t="e">
        <f>IF(#REF!="","",#REF!)</f>
        <v>#REF!</v>
      </c>
      <c r="N113" t="e">
        <f>IF(#REF!="","",#REF!)</f>
        <v>#REF!</v>
      </c>
      <c r="O113" t="e">
        <f>IF(#REF!="","",#REF!)</f>
        <v>#REF!</v>
      </c>
      <c r="P113" t="e">
        <f>IF(#REF!="","",#REF!)</f>
        <v>#REF!</v>
      </c>
      <c r="Q113" t="e">
        <f>IF(#REF!="","",#REF!)</f>
        <v>#REF!</v>
      </c>
      <c r="R113" t="e">
        <f>IF(#REF!="","",#REF!)</f>
        <v>#REF!</v>
      </c>
      <c r="S113" t="e">
        <f>IF(#REF!="","",#REF!)</f>
        <v>#REF!</v>
      </c>
    </row>
    <row r="114" spans="1:19" ht="12.75" customHeight="1" x14ac:dyDescent="0.25">
      <c r="A114" s="180" t="e">
        <f>IF(#REF!="","",#REF!)</f>
        <v>#REF!</v>
      </c>
      <c r="B114" s="180" t="e">
        <f>IF(#REF!="","",#REF!)</f>
        <v>#REF!</v>
      </c>
      <c r="C114" s="180" t="e">
        <f>IF(#REF!="","",#REF!)</f>
        <v>#REF!</v>
      </c>
      <c r="D114" s="180" t="e">
        <f>IF(#REF!="","",#REF!)</f>
        <v>#REF!</v>
      </c>
      <c r="E114" s="180" t="e">
        <f>IF(#REF!="","",#REF!)</f>
        <v>#REF!</v>
      </c>
      <c r="F114" s="180" t="e">
        <f>IF(#REF!="","",#REF!)</f>
        <v>#REF!</v>
      </c>
      <c r="G114" s="180" t="e">
        <f>IF(#REF!="","",#REF!)</f>
        <v>#REF!</v>
      </c>
      <c r="H114" s="180" t="e">
        <f>IF(#REF!="","",#REF!)</f>
        <v>#REF!</v>
      </c>
      <c r="I114" s="180" t="e">
        <f>IF(#REF!="","",#REF!)</f>
        <v>#REF!</v>
      </c>
      <c r="J114" s="180" t="e">
        <f>IF(#REF!="","",#REF!)</f>
        <v>#REF!</v>
      </c>
      <c r="K114" s="180" t="e">
        <f>IF(#REF!="","",#REF!)</f>
        <v>#REF!</v>
      </c>
      <c r="L114" s="180" t="e">
        <f>IF(#REF!="","",#REF!)</f>
        <v>#REF!</v>
      </c>
      <c r="M114" s="180" t="e">
        <f>IF(#REF!="","",#REF!)</f>
        <v>#REF!</v>
      </c>
      <c r="N114" t="e">
        <f>IF(#REF!="","",#REF!)</f>
        <v>#REF!</v>
      </c>
      <c r="O114" t="e">
        <f>IF(#REF!="","",#REF!)</f>
        <v>#REF!</v>
      </c>
      <c r="P114" t="e">
        <f>IF(#REF!="","",#REF!)</f>
        <v>#REF!</v>
      </c>
      <c r="Q114" t="e">
        <f>IF(#REF!="","",#REF!)</f>
        <v>#REF!</v>
      </c>
      <c r="R114" t="e">
        <f>IF(#REF!="","",#REF!)</f>
        <v>#REF!</v>
      </c>
      <c r="S114" t="e">
        <f>IF(#REF!="","",#REF!)</f>
        <v>#REF!</v>
      </c>
    </row>
    <row r="115" spans="1:19" ht="12.75" customHeight="1" x14ac:dyDescent="0.25">
      <c r="A115" s="180" t="e">
        <f>IF(#REF!="","",#REF!)</f>
        <v>#REF!</v>
      </c>
      <c r="B115" s="180" t="e">
        <f>IF(#REF!="","",#REF!)</f>
        <v>#REF!</v>
      </c>
      <c r="C115" s="180" t="e">
        <f>IF(#REF!="","",#REF!)</f>
        <v>#REF!</v>
      </c>
      <c r="D115" s="180" t="e">
        <f>IF(#REF!="","",#REF!)</f>
        <v>#REF!</v>
      </c>
      <c r="E115" s="180" t="e">
        <f>IF(#REF!="","",#REF!)</f>
        <v>#REF!</v>
      </c>
      <c r="F115" s="180" t="e">
        <f>IF(#REF!="","",#REF!)</f>
        <v>#REF!</v>
      </c>
      <c r="G115" s="180" t="e">
        <f>IF(#REF!="","",#REF!)</f>
        <v>#REF!</v>
      </c>
      <c r="H115" s="180" t="e">
        <f>IF(#REF!="","",#REF!)</f>
        <v>#REF!</v>
      </c>
      <c r="I115" s="180" t="e">
        <f>IF(#REF!="","",#REF!)</f>
        <v>#REF!</v>
      </c>
      <c r="J115" s="180" t="e">
        <f>IF(#REF!="","",#REF!)</f>
        <v>#REF!</v>
      </c>
      <c r="K115" s="180" t="e">
        <f>IF(#REF!="","",#REF!)</f>
        <v>#REF!</v>
      </c>
      <c r="L115" s="180" t="e">
        <f>IF(#REF!="","",#REF!)</f>
        <v>#REF!</v>
      </c>
      <c r="M115" s="180" t="e">
        <f>IF(#REF!="","",#REF!)</f>
        <v>#REF!</v>
      </c>
      <c r="N115" t="e">
        <f>IF(#REF!="","",#REF!)</f>
        <v>#REF!</v>
      </c>
      <c r="O115" t="e">
        <f>IF(#REF!="","",#REF!)</f>
        <v>#REF!</v>
      </c>
      <c r="P115" t="e">
        <f>IF(#REF!="","",#REF!)</f>
        <v>#REF!</v>
      </c>
      <c r="Q115" t="e">
        <f>IF(#REF!="","",#REF!)</f>
        <v>#REF!</v>
      </c>
      <c r="R115" t="e">
        <f>IF(#REF!="","",#REF!)</f>
        <v>#REF!</v>
      </c>
      <c r="S115" t="e">
        <f>IF(#REF!="","",#REF!)</f>
        <v>#REF!</v>
      </c>
    </row>
    <row r="116" spans="1:19" ht="12.75" customHeight="1" x14ac:dyDescent="0.25">
      <c r="A116" s="180" t="e">
        <f>IF(#REF!="","",#REF!)</f>
        <v>#REF!</v>
      </c>
      <c r="B116" s="180" t="e">
        <f>IF(#REF!="","",#REF!)</f>
        <v>#REF!</v>
      </c>
      <c r="C116" s="180" t="e">
        <f>IF(#REF!="","",#REF!)</f>
        <v>#REF!</v>
      </c>
      <c r="D116" s="180" t="e">
        <f>IF(#REF!="","",#REF!)</f>
        <v>#REF!</v>
      </c>
      <c r="E116" s="180" t="e">
        <f>IF(#REF!="","",#REF!)</f>
        <v>#REF!</v>
      </c>
      <c r="F116" s="180" t="e">
        <f>IF(#REF!="","",#REF!)</f>
        <v>#REF!</v>
      </c>
      <c r="G116" s="180" t="e">
        <f>IF(#REF!="","",#REF!)</f>
        <v>#REF!</v>
      </c>
      <c r="H116" s="180" t="e">
        <f>IF(#REF!="","",#REF!)</f>
        <v>#REF!</v>
      </c>
      <c r="I116" s="180" t="e">
        <f>IF(#REF!="","",#REF!)</f>
        <v>#REF!</v>
      </c>
      <c r="J116" s="180" t="e">
        <f>IF(#REF!="","",#REF!)</f>
        <v>#REF!</v>
      </c>
      <c r="K116" s="180" t="e">
        <f>IF(#REF!="","",#REF!)</f>
        <v>#REF!</v>
      </c>
      <c r="L116" s="180" t="e">
        <f>IF(#REF!="","",#REF!)</f>
        <v>#REF!</v>
      </c>
      <c r="M116" s="180" t="e">
        <f>IF(#REF!="","",#REF!)</f>
        <v>#REF!</v>
      </c>
      <c r="N116" t="e">
        <f>IF(#REF!="","",#REF!)</f>
        <v>#REF!</v>
      </c>
      <c r="O116" t="e">
        <f>IF(#REF!="","",#REF!)</f>
        <v>#REF!</v>
      </c>
      <c r="P116" t="e">
        <f>IF(#REF!="","",#REF!)</f>
        <v>#REF!</v>
      </c>
      <c r="Q116" t="e">
        <f>IF(#REF!="","",#REF!)</f>
        <v>#REF!</v>
      </c>
      <c r="R116" t="e">
        <f>IF(#REF!="","",#REF!)</f>
        <v>#REF!</v>
      </c>
      <c r="S116" t="e">
        <f>IF(#REF!="","",#REF!)</f>
        <v>#REF!</v>
      </c>
    </row>
    <row r="117" spans="1:19" ht="12.75" customHeight="1" x14ac:dyDescent="0.25">
      <c r="A117" s="180" t="e">
        <f>IF(#REF!="","",#REF!)</f>
        <v>#REF!</v>
      </c>
      <c r="B117" s="180" t="e">
        <f>IF(#REF!="","",#REF!)</f>
        <v>#REF!</v>
      </c>
      <c r="C117" s="180" t="e">
        <f>IF(#REF!="","",#REF!)</f>
        <v>#REF!</v>
      </c>
      <c r="D117" s="180" t="e">
        <f>IF(#REF!="","",#REF!)</f>
        <v>#REF!</v>
      </c>
      <c r="E117" s="180" t="e">
        <f>IF(#REF!="","",#REF!)</f>
        <v>#REF!</v>
      </c>
      <c r="F117" s="180" t="e">
        <f>IF(#REF!="","",#REF!)</f>
        <v>#REF!</v>
      </c>
      <c r="G117" s="180" t="e">
        <f>IF(#REF!="","",#REF!)</f>
        <v>#REF!</v>
      </c>
      <c r="H117" s="180" t="e">
        <f>IF(#REF!="","",#REF!)</f>
        <v>#REF!</v>
      </c>
      <c r="I117" s="180" t="e">
        <f>IF(#REF!="","",#REF!)</f>
        <v>#REF!</v>
      </c>
      <c r="J117" s="180" t="e">
        <f>IF(#REF!="","",#REF!)</f>
        <v>#REF!</v>
      </c>
      <c r="K117" s="180" t="e">
        <f>IF(#REF!="","",#REF!)</f>
        <v>#REF!</v>
      </c>
      <c r="L117" s="180" t="e">
        <f>IF(#REF!="","",#REF!)</f>
        <v>#REF!</v>
      </c>
      <c r="M117" s="180" t="e">
        <f>IF(#REF!="","",#REF!)</f>
        <v>#REF!</v>
      </c>
      <c r="N117" t="e">
        <f>IF(#REF!="","",#REF!)</f>
        <v>#REF!</v>
      </c>
      <c r="O117" t="e">
        <f>IF(#REF!="","",#REF!)</f>
        <v>#REF!</v>
      </c>
      <c r="P117" t="e">
        <f>IF(#REF!="","",#REF!)</f>
        <v>#REF!</v>
      </c>
      <c r="Q117" t="e">
        <f>IF(#REF!="","",#REF!)</f>
        <v>#REF!</v>
      </c>
      <c r="R117" t="e">
        <f>IF(#REF!="","",#REF!)</f>
        <v>#REF!</v>
      </c>
      <c r="S117" t="e">
        <f>IF(#REF!="","",#REF!)</f>
        <v>#REF!</v>
      </c>
    </row>
    <row r="118" spans="1:19" ht="12.75" customHeight="1" x14ac:dyDescent="0.25">
      <c r="A118" s="180" t="e">
        <f>IF(#REF!="","",#REF!)</f>
        <v>#REF!</v>
      </c>
      <c r="B118" s="180" t="e">
        <f>IF(#REF!="","",#REF!)</f>
        <v>#REF!</v>
      </c>
      <c r="C118" s="180" t="e">
        <f>IF(#REF!="","",#REF!)</f>
        <v>#REF!</v>
      </c>
      <c r="D118" s="180" t="e">
        <f>IF(#REF!="","",#REF!)</f>
        <v>#REF!</v>
      </c>
      <c r="E118" s="180" t="e">
        <f>IF(#REF!="","",#REF!)</f>
        <v>#REF!</v>
      </c>
      <c r="F118" s="180" t="e">
        <f>IF(#REF!="","",#REF!)</f>
        <v>#REF!</v>
      </c>
      <c r="G118" s="180" t="e">
        <f>IF(#REF!="","",#REF!)</f>
        <v>#REF!</v>
      </c>
      <c r="H118" s="180" t="e">
        <f>IF(#REF!="","",#REF!)</f>
        <v>#REF!</v>
      </c>
      <c r="I118" s="180" t="e">
        <f>IF(#REF!="","",#REF!)</f>
        <v>#REF!</v>
      </c>
      <c r="J118" s="180" t="e">
        <f>IF(#REF!="","",#REF!)</f>
        <v>#REF!</v>
      </c>
      <c r="K118" s="180" t="e">
        <f>IF(#REF!="","",#REF!)</f>
        <v>#REF!</v>
      </c>
      <c r="L118" s="180" t="e">
        <f>IF(#REF!="","",#REF!)</f>
        <v>#REF!</v>
      </c>
      <c r="M118" s="180" t="e">
        <f>IF(#REF!="","",#REF!)</f>
        <v>#REF!</v>
      </c>
      <c r="N118" t="e">
        <f>IF(#REF!="","",#REF!)</f>
        <v>#REF!</v>
      </c>
      <c r="O118" t="e">
        <f>IF(#REF!="","",#REF!)</f>
        <v>#REF!</v>
      </c>
      <c r="P118" t="e">
        <f>IF(#REF!="","",#REF!)</f>
        <v>#REF!</v>
      </c>
      <c r="Q118" t="e">
        <f>IF(#REF!="","",#REF!)</f>
        <v>#REF!</v>
      </c>
      <c r="R118" t="e">
        <f>IF(#REF!="","",#REF!)</f>
        <v>#REF!</v>
      </c>
      <c r="S118" t="e">
        <f>IF(#REF!="","",#REF!)</f>
        <v>#REF!</v>
      </c>
    </row>
    <row r="119" spans="1:19" ht="12.75" customHeight="1" x14ac:dyDescent="0.25">
      <c r="A119" s="180" t="e">
        <f>IF(#REF!="","",#REF!)</f>
        <v>#REF!</v>
      </c>
      <c r="B119" s="180" t="e">
        <f>IF(#REF!="","",#REF!)</f>
        <v>#REF!</v>
      </c>
      <c r="C119" s="180" t="e">
        <f>IF(#REF!="","",#REF!)</f>
        <v>#REF!</v>
      </c>
      <c r="D119" s="180" t="e">
        <f>IF(#REF!="","",#REF!)</f>
        <v>#REF!</v>
      </c>
      <c r="E119" s="180" t="e">
        <f>IF(#REF!="","",#REF!)</f>
        <v>#REF!</v>
      </c>
      <c r="F119" s="180" t="e">
        <f>IF(#REF!="","",#REF!)</f>
        <v>#REF!</v>
      </c>
      <c r="G119" s="180" t="e">
        <f>IF(#REF!="","",#REF!)</f>
        <v>#REF!</v>
      </c>
      <c r="H119" s="180" t="e">
        <f>IF(#REF!="","",#REF!)</f>
        <v>#REF!</v>
      </c>
      <c r="I119" s="180" t="e">
        <f>IF(#REF!="","",#REF!)</f>
        <v>#REF!</v>
      </c>
      <c r="J119" s="180" t="e">
        <f>IF(#REF!="","",#REF!)</f>
        <v>#REF!</v>
      </c>
      <c r="K119" s="180" t="e">
        <f>IF(#REF!="","",#REF!)</f>
        <v>#REF!</v>
      </c>
      <c r="L119" s="180" t="e">
        <f>IF(#REF!="","",#REF!)</f>
        <v>#REF!</v>
      </c>
      <c r="M119" s="180" t="e">
        <f>IF(#REF!="","",#REF!)</f>
        <v>#REF!</v>
      </c>
      <c r="N119" t="e">
        <f>IF(#REF!="","",#REF!)</f>
        <v>#REF!</v>
      </c>
      <c r="O119" t="e">
        <f>IF(#REF!="","",#REF!)</f>
        <v>#REF!</v>
      </c>
      <c r="P119" t="e">
        <f>IF(#REF!="","",#REF!)</f>
        <v>#REF!</v>
      </c>
      <c r="Q119" t="e">
        <f>IF(#REF!="","",#REF!)</f>
        <v>#REF!</v>
      </c>
      <c r="R119" t="e">
        <f>IF(#REF!="","",#REF!)</f>
        <v>#REF!</v>
      </c>
      <c r="S119" t="e">
        <f>IF(#REF!="","",#REF!)</f>
        <v>#REF!</v>
      </c>
    </row>
    <row r="120" spans="1:19" ht="12.75" customHeight="1" x14ac:dyDescent="0.25">
      <c r="A120" s="180" t="e">
        <f>IF(#REF!="","",#REF!)</f>
        <v>#REF!</v>
      </c>
      <c r="B120" s="180" t="e">
        <f>IF(#REF!="","",#REF!)</f>
        <v>#REF!</v>
      </c>
      <c r="C120" s="180" t="e">
        <f>IF(#REF!="","",#REF!)</f>
        <v>#REF!</v>
      </c>
      <c r="D120" s="180" t="e">
        <f>IF(#REF!="","",#REF!)</f>
        <v>#REF!</v>
      </c>
      <c r="E120" s="180" t="e">
        <f>IF(#REF!="","",#REF!)</f>
        <v>#REF!</v>
      </c>
      <c r="F120" s="180" t="e">
        <f>IF(#REF!="","",#REF!)</f>
        <v>#REF!</v>
      </c>
      <c r="G120" s="180" t="e">
        <f>IF(#REF!="","",#REF!)</f>
        <v>#REF!</v>
      </c>
      <c r="H120" s="180" t="e">
        <f>IF(#REF!="","",#REF!)</f>
        <v>#REF!</v>
      </c>
      <c r="I120" s="180" t="e">
        <f>IF(#REF!="","",#REF!)</f>
        <v>#REF!</v>
      </c>
      <c r="J120" s="180" t="e">
        <f>IF(#REF!="","",#REF!)</f>
        <v>#REF!</v>
      </c>
      <c r="K120" s="180" t="e">
        <f>IF(#REF!="","",#REF!)</f>
        <v>#REF!</v>
      </c>
      <c r="L120" s="180" t="e">
        <f>IF(#REF!="","",#REF!)</f>
        <v>#REF!</v>
      </c>
      <c r="M120" s="180" t="e">
        <f>IF(#REF!="","",#REF!)</f>
        <v>#REF!</v>
      </c>
      <c r="N120" t="e">
        <f>IF(#REF!="","",#REF!)</f>
        <v>#REF!</v>
      </c>
      <c r="O120" t="e">
        <f>IF(#REF!="","",#REF!)</f>
        <v>#REF!</v>
      </c>
      <c r="P120" t="e">
        <f>IF(#REF!="","",#REF!)</f>
        <v>#REF!</v>
      </c>
      <c r="Q120" t="e">
        <f>IF(#REF!="","",#REF!)</f>
        <v>#REF!</v>
      </c>
      <c r="R120" t="e">
        <f>IF(#REF!="","",#REF!)</f>
        <v>#REF!</v>
      </c>
      <c r="S120" t="e">
        <f>IF(#REF!="","",#REF!)</f>
        <v>#REF!</v>
      </c>
    </row>
    <row r="121" spans="1:19" ht="12.75" customHeight="1" x14ac:dyDescent="0.25">
      <c r="A121" s="180" t="e">
        <f>IF(#REF!="","",#REF!)</f>
        <v>#REF!</v>
      </c>
      <c r="B121" s="180" t="e">
        <f>IF(#REF!="","",#REF!)</f>
        <v>#REF!</v>
      </c>
      <c r="C121" s="180" t="e">
        <f>IF(#REF!="","",#REF!)</f>
        <v>#REF!</v>
      </c>
      <c r="D121" s="180" t="e">
        <f>IF(#REF!="","",#REF!)</f>
        <v>#REF!</v>
      </c>
      <c r="E121" s="180" t="e">
        <f>IF(#REF!="","",#REF!)</f>
        <v>#REF!</v>
      </c>
      <c r="F121" s="180" t="e">
        <f>IF(#REF!="","",#REF!)</f>
        <v>#REF!</v>
      </c>
      <c r="G121" s="180" t="e">
        <f>IF(#REF!="","",#REF!)</f>
        <v>#REF!</v>
      </c>
      <c r="H121" s="180" t="e">
        <f>IF(#REF!="","",#REF!)</f>
        <v>#REF!</v>
      </c>
      <c r="I121" s="180" t="e">
        <f>IF(#REF!="","",#REF!)</f>
        <v>#REF!</v>
      </c>
      <c r="J121" s="180" t="e">
        <f>IF(#REF!="","",#REF!)</f>
        <v>#REF!</v>
      </c>
      <c r="K121" s="180" t="e">
        <f>IF(#REF!="","",#REF!)</f>
        <v>#REF!</v>
      </c>
      <c r="L121" s="180" t="e">
        <f>IF(#REF!="","",#REF!)</f>
        <v>#REF!</v>
      </c>
      <c r="M121" s="180" t="e">
        <f>IF(#REF!="","",#REF!)</f>
        <v>#REF!</v>
      </c>
      <c r="N121" t="e">
        <f>IF(#REF!="","",#REF!)</f>
        <v>#REF!</v>
      </c>
      <c r="O121" t="e">
        <f>IF(#REF!="","",#REF!)</f>
        <v>#REF!</v>
      </c>
      <c r="P121" t="e">
        <f>IF(#REF!="","",#REF!)</f>
        <v>#REF!</v>
      </c>
      <c r="Q121" t="e">
        <f>IF(#REF!="","",#REF!)</f>
        <v>#REF!</v>
      </c>
      <c r="R121" t="e">
        <f>IF(#REF!="","",#REF!)</f>
        <v>#REF!</v>
      </c>
      <c r="S121" t="e">
        <f>IF(#REF!="","",#REF!)</f>
        <v>#REF!</v>
      </c>
    </row>
    <row r="122" spans="1:19" ht="12.75" customHeight="1" x14ac:dyDescent="0.25">
      <c r="A122" s="180" t="e">
        <f>IF(#REF!="","",#REF!)</f>
        <v>#REF!</v>
      </c>
      <c r="B122" s="180" t="e">
        <f>IF(#REF!="","",#REF!)</f>
        <v>#REF!</v>
      </c>
      <c r="C122" s="180" t="e">
        <f>IF(#REF!="","",#REF!)</f>
        <v>#REF!</v>
      </c>
      <c r="D122" s="180" t="e">
        <f>IF(#REF!="","",#REF!)</f>
        <v>#REF!</v>
      </c>
      <c r="E122" s="180" t="e">
        <f>IF(#REF!="","",#REF!)</f>
        <v>#REF!</v>
      </c>
      <c r="F122" s="180" t="e">
        <f>IF(#REF!="","",#REF!)</f>
        <v>#REF!</v>
      </c>
      <c r="G122" s="180" t="e">
        <f>IF(#REF!="","",#REF!)</f>
        <v>#REF!</v>
      </c>
      <c r="H122" s="180" t="e">
        <f>IF(#REF!="","",#REF!)</f>
        <v>#REF!</v>
      </c>
      <c r="I122" s="180" t="e">
        <f>IF(#REF!="","",#REF!)</f>
        <v>#REF!</v>
      </c>
      <c r="J122" s="180" t="e">
        <f>IF(#REF!="","",#REF!)</f>
        <v>#REF!</v>
      </c>
      <c r="K122" s="180" t="e">
        <f>IF(#REF!="","",#REF!)</f>
        <v>#REF!</v>
      </c>
      <c r="L122" s="180" t="e">
        <f>IF(#REF!="","",#REF!)</f>
        <v>#REF!</v>
      </c>
      <c r="M122" s="180" t="e">
        <f>IF(#REF!="","",#REF!)</f>
        <v>#REF!</v>
      </c>
      <c r="N122" t="e">
        <f>IF(#REF!="","",#REF!)</f>
        <v>#REF!</v>
      </c>
      <c r="O122" t="e">
        <f>IF(#REF!="","",#REF!)</f>
        <v>#REF!</v>
      </c>
      <c r="P122" t="e">
        <f>IF(#REF!="","",#REF!)</f>
        <v>#REF!</v>
      </c>
      <c r="Q122" t="e">
        <f>IF(#REF!="","",#REF!)</f>
        <v>#REF!</v>
      </c>
      <c r="R122" t="e">
        <f>IF(#REF!="","",#REF!)</f>
        <v>#REF!</v>
      </c>
      <c r="S122" t="e">
        <f>IF(#REF!="","",#REF!)</f>
        <v>#REF!</v>
      </c>
    </row>
    <row r="123" spans="1:19" ht="12.75" customHeight="1" x14ac:dyDescent="0.25">
      <c r="A123" s="180" t="e">
        <f>IF(#REF!="","",#REF!)</f>
        <v>#REF!</v>
      </c>
      <c r="B123" s="180" t="e">
        <f>IF(#REF!="","",#REF!)</f>
        <v>#REF!</v>
      </c>
      <c r="C123" s="180" t="e">
        <f>IF(#REF!="","",#REF!)</f>
        <v>#REF!</v>
      </c>
      <c r="D123" s="180" t="e">
        <f>IF(#REF!="","",#REF!)</f>
        <v>#REF!</v>
      </c>
      <c r="E123" s="180" t="e">
        <f>IF(#REF!="","",#REF!)</f>
        <v>#REF!</v>
      </c>
      <c r="F123" s="180" t="e">
        <f>IF(#REF!="","",#REF!)</f>
        <v>#REF!</v>
      </c>
      <c r="G123" s="180" t="e">
        <f>IF(#REF!="","",#REF!)</f>
        <v>#REF!</v>
      </c>
      <c r="H123" s="180" t="e">
        <f>IF(#REF!="","",#REF!)</f>
        <v>#REF!</v>
      </c>
      <c r="I123" s="180" t="e">
        <f>IF(#REF!="","",#REF!)</f>
        <v>#REF!</v>
      </c>
      <c r="J123" s="180" t="e">
        <f>IF(#REF!="","",#REF!)</f>
        <v>#REF!</v>
      </c>
      <c r="K123" s="180" t="e">
        <f>IF(#REF!="","",#REF!)</f>
        <v>#REF!</v>
      </c>
      <c r="L123" s="180" t="e">
        <f>IF(#REF!="","",#REF!)</f>
        <v>#REF!</v>
      </c>
      <c r="M123" s="180" t="e">
        <f>IF(#REF!="","",#REF!)</f>
        <v>#REF!</v>
      </c>
      <c r="N123" t="e">
        <f>IF(#REF!="","",#REF!)</f>
        <v>#REF!</v>
      </c>
      <c r="O123" t="e">
        <f>IF(#REF!="","",#REF!)</f>
        <v>#REF!</v>
      </c>
      <c r="P123" t="e">
        <f>IF(#REF!="","",#REF!)</f>
        <v>#REF!</v>
      </c>
      <c r="Q123" t="e">
        <f>IF(#REF!="","",#REF!)</f>
        <v>#REF!</v>
      </c>
      <c r="R123" t="e">
        <f>IF(#REF!="","",#REF!)</f>
        <v>#REF!</v>
      </c>
      <c r="S123" t="e">
        <f>IF(#REF!="","",#REF!)</f>
        <v>#REF!</v>
      </c>
    </row>
    <row r="124" spans="1:19" ht="12.75" customHeight="1" x14ac:dyDescent="0.25">
      <c r="A124" s="180" t="e">
        <f>IF(#REF!="","",#REF!)</f>
        <v>#REF!</v>
      </c>
      <c r="B124" s="180" t="e">
        <f>IF(#REF!="","",#REF!)</f>
        <v>#REF!</v>
      </c>
      <c r="C124" s="180" t="e">
        <f>IF(#REF!="","",#REF!)</f>
        <v>#REF!</v>
      </c>
      <c r="D124" s="180" t="e">
        <f>IF(#REF!="","",#REF!)</f>
        <v>#REF!</v>
      </c>
      <c r="E124" s="180" t="e">
        <f>IF(#REF!="","",#REF!)</f>
        <v>#REF!</v>
      </c>
      <c r="F124" s="180" t="e">
        <f>IF(#REF!="","",#REF!)</f>
        <v>#REF!</v>
      </c>
      <c r="G124" s="180" t="e">
        <f>IF(#REF!="","",#REF!)</f>
        <v>#REF!</v>
      </c>
      <c r="H124" s="180" t="e">
        <f>IF(#REF!="","",#REF!)</f>
        <v>#REF!</v>
      </c>
      <c r="I124" s="180" t="e">
        <f>IF(#REF!="","",#REF!)</f>
        <v>#REF!</v>
      </c>
      <c r="J124" s="180" t="e">
        <f>IF(#REF!="","",#REF!)</f>
        <v>#REF!</v>
      </c>
      <c r="K124" s="180" t="e">
        <f>IF(#REF!="","",#REF!)</f>
        <v>#REF!</v>
      </c>
      <c r="L124" s="180" t="e">
        <f>IF(#REF!="","",#REF!)</f>
        <v>#REF!</v>
      </c>
      <c r="M124" s="180" t="e">
        <f>IF(#REF!="","",#REF!)</f>
        <v>#REF!</v>
      </c>
      <c r="N124" t="e">
        <f>IF(#REF!="","",#REF!)</f>
        <v>#REF!</v>
      </c>
      <c r="O124" t="e">
        <f>IF(#REF!="","",#REF!)</f>
        <v>#REF!</v>
      </c>
      <c r="P124" t="e">
        <f>IF(#REF!="","",#REF!)</f>
        <v>#REF!</v>
      </c>
      <c r="Q124" t="e">
        <f>IF(#REF!="","",#REF!)</f>
        <v>#REF!</v>
      </c>
      <c r="R124" t="e">
        <f>IF(#REF!="","",#REF!)</f>
        <v>#REF!</v>
      </c>
      <c r="S124" t="e">
        <f>IF(#REF!="","",#REF!)</f>
        <v>#REF!</v>
      </c>
    </row>
    <row r="125" spans="1:19" ht="12.75" customHeight="1" x14ac:dyDescent="0.25">
      <c r="A125" s="180" t="e">
        <f>IF(#REF!="","",#REF!)</f>
        <v>#REF!</v>
      </c>
      <c r="B125" s="180" t="e">
        <f>IF(#REF!="","",#REF!)</f>
        <v>#REF!</v>
      </c>
      <c r="C125" s="180" t="e">
        <f>IF(#REF!="","",#REF!)</f>
        <v>#REF!</v>
      </c>
      <c r="D125" s="179" t="e">
        <f>IF(#REF!="","",#REF!)</f>
        <v>#REF!</v>
      </c>
      <c r="E125" s="180" t="e">
        <f>IF(#REF!="","",#REF!)</f>
        <v>#REF!</v>
      </c>
      <c r="F125" s="180" t="e">
        <f>IF(#REF!="","",#REF!)</f>
        <v>#REF!</v>
      </c>
      <c r="G125" s="180" t="e">
        <f>IF(#REF!="","",#REF!)</f>
        <v>#REF!</v>
      </c>
      <c r="H125" s="180" t="e">
        <f>IF(#REF!="","",#REF!)</f>
        <v>#REF!</v>
      </c>
      <c r="I125" s="180" t="e">
        <f>IF(#REF!="","",#REF!)</f>
        <v>#REF!</v>
      </c>
      <c r="J125" s="180" t="e">
        <f>IF(#REF!="","",#REF!)</f>
        <v>#REF!</v>
      </c>
      <c r="K125" s="180" t="e">
        <f>IF(#REF!="","",#REF!)</f>
        <v>#REF!</v>
      </c>
      <c r="L125" s="180" t="e">
        <f>IF(#REF!="","",#REF!)</f>
        <v>#REF!</v>
      </c>
      <c r="M125" s="180" t="e">
        <f>IF(#REF!="","",#REF!)</f>
        <v>#REF!</v>
      </c>
      <c r="N125" t="e">
        <f>IF(#REF!="","",#REF!)</f>
        <v>#REF!</v>
      </c>
      <c r="O125" t="e">
        <f>IF(#REF!="","",#REF!)</f>
        <v>#REF!</v>
      </c>
      <c r="P125" t="e">
        <f>IF(#REF!="","",#REF!)</f>
        <v>#REF!</v>
      </c>
      <c r="Q125" t="e">
        <f>IF(#REF!="","",#REF!)</f>
        <v>#REF!</v>
      </c>
      <c r="R125" t="e">
        <f>IF(#REF!="","",#REF!)</f>
        <v>#REF!</v>
      </c>
      <c r="S125" t="e">
        <f>IF(#REF!="","",#REF!)</f>
        <v>#REF!</v>
      </c>
    </row>
    <row r="126" spans="1:19" ht="12.75" customHeight="1" x14ac:dyDescent="0.25">
      <c r="A126" s="180" t="e">
        <f>IF(#REF!="","",#REF!)</f>
        <v>#REF!</v>
      </c>
      <c r="B126" s="180" t="e">
        <f>IF(#REF!="","",#REF!)</f>
        <v>#REF!</v>
      </c>
      <c r="C126" s="180" t="e">
        <f>IF(#REF!="","",#REF!)</f>
        <v>#REF!</v>
      </c>
      <c r="D126" s="180" t="e">
        <f>IF(#REF!="","",#REF!)</f>
        <v>#REF!</v>
      </c>
      <c r="E126" s="180" t="e">
        <f>IF(#REF!="","",#REF!)</f>
        <v>#REF!</v>
      </c>
      <c r="F126" s="180" t="e">
        <f>IF(#REF!="","",#REF!)</f>
        <v>#REF!</v>
      </c>
      <c r="G126" s="180" t="e">
        <f>IF(#REF!="","",#REF!)</f>
        <v>#REF!</v>
      </c>
      <c r="H126" s="180" t="e">
        <f>IF(#REF!="","",#REF!)</f>
        <v>#REF!</v>
      </c>
      <c r="I126" s="180" t="e">
        <f>IF(#REF!="","",#REF!)</f>
        <v>#REF!</v>
      </c>
      <c r="J126" s="180" t="e">
        <f>IF(#REF!="","",#REF!)</f>
        <v>#REF!</v>
      </c>
      <c r="K126" s="180" t="e">
        <f>IF(#REF!="","",#REF!)</f>
        <v>#REF!</v>
      </c>
      <c r="L126" s="180" t="e">
        <f>IF(#REF!="","",#REF!)</f>
        <v>#REF!</v>
      </c>
      <c r="M126" s="180" t="e">
        <f>IF(#REF!="","",#REF!)</f>
        <v>#REF!</v>
      </c>
      <c r="N126" t="e">
        <f>IF(#REF!="","",#REF!)</f>
        <v>#REF!</v>
      </c>
      <c r="O126" t="e">
        <f>IF(#REF!="","",#REF!)</f>
        <v>#REF!</v>
      </c>
      <c r="P126" t="e">
        <f>IF(#REF!="","",#REF!)</f>
        <v>#REF!</v>
      </c>
      <c r="Q126" t="e">
        <f>IF(#REF!="","",#REF!)</f>
        <v>#REF!</v>
      </c>
      <c r="R126" t="e">
        <f>IF(#REF!="","",#REF!)</f>
        <v>#REF!</v>
      </c>
      <c r="S126" t="e">
        <f>IF(#REF!="","",#REF!)</f>
        <v>#REF!</v>
      </c>
    </row>
    <row r="127" spans="1:19" ht="12.75" customHeight="1" x14ac:dyDescent="0.25">
      <c r="A127" s="180" t="e">
        <f>IF(#REF!="","",#REF!)</f>
        <v>#REF!</v>
      </c>
      <c r="B127" s="180" t="e">
        <f>IF(#REF!="","",#REF!)</f>
        <v>#REF!</v>
      </c>
      <c r="C127" s="180" t="e">
        <f>IF(#REF!="","",#REF!)</f>
        <v>#REF!</v>
      </c>
      <c r="D127" s="180" t="e">
        <f>IF(#REF!="","",#REF!)</f>
        <v>#REF!</v>
      </c>
      <c r="E127" s="180" t="e">
        <f>IF(#REF!="","",#REF!)</f>
        <v>#REF!</v>
      </c>
      <c r="F127" s="180" t="e">
        <f>IF(#REF!="","",#REF!)</f>
        <v>#REF!</v>
      </c>
      <c r="G127" s="180" t="e">
        <f>IF(#REF!="","",#REF!)</f>
        <v>#REF!</v>
      </c>
      <c r="H127" s="180" t="e">
        <f>IF(#REF!="","",#REF!)</f>
        <v>#REF!</v>
      </c>
      <c r="I127" s="180" t="e">
        <f>IF(#REF!="","",#REF!)</f>
        <v>#REF!</v>
      </c>
      <c r="J127" s="180" t="e">
        <f>IF(#REF!="","",#REF!)</f>
        <v>#REF!</v>
      </c>
      <c r="K127" s="180" t="e">
        <f>IF(#REF!="","",#REF!)</f>
        <v>#REF!</v>
      </c>
      <c r="L127" s="180" t="e">
        <f>IF(#REF!="","",#REF!)</f>
        <v>#REF!</v>
      </c>
      <c r="M127" s="180" t="e">
        <f>IF(#REF!="","",#REF!)</f>
        <v>#REF!</v>
      </c>
      <c r="N127" t="e">
        <f>IF(#REF!="","",#REF!)</f>
        <v>#REF!</v>
      </c>
      <c r="O127" t="e">
        <f>IF(#REF!="","",#REF!)</f>
        <v>#REF!</v>
      </c>
      <c r="P127" t="e">
        <f>IF(#REF!="","",#REF!)</f>
        <v>#REF!</v>
      </c>
      <c r="Q127" t="e">
        <f>IF(#REF!="","",#REF!)</f>
        <v>#REF!</v>
      </c>
      <c r="R127" t="e">
        <f>IF(#REF!="","",#REF!)</f>
        <v>#REF!</v>
      </c>
      <c r="S127" t="e">
        <f>IF(#REF!="","",#REF!)</f>
        <v>#REF!</v>
      </c>
    </row>
    <row r="128" spans="1:19" ht="12.75" customHeight="1" x14ac:dyDescent="0.25">
      <c r="A128" t="e">
        <f>IF(#REF!="","",#REF!)</f>
        <v>#REF!</v>
      </c>
      <c r="B128" t="e">
        <f>IF(#REF!="","",#REF!)</f>
        <v>#REF!</v>
      </c>
      <c r="C128" t="e">
        <f>IF(#REF!="","",#REF!)</f>
        <v>#REF!</v>
      </c>
      <c r="D128" t="e">
        <f>IF(#REF!="","",#REF!)</f>
        <v>#REF!</v>
      </c>
      <c r="E128" t="e">
        <f>IF(#REF!="","",#REF!)</f>
        <v>#REF!</v>
      </c>
      <c r="F128" t="e">
        <f>IF(#REF!="","",#REF!)</f>
        <v>#REF!</v>
      </c>
      <c r="G128" t="e">
        <f>IF(#REF!="","",#REF!)</f>
        <v>#REF!</v>
      </c>
      <c r="H128" t="e">
        <f>IF(#REF!="","",#REF!)</f>
        <v>#REF!</v>
      </c>
      <c r="I128" t="e">
        <f>IF(#REF!="","",#REF!)</f>
        <v>#REF!</v>
      </c>
      <c r="J128" t="e">
        <f>IF(#REF!="","",#REF!)</f>
        <v>#REF!</v>
      </c>
      <c r="K128" t="e">
        <f>IF(#REF!="","",#REF!)</f>
        <v>#REF!</v>
      </c>
      <c r="L128" t="e">
        <f>IF(#REF!="","",#REF!)</f>
        <v>#REF!</v>
      </c>
      <c r="M128" t="e">
        <f>IF(#REF!="","",#REF!)</f>
        <v>#REF!</v>
      </c>
      <c r="N128" t="e">
        <f>IF(#REF!="","",#REF!)</f>
        <v>#REF!</v>
      </c>
      <c r="O128" t="e">
        <f>IF(#REF!="","",#REF!)</f>
        <v>#REF!</v>
      </c>
      <c r="P128" t="e">
        <f>IF(#REF!="","",#REF!)</f>
        <v>#REF!</v>
      </c>
      <c r="Q128" t="e">
        <f>IF(#REF!="","",#REF!)</f>
        <v>#REF!</v>
      </c>
      <c r="R128" t="e">
        <f>IF(#REF!="","",#REF!)</f>
        <v>#REF!</v>
      </c>
      <c r="S128" t="e">
        <f>IF(#REF!="","",#REF!)</f>
        <v>#REF!</v>
      </c>
    </row>
    <row r="129" spans="1:19" ht="12.75" customHeight="1" x14ac:dyDescent="0.25">
      <c r="A129" t="e">
        <f>IF(#REF!="","",#REF!)</f>
        <v>#REF!</v>
      </c>
      <c r="B129" t="e">
        <f>IF(#REF!="","",#REF!)</f>
        <v>#REF!</v>
      </c>
      <c r="C129" t="e">
        <f>IF(#REF!="","",#REF!)</f>
        <v>#REF!</v>
      </c>
      <c r="D129" t="e">
        <f>IF(#REF!="","",#REF!)</f>
        <v>#REF!</v>
      </c>
      <c r="E129" t="e">
        <f>IF(#REF!="","",#REF!)</f>
        <v>#REF!</v>
      </c>
      <c r="F129" t="e">
        <f>IF(#REF!="","",#REF!)</f>
        <v>#REF!</v>
      </c>
      <c r="G129" t="e">
        <f>IF(#REF!="","",#REF!)</f>
        <v>#REF!</v>
      </c>
      <c r="H129" t="e">
        <f>IF(#REF!="","",#REF!)</f>
        <v>#REF!</v>
      </c>
      <c r="I129" t="e">
        <f>IF(#REF!="","",#REF!)</f>
        <v>#REF!</v>
      </c>
      <c r="J129" t="e">
        <f>IF(#REF!="","",#REF!)</f>
        <v>#REF!</v>
      </c>
      <c r="K129" t="e">
        <f>IF(#REF!="","",#REF!)</f>
        <v>#REF!</v>
      </c>
      <c r="L129" t="e">
        <f>IF(#REF!="","",#REF!)</f>
        <v>#REF!</v>
      </c>
      <c r="M129" t="e">
        <f>IF(#REF!="","",#REF!)</f>
        <v>#REF!</v>
      </c>
      <c r="N129" t="e">
        <f>IF(#REF!="","",#REF!)</f>
        <v>#REF!</v>
      </c>
      <c r="O129" t="e">
        <f>IF(#REF!="","",#REF!)</f>
        <v>#REF!</v>
      </c>
      <c r="P129" t="e">
        <f>IF(#REF!="","",#REF!)</f>
        <v>#REF!</v>
      </c>
      <c r="Q129" t="e">
        <f>IF(#REF!="","",#REF!)</f>
        <v>#REF!</v>
      </c>
      <c r="R129" t="e">
        <f>IF(#REF!="","",#REF!)</f>
        <v>#REF!</v>
      </c>
      <c r="S129" t="e">
        <f>IF(#REF!="","",#REF!)</f>
        <v>#REF!</v>
      </c>
    </row>
    <row r="130" spans="1:19" ht="12.75" customHeight="1" x14ac:dyDescent="0.25">
      <c r="A130" t="e">
        <f>IF(#REF!="","",#REF!)</f>
        <v>#REF!</v>
      </c>
      <c r="B130" t="e">
        <f>IF(#REF!="","",#REF!)</f>
        <v>#REF!</v>
      </c>
      <c r="C130" t="e">
        <f>IF(#REF!="","",#REF!)</f>
        <v>#REF!</v>
      </c>
      <c r="D130" t="e">
        <f>IF(#REF!="","",#REF!)</f>
        <v>#REF!</v>
      </c>
      <c r="E130" t="e">
        <f>IF(#REF!="","",#REF!)</f>
        <v>#REF!</v>
      </c>
      <c r="F130" t="e">
        <f>IF(#REF!="","",#REF!)</f>
        <v>#REF!</v>
      </c>
      <c r="G130" t="e">
        <f>IF(#REF!="","",#REF!)</f>
        <v>#REF!</v>
      </c>
      <c r="H130" t="e">
        <f>IF(#REF!="","",#REF!)</f>
        <v>#REF!</v>
      </c>
      <c r="I130" t="e">
        <f>IF(#REF!="","",#REF!)</f>
        <v>#REF!</v>
      </c>
      <c r="J130" t="e">
        <f>IF(#REF!="","",#REF!)</f>
        <v>#REF!</v>
      </c>
      <c r="K130" t="e">
        <f>IF(#REF!="","",#REF!)</f>
        <v>#REF!</v>
      </c>
      <c r="L130" t="e">
        <f>IF(#REF!="","",#REF!)</f>
        <v>#REF!</v>
      </c>
      <c r="M130" t="e">
        <f>IF(#REF!="","",#REF!)</f>
        <v>#REF!</v>
      </c>
      <c r="N130" t="e">
        <f>IF(#REF!="","",#REF!)</f>
        <v>#REF!</v>
      </c>
      <c r="O130" t="e">
        <f>IF(#REF!="","",#REF!)</f>
        <v>#REF!</v>
      </c>
      <c r="P130" t="e">
        <f>IF(#REF!="","",#REF!)</f>
        <v>#REF!</v>
      </c>
      <c r="Q130" t="e">
        <f>IF(#REF!="","",#REF!)</f>
        <v>#REF!</v>
      </c>
      <c r="R130" t="e">
        <f>IF(#REF!="","",#REF!)</f>
        <v>#REF!</v>
      </c>
      <c r="S130" t="e">
        <f>IF(#REF!="","",#REF!)</f>
        <v>#REF!</v>
      </c>
    </row>
    <row r="131" spans="1:19" ht="12.75" customHeight="1" x14ac:dyDescent="0.25">
      <c r="A131" t="e">
        <f>IF(#REF!="","",#REF!)</f>
        <v>#REF!</v>
      </c>
      <c r="B131" t="e">
        <f>IF(#REF!="","",#REF!)</f>
        <v>#REF!</v>
      </c>
      <c r="C131" t="e">
        <f>IF(#REF!="","",#REF!)</f>
        <v>#REF!</v>
      </c>
      <c r="D131" t="e">
        <f>IF(#REF!="","",#REF!)</f>
        <v>#REF!</v>
      </c>
      <c r="E131" t="e">
        <f>IF(#REF!="","",#REF!)</f>
        <v>#REF!</v>
      </c>
      <c r="F131" t="e">
        <f>IF(#REF!="","",#REF!)</f>
        <v>#REF!</v>
      </c>
      <c r="G131" t="e">
        <f>IF(#REF!="","",#REF!)</f>
        <v>#REF!</v>
      </c>
      <c r="H131" t="e">
        <f>IF(#REF!="","",#REF!)</f>
        <v>#REF!</v>
      </c>
      <c r="I131" t="e">
        <f>IF(#REF!="","",#REF!)</f>
        <v>#REF!</v>
      </c>
      <c r="J131" t="e">
        <f>IF(#REF!="","",#REF!)</f>
        <v>#REF!</v>
      </c>
      <c r="K131" t="e">
        <f>IF(#REF!="","",#REF!)</f>
        <v>#REF!</v>
      </c>
      <c r="L131" t="e">
        <f>IF(#REF!="","",#REF!)</f>
        <v>#REF!</v>
      </c>
      <c r="M131" t="e">
        <f>IF(#REF!="","",#REF!)</f>
        <v>#REF!</v>
      </c>
      <c r="N131" t="e">
        <f>IF(#REF!="","",#REF!)</f>
        <v>#REF!</v>
      </c>
      <c r="O131" t="e">
        <f>IF(#REF!="","",#REF!)</f>
        <v>#REF!</v>
      </c>
      <c r="P131" t="e">
        <f>IF(#REF!="","",#REF!)</f>
        <v>#REF!</v>
      </c>
      <c r="Q131" t="e">
        <f>IF(#REF!="","",#REF!)</f>
        <v>#REF!</v>
      </c>
      <c r="R131" t="e">
        <f>IF(#REF!="","",#REF!)</f>
        <v>#REF!</v>
      </c>
      <c r="S131" t="e">
        <f>IF(#REF!="","",#REF!)</f>
        <v>#REF!</v>
      </c>
    </row>
    <row r="132" spans="1:19" ht="12.75" customHeight="1" x14ac:dyDescent="0.25">
      <c r="A132" t="e">
        <f>IF(#REF!="","",#REF!)</f>
        <v>#REF!</v>
      </c>
      <c r="B132" t="e">
        <f>IF(#REF!="","",#REF!)</f>
        <v>#REF!</v>
      </c>
      <c r="C132" t="e">
        <f>IF(#REF!="","",#REF!)</f>
        <v>#REF!</v>
      </c>
      <c r="D132" t="e">
        <f>IF(#REF!="","",#REF!)</f>
        <v>#REF!</v>
      </c>
      <c r="E132" t="e">
        <f>IF(#REF!="","",#REF!)</f>
        <v>#REF!</v>
      </c>
      <c r="F132" t="e">
        <f>IF(#REF!="","",#REF!)</f>
        <v>#REF!</v>
      </c>
      <c r="G132" t="e">
        <f>IF(#REF!="","",#REF!)</f>
        <v>#REF!</v>
      </c>
      <c r="H132" t="e">
        <f>IF(#REF!="","",#REF!)</f>
        <v>#REF!</v>
      </c>
      <c r="I132" t="e">
        <f>IF(#REF!="","",#REF!)</f>
        <v>#REF!</v>
      </c>
      <c r="J132" t="e">
        <f>IF(#REF!="","",#REF!)</f>
        <v>#REF!</v>
      </c>
      <c r="K132" t="e">
        <f>IF(#REF!="","",#REF!)</f>
        <v>#REF!</v>
      </c>
      <c r="L132" t="e">
        <f>IF(#REF!="","",#REF!)</f>
        <v>#REF!</v>
      </c>
      <c r="M132" t="e">
        <f>IF(#REF!="","",#REF!)</f>
        <v>#REF!</v>
      </c>
      <c r="N132" t="e">
        <f>IF(#REF!="","",#REF!)</f>
        <v>#REF!</v>
      </c>
      <c r="O132" t="e">
        <f>IF(#REF!="","",#REF!)</f>
        <v>#REF!</v>
      </c>
      <c r="P132" t="e">
        <f>IF(#REF!="","",#REF!)</f>
        <v>#REF!</v>
      </c>
      <c r="Q132" t="e">
        <f>IF(#REF!="","",#REF!)</f>
        <v>#REF!</v>
      </c>
      <c r="R132" t="e">
        <f>IF(#REF!="","",#REF!)</f>
        <v>#REF!</v>
      </c>
      <c r="S132" t="e">
        <f>IF(#REF!="","",#REF!)</f>
        <v>#REF!</v>
      </c>
    </row>
    <row r="133" spans="1:19" ht="12.75" customHeight="1" x14ac:dyDescent="0.25">
      <c r="A133" t="e">
        <f>IF(#REF!="","",#REF!)</f>
        <v>#REF!</v>
      </c>
      <c r="B133" t="e">
        <f>IF(#REF!="","",#REF!)</f>
        <v>#REF!</v>
      </c>
      <c r="C133" t="e">
        <f>IF(#REF!="","",#REF!)</f>
        <v>#REF!</v>
      </c>
      <c r="D133" t="e">
        <f>IF(#REF!="","",#REF!)</f>
        <v>#REF!</v>
      </c>
      <c r="E133" t="e">
        <f>IF(#REF!="","",#REF!)</f>
        <v>#REF!</v>
      </c>
      <c r="F133" t="e">
        <f>IF(#REF!="","",#REF!)</f>
        <v>#REF!</v>
      </c>
      <c r="G133" t="e">
        <f>IF(#REF!="","",#REF!)</f>
        <v>#REF!</v>
      </c>
      <c r="H133" t="e">
        <f>IF(#REF!="","",#REF!)</f>
        <v>#REF!</v>
      </c>
      <c r="I133" t="e">
        <f>IF(#REF!="","",#REF!)</f>
        <v>#REF!</v>
      </c>
      <c r="J133" t="e">
        <f>IF(#REF!="","",#REF!)</f>
        <v>#REF!</v>
      </c>
      <c r="K133" t="e">
        <f>IF(#REF!="","",#REF!)</f>
        <v>#REF!</v>
      </c>
      <c r="L133" t="e">
        <f>IF(#REF!="","",#REF!)</f>
        <v>#REF!</v>
      </c>
      <c r="M133" t="e">
        <f>IF(#REF!="","",#REF!)</f>
        <v>#REF!</v>
      </c>
      <c r="N133" t="e">
        <f>IF(#REF!="","",#REF!)</f>
        <v>#REF!</v>
      </c>
      <c r="O133" t="e">
        <f>IF(#REF!="","",#REF!)</f>
        <v>#REF!</v>
      </c>
      <c r="P133" t="e">
        <f>IF(#REF!="","",#REF!)</f>
        <v>#REF!</v>
      </c>
      <c r="Q133" t="e">
        <f>IF(#REF!="","",#REF!)</f>
        <v>#REF!</v>
      </c>
      <c r="R133" t="e">
        <f>IF(#REF!="","",#REF!)</f>
        <v>#REF!</v>
      </c>
      <c r="S133" t="e">
        <f>IF(#REF!="","",#REF!)</f>
        <v>#REF!</v>
      </c>
    </row>
    <row r="134" spans="1:19" ht="12.75" customHeight="1" x14ac:dyDescent="0.25">
      <c r="A134" t="e">
        <f>IF(#REF!="","",#REF!)</f>
        <v>#REF!</v>
      </c>
      <c r="B134" t="e">
        <f>IF(#REF!="","",#REF!)</f>
        <v>#REF!</v>
      </c>
      <c r="C134" t="e">
        <f>IF(#REF!="","",#REF!)</f>
        <v>#REF!</v>
      </c>
      <c r="D134" t="e">
        <f>IF(#REF!="","",#REF!)</f>
        <v>#REF!</v>
      </c>
      <c r="E134" t="e">
        <f>IF(#REF!="","",#REF!)</f>
        <v>#REF!</v>
      </c>
      <c r="F134" t="e">
        <f>IF(#REF!="","",#REF!)</f>
        <v>#REF!</v>
      </c>
      <c r="G134" t="e">
        <f>IF(#REF!="","",#REF!)</f>
        <v>#REF!</v>
      </c>
      <c r="H134" t="e">
        <f>IF(#REF!="","",#REF!)</f>
        <v>#REF!</v>
      </c>
      <c r="I134" t="e">
        <f>IF(#REF!="","",#REF!)</f>
        <v>#REF!</v>
      </c>
      <c r="J134" t="e">
        <f>IF(#REF!="","",#REF!)</f>
        <v>#REF!</v>
      </c>
      <c r="K134" t="e">
        <f>IF(#REF!="","",#REF!)</f>
        <v>#REF!</v>
      </c>
      <c r="L134" t="e">
        <f>IF(#REF!="","",#REF!)</f>
        <v>#REF!</v>
      </c>
      <c r="M134" t="e">
        <f>IF(#REF!="","",#REF!)</f>
        <v>#REF!</v>
      </c>
      <c r="N134" t="e">
        <f>IF(#REF!="","",#REF!)</f>
        <v>#REF!</v>
      </c>
      <c r="O134" t="e">
        <f>IF(#REF!="","",#REF!)</f>
        <v>#REF!</v>
      </c>
      <c r="P134" t="e">
        <f>IF(#REF!="","",#REF!)</f>
        <v>#REF!</v>
      </c>
      <c r="Q134" t="e">
        <f>IF(#REF!="","",#REF!)</f>
        <v>#REF!</v>
      </c>
      <c r="R134" t="e">
        <f>IF(#REF!="","",#REF!)</f>
        <v>#REF!</v>
      </c>
      <c r="S134" t="e">
        <f>IF(#REF!="","",#REF!)</f>
        <v>#REF!</v>
      </c>
    </row>
    <row r="135" spans="1:19" ht="12.75" customHeight="1" x14ac:dyDescent="0.25">
      <c r="A135" t="e">
        <f>IF(#REF!="","",#REF!)</f>
        <v>#REF!</v>
      </c>
      <c r="B135" t="e">
        <f>IF(#REF!="","",#REF!)</f>
        <v>#REF!</v>
      </c>
      <c r="C135" t="e">
        <f>IF(#REF!="","",#REF!)</f>
        <v>#REF!</v>
      </c>
      <c r="D135" t="e">
        <f>IF(#REF!="","",#REF!)</f>
        <v>#REF!</v>
      </c>
      <c r="E135" t="e">
        <f>IF(#REF!="","",#REF!)</f>
        <v>#REF!</v>
      </c>
      <c r="F135" t="e">
        <f>IF(#REF!="","",#REF!)</f>
        <v>#REF!</v>
      </c>
      <c r="G135" t="e">
        <f>IF(#REF!="","",#REF!)</f>
        <v>#REF!</v>
      </c>
      <c r="H135" t="e">
        <f>IF(#REF!="","",#REF!)</f>
        <v>#REF!</v>
      </c>
      <c r="I135" t="e">
        <f>IF(#REF!="","",#REF!)</f>
        <v>#REF!</v>
      </c>
      <c r="J135" t="e">
        <f>IF(#REF!="","",#REF!)</f>
        <v>#REF!</v>
      </c>
      <c r="K135" t="e">
        <f>IF(#REF!="","",#REF!)</f>
        <v>#REF!</v>
      </c>
      <c r="L135" t="e">
        <f>IF(#REF!="","",#REF!)</f>
        <v>#REF!</v>
      </c>
      <c r="M135" t="e">
        <f>IF(#REF!="","",#REF!)</f>
        <v>#REF!</v>
      </c>
      <c r="N135" t="e">
        <f>IF(#REF!="","",#REF!)</f>
        <v>#REF!</v>
      </c>
      <c r="O135" t="e">
        <f>IF(#REF!="","",#REF!)</f>
        <v>#REF!</v>
      </c>
      <c r="P135" t="e">
        <f>IF(#REF!="","",#REF!)</f>
        <v>#REF!</v>
      </c>
      <c r="Q135" t="e">
        <f>IF(#REF!="","",#REF!)</f>
        <v>#REF!</v>
      </c>
      <c r="R135" t="e">
        <f>IF(#REF!="","",#REF!)</f>
        <v>#REF!</v>
      </c>
      <c r="S135" t="e">
        <f>IF(#REF!="","",#REF!)</f>
        <v>#REF!</v>
      </c>
    </row>
    <row r="136" spans="1:19" ht="12.75" customHeight="1" x14ac:dyDescent="0.25">
      <c r="A136" t="e">
        <f>IF(#REF!="","",#REF!)</f>
        <v>#REF!</v>
      </c>
      <c r="B136" t="e">
        <f>IF(#REF!="","",#REF!)</f>
        <v>#REF!</v>
      </c>
      <c r="C136" t="e">
        <f>IF(#REF!="","",#REF!)</f>
        <v>#REF!</v>
      </c>
      <c r="D136" t="e">
        <f>IF(#REF!="","",#REF!)</f>
        <v>#REF!</v>
      </c>
      <c r="E136" t="e">
        <f>IF(#REF!="","",#REF!)</f>
        <v>#REF!</v>
      </c>
      <c r="F136" t="e">
        <f>IF(#REF!="","",#REF!)</f>
        <v>#REF!</v>
      </c>
      <c r="G136" t="e">
        <f>IF(#REF!="","",#REF!)</f>
        <v>#REF!</v>
      </c>
      <c r="H136" t="e">
        <f>IF(#REF!="","",#REF!)</f>
        <v>#REF!</v>
      </c>
      <c r="I136" t="e">
        <f>IF(#REF!="","",#REF!)</f>
        <v>#REF!</v>
      </c>
      <c r="J136" t="e">
        <f>IF(#REF!="","",#REF!)</f>
        <v>#REF!</v>
      </c>
      <c r="K136" t="e">
        <f>IF(#REF!="","",#REF!)</f>
        <v>#REF!</v>
      </c>
      <c r="L136" t="e">
        <f>IF(#REF!="","",#REF!)</f>
        <v>#REF!</v>
      </c>
      <c r="M136" t="e">
        <f>IF(#REF!="","",#REF!)</f>
        <v>#REF!</v>
      </c>
      <c r="N136" t="e">
        <f>IF(#REF!="","",#REF!)</f>
        <v>#REF!</v>
      </c>
      <c r="O136" t="e">
        <f>IF(#REF!="","",#REF!)</f>
        <v>#REF!</v>
      </c>
      <c r="P136" t="e">
        <f>IF(#REF!="","",#REF!)</f>
        <v>#REF!</v>
      </c>
      <c r="Q136" t="e">
        <f>IF(#REF!="","",#REF!)</f>
        <v>#REF!</v>
      </c>
      <c r="R136" t="e">
        <f>IF(#REF!="","",#REF!)</f>
        <v>#REF!</v>
      </c>
      <c r="S136" t="e">
        <f>IF(#REF!="","",#REF!)</f>
        <v>#REF!</v>
      </c>
    </row>
    <row r="137" spans="1:19" ht="12.75" customHeight="1" x14ac:dyDescent="0.25">
      <c r="A137" t="e">
        <f>IF(#REF!="","",#REF!)</f>
        <v>#REF!</v>
      </c>
      <c r="B137" t="e">
        <f>IF(#REF!="","",#REF!)</f>
        <v>#REF!</v>
      </c>
      <c r="C137" t="e">
        <f>IF(#REF!="","",#REF!)</f>
        <v>#REF!</v>
      </c>
      <c r="D137" t="e">
        <f>IF(#REF!="","",#REF!)</f>
        <v>#REF!</v>
      </c>
      <c r="E137" t="e">
        <f>IF(#REF!="","",#REF!)</f>
        <v>#REF!</v>
      </c>
      <c r="F137" t="e">
        <f>IF(#REF!="","",#REF!)</f>
        <v>#REF!</v>
      </c>
      <c r="G137" t="e">
        <f>IF(#REF!="","",#REF!)</f>
        <v>#REF!</v>
      </c>
      <c r="H137" t="e">
        <f>IF(#REF!="","",#REF!)</f>
        <v>#REF!</v>
      </c>
      <c r="I137" t="e">
        <f>IF(#REF!="","",#REF!)</f>
        <v>#REF!</v>
      </c>
      <c r="J137" t="e">
        <f>IF(#REF!="","",#REF!)</f>
        <v>#REF!</v>
      </c>
      <c r="K137" t="e">
        <f>IF(#REF!="","",#REF!)</f>
        <v>#REF!</v>
      </c>
      <c r="L137" t="e">
        <f>IF(#REF!="","",#REF!)</f>
        <v>#REF!</v>
      </c>
      <c r="M137" t="e">
        <f>IF(#REF!="","",#REF!)</f>
        <v>#REF!</v>
      </c>
      <c r="N137" t="e">
        <f>IF(#REF!="","",#REF!)</f>
        <v>#REF!</v>
      </c>
      <c r="O137" t="e">
        <f>IF(#REF!="","",#REF!)</f>
        <v>#REF!</v>
      </c>
      <c r="P137" t="e">
        <f>IF(#REF!="","",#REF!)</f>
        <v>#REF!</v>
      </c>
      <c r="Q137" t="e">
        <f>IF(#REF!="","",#REF!)</f>
        <v>#REF!</v>
      </c>
      <c r="R137" t="e">
        <f>IF(#REF!="","",#REF!)</f>
        <v>#REF!</v>
      </c>
      <c r="S137" t="e">
        <f>IF(#REF!="","",#REF!)</f>
        <v>#REF!</v>
      </c>
    </row>
    <row r="138" spans="1:19" ht="12.75" customHeight="1" x14ac:dyDescent="0.25">
      <c r="A138" t="e">
        <f>IF(#REF!="","",#REF!)</f>
        <v>#REF!</v>
      </c>
      <c r="B138" t="e">
        <f>IF(#REF!="","",#REF!)</f>
        <v>#REF!</v>
      </c>
      <c r="C138" t="e">
        <f>IF(#REF!="","",#REF!)</f>
        <v>#REF!</v>
      </c>
      <c r="D138" t="e">
        <f>IF(#REF!="","",#REF!)</f>
        <v>#REF!</v>
      </c>
      <c r="E138" t="e">
        <f>IF(#REF!="","",#REF!)</f>
        <v>#REF!</v>
      </c>
      <c r="F138" t="e">
        <f>IF(#REF!="","",#REF!)</f>
        <v>#REF!</v>
      </c>
      <c r="G138" t="e">
        <f>IF(#REF!="","",#REF!)</f>
        <v>#REF!</v>
      </c>
      <c r="H138" t="e">
        <f>IF(#REF!="","",#REF!)</f>
        <v>#REF!</v>
      </c>
      <c r="I138" t="e">
        <f>IF(#REF!="","",#REF!)</f>
        <v>#REF!</v>
      </c>
      <c r="J138" t="e">
        <f>IF(#REF!="","",#REF!)</f>
        <v>#REF!</v>
      </c>
      <c r="K138" t="e">
        <f>IF(#REF!="","",#REF!)</f>
        <v>#REF!</v>
      </c>
      <c r="L138" t="e">
        <f>IF(#REF!="","",#REF!)</f>
        <v>#REF!</v>
      </c>
      <c r="M138" t="e">
        <f>IF(#REF!="","",#REF!)</f>
        <v>#REF!</v>
      </c>
      <c r="N138" t="e">
        <f>IF(#REF!="","",#REF!)</f>
        <v>#REF!</v>
      </c>
      <c r="O138" t="e">
        <f>IF(#REF!="","",#REF!)</f>
        <v>#REF!</v>
      </c>
      <c r="P138" t="e">
        <f>IF(#REF!="","",#REF!)</f>
        <v>#REF!</v>
      </c>
      <c r="Q138" t="e">
        <f>IF(#REF!="","",#REF!)</f>
        <v>#REF!</v>
      </c>
      <c r="R138" t="e">
        <f>IF(#REF!="","",#REF!)</f>
        <v>#REF!</v>
      </c>
      <c r="S138" t="e">
        <f>IF(#REF!="","",#REF!)</f>
        <v>#REF!</v>
      </c>
    </row>
    <row r="139" spans="1:19" ht="12.75" customHeight="1" x14ac:dyDescent="0.25">
      <c r="A139" t="e">
        <f>IF(#REF!="","",#REF!)</f>
        <v>#REF!</v>
      </c>
      <c r="B139" t="e">
        <f>IF(#REF!="","",#REF!)</f>
        <v>#REF!</v>
      </c>
      <c r="C139" t="e">
        <f>IF(#REF!="","",#REF!)</f>
        <v>#REF!</v>
      </c>
      <c r="D139" t="e">
        <f>IF(#REF!="","",#REF!)</f>
        <v>#REF!</v>
      </c>
      <c r="E139" t="e">
        <f>IF(#REF!="","",#REF!)</f>
        <v>#REF!</v>
      </c>
      <c r="F139" t="e">
        <f>IF(#REF!="","",#REF!)</f>
        <v>#REF!</v>
      </c>
      <c r="G139" t="e">
        <f>IF(#REF!="","",#REF!)</f>
        <v>#REF!</v>
      </c>
      <c r="H139" t="e">
        <f>IF(#REF!="","",#REF!)</f>
        <v>#REF!</v>
      </c>
      <c r="I139" t="e">
        <f>IF(#REF!="","",#REF!)</f>
        <v>#REF!</v>
      </c>
      <c r="J139" t="e">
        <f>IF(#REF!="","",#REF!)</f>
        <v>#REF!</v>
      </c>
      <c r="K139" t="e">
        <f>IF(#REF!="","",#REF!)</f>
        <v>#REF!</v>
      </c>
      <c r="L139" t="e">
        <f>IF(#REF!="","",#REF!)</f>
        <v>#REF!</v>
      </c>
      <c r="M139" t="e">
        <f>IF(#REF!="","",#REF!)</f>
        <v>#REF!</v>
      </c>
      <c r="N139" t="e">
        <f>IF(#REF!="","",#REF!)</f>
        <v>#REF!</v>
      </c>
      <c r="O139" t="e">
        <f>IF(#REF!="","",#REF!)</f>
        <v>#REF!</v>
      </c>
      <c r="P139" t="e">
        <f>IF(#REF!="","",#REF!)</f>
        <v>#REF!</v>
      </c>
      <c r="Q139" t="e">
        <f>IF(#REF!="","",#REF!)</f>
        <v>#REF!</v>
      </c>
      <c r="R139" t="e">
        <f>IF(#REF!="","",#REF!)</f>
        <v>#REF!</v>
      </c>
      <c r="S139" t="e">
        <f>IF(#REF!="","",#REF!)</f>
        <v>#REF!</v>
      </c>
    </row>
    <row r="140" spans="1:19" ht="12.75" customHeight="1" x14ac:dyDescent="0.25">
      <c r="A140" t="e">
        <f>IF(#REF!="","",#REF!)</f>
        <v>#REF!</v>
      </c>
      <c r="B140" t="e">
        <f>IF(#REF!="","",#REF!)</f>
        <v>#REF!</v>
      </c>
      <c r="C140" t="e">
        <f>IF(#REF!="","",#REF!)</f>
        <v>#REF!</v>
      </c>
      <c r="D140" t="e">
        <f>IF(#REF!="","",#REF!)</f>
        <v>#REF!</v>
      </c>
      <c r="E140" t="e">
        <f>IF(#REF!="","",#REF!)</f>
        <v>#REF!</v>
      </c>
      <c r="F140" t="e">
        <f>IF(#REF!="","",#REF!)</f>
        <v>#REF!</v>
      </c>
      <c r="G140" t="e">
        <f>IF(#REF!="","",#REF!)</f>
        <v>#REF!</v>
      </c>
      <c r="H140" t="e">
        <f>IF(#REF!="","",#REF!)</f>
        <v>#REF!</v>
      </c>
      <c r="I140" t="e">
        <f>IF(#REF!="","",#REF!)</f>
        <v>#REF!</v>
      </c>
      <c r="J140" t="e">
        <f>IF(#REF!="","",#REF!)</f>
        <v>#REF!</v>
      </c>
      <c r="K140" t="e">
        <f>IF(#REF!="","",#REF!)</f>
        <v>#REF!</v>
      </c>
      <c r="L140" t="e">
        <f>IF(#REF!="","",#REF!)</f>
        <v>#REF!</v>
      </c>
      <c r="M140" t="e">
        <f>IF(#REF!="","",#REF!)</f>
        <v>#REF!</v>
      </c>
      <c r="N140" t="e">
        <f>IF(#REF!="","",#REF!)</f>
        <v>#REF!</v>
      </c>
      <c r="O140" t="e">
        <f>IF(#REF!="","",#REF!)</f>
        <v>#REF!</v>
      </c>
      <c r="P140" t="e">
        <f>IF(#REF!="","",#REF!)</f>
        <v>#REF!</v>
      </c>
      <c r="Q140" t="e">
        <f>IF(#REF!="","",#REF!)</f>
        <v>#REF!</v>
      </c>
      <c r="R140" t="e">
        <f>IF(#REF!="","",#REF!)</f>
        <v>#REF!</v>
      </c>
      <c r="S140" t="e">
        <f>IF(#REF!="","",#REF!)</f>
        <v>#REF!</v>
      </c>
    </row>
    <row r="141" spans="1:19" ht="12.75" customHeight="1" x14ac:dyDescent="0.25">
      <c r="A141" t="e">
        <f>IF(#REF!="","",#REF!)</f>
        <v>#REF!</v>
      </c>
      <c r="B141" t="e">
        <f>IF(#REF!="","",#REF!)</f>
        <v>#REF!</v>
      </c>
      <c r="C141" t="e">
        <f>IF(#REF!="","",#REF!)</f>
        <v>#REF!</v>
      </c>
      <c r="D141" t="e">
        <f>IF(#REF!="","",#REF!)</f>
        <v>#REF!</v>
      </c>
      <c r="E141" t="e">
        <f>IF(#REF!="","",#REF!)</f>
        <v>#REF!</v>
      </c>
      <c r="F141" t="e">
        <f>IF(#REF!="","",#REF!)</f>
        <v>#REF!</v>
      </c>
      <c r="G141" t="e">
        <f>IF(#REF!="","",#REF!)</f>
        <v>#REF!</v>
      </c>
      <c r="H141" t="e">
        <f>IF(#REF!="","",#REF!)</f>
        <v>#REF!</v>
      </c>
      <c r="I141" t="e">
        <f>IF(#REF!="","",#REF!)</f>
        <v>#REF!</v>
      </c>
      <c r="J141" t="e">
        <f>IF(#REF!="","",#REF!)</f>
        <v>#REF!</v>
      </c>
      <c r="K141" t="e">
        <f>IF(#REF!="","",#REF!)</f>
        <v>#REF!</v>
      </c>
      <c r="L141" t="e">
        <f>IF(#REF!="","",#REF!)</f>
        <v>#REF!</v>
      </c>
      <c r="M141" t="e">
        <f>IF(#REF!="","",#REF!)</f>
        <v>#REF!</v>
      </c>
      <c r="N141" t="e">
        <f>IF(#REF!="","",#REF!)</f>
        <v>#REF!</v>
      </c>
      <c r="O141" t="e">
        <f>IF(#REF!="","",#REF!)</f>
        <v>#REF!</v>
      </c>
      <c r="P141" t="e">
        <f>IF(#REF!="","",#REF!)</f>
        <v>#REF!</v>
      </c>
      <c r="Q141" t="e">
        <f>IF(#REF!="","",#REF!)</f>
        <v>#REF!</v>
      </c>
      <c r="R141" t="e">
        <f>IF(#REF!="","",#REF!)</f>
        <v>#REF!</v>
      </c>
      <c r="S141" t="e">
        <f>IF(#REF!="","",#REF!)</f>
        <v>#REF!</v>
      </c>
    </row>
    <row r="142" spans="1:19" ht="12.75" customHeight="1" x14ac:dyDescent="0.25">
      <c r="A142" t="e">
        <f>IF(#REF!="","",#REF!)</f>
        <v>#REF!</v>
      </c>
      <c r="B142" t="e">
        <f>IF(#REF!="","",#REF!)</f>
        <v>#REF!</v>
      </c>
      <c r="C142" t="e">
        <f>IF(#REF!="","",#REF!)</f>
        <v>#REF!</v>
      </c>
      <c r="D142" t="e">
        <f>IF(#REF!="","",#REF!)</f>
        <v>#REF!</v>
      </c>
      <c r="E142" t="e">
        <f>IF(#REF!="","",#REF!)</f>
        <v>#REF!</v>
      </c>
      <c r="F142" t="e">
        <f>IF(#REF!="","",#REF!)</f>
        <v>#REF!</v>
      </c>
      <c r="G142" t="e">
        <f>IF(#REF!="","",#REF!)</f>
        <v>#REF!</v>
      </c>
      <c r="H142" t="e">
        <f>IF(#REF!="","",#REF!)</f>
        <v>#REF!</v>
      </c>
      <c r="I142" t="e">
        <f>IF(#REF!="","",#REF!)</f>
        <v>#REF!</v>
      </c>
      <c r="J142" t="e">
        <f>IF(#REF!="","",#REF!)</f>
        <v>#REF!</v>
      </c>
      <c r="K142" t="e">
        <f>IF(#REF!="","",#REF!)</f>
        <v>#REF!</v>
      </c>
      <c r="L142" t="e">
        <f>IF(#REF!="","",#REF!)</f>
        <v>#REF!</v>
      </c>
      <c r="M142" t="e">
        <f>IF(#REF!="","",#REF!)</f>
        <v>#REF!</v>
      </c>
      <c r="N142" t="e">
        <f>IF(#REF!="","",#REF!)</f>
        <v>#REF!</v>
      </c>
      <c r="O142" t="e">
        <f>IF(#REF!="","",#REF!)</f>
        <v>#REF!</v>
      </c>
      <c r="P142" t="e">
        <f>IF(#REF!="","",#REF!)</f>
        <v>#REF!</v>
      </c>
      <c r="Q142" t="e">
        <f>IF(#REF!="","",#REF!)</f>
        <v>#REF!</v>
      </c>
      <c r="R142" t="e">
        <f>IF(#REF!="","",#REF!)</f>
        <v>#REF!</v>
      </c>
      <c r="S142" t="e">
        <f>IF(#REF!="","",#REF!)</f>
        <v>#REF!</v>
      </c>
    </row>
    <row r="143" spans="1:19" ht="12.75" customHeight="1" x14ac:dyDescent="0.25">
      <c r="A143" t="e">
        <f>IF(#REF!="","",#REF!)</f>
        <v>#REF!</v>
      </c>
      <c r="B143" t="e">
        <f>IF(#REF!="","",#REF!)</f>
        <v>#REF!</v>
      </c>
      <c r="C143" t="e">
        <f>IF(#REF!="","",#REF!)</f>
        <v>#REF!</v>
      </c>
      <c r="D143" t="e">
        <f>IF(#REF!="","",#REF!)</f>
        <v>#REF!</v>
      </c>
      <c r="E143" t="e">
        <f>IF(#REF!="","",#REF!)</f>
        <v>#REF!</v>
      </c>
      <c r="F143" t="e">
        <f>IF(#REF!="","",#REF!)</f>
        <v>#REF!</v>
      </c>
      <c r="G143" t="e">
        <f>IF(#REF!="","",#REF!)</f>
        <v>#REF!</v>
      </c>
      <c r="H143" t="e">
        <f>IF(#REF!="","",#REF!)</f>
        <v>#REF!</v>
      </c>
      <c r="I143" t="e">
        <f>IF(#REF!="","",#REF!)</f>
        <v>#REF!</v>
      </c>
      <c r="J143" t="e">
        <f>IF(#REF!="","",#REF!)</f>
        <v>#REF!</v>
      </c>
      <c r="K143" t="e">
        <f>IF(#REF!="","",#REF!)</f>
        <v>#REF!</v>
      </c>
      <c r="L143" t="e">
        <f>IF(#REF!="","",#REF!)</f>
        <v>#REF!</v>
      </c>
      <c r="M143" t="e">
        <f>IF(#REF!="","",#REF!)</f>
        <v>#REF!</v>
      </c>
      <c r="N143" t="e">
        <f>IF(#REF!="","",#REF!)</f>
        <v>#REF!</v>
      </c>
      <c r="O143" t="e">
        <f>IF(#REF!="","",#REF!)</f>
        <v>#REF!</v>
      </c>
      <c r="P143" t="e">
        <f>IF(#REF!="","",#REF!)</f>
        <v>#REF!</v>
      </c>
      <c r="Q143" t="e">
        <f>IF(#REF!="","",#REF!)</f>
        <v>#REF!</v>
      </c>
      <c r="R143" t="e">
        <f>IF(#REF!="","",#REF!)</f>
        <v>#REF!</v>
      </c>
      <c r="S143" t="e">
        <f>IF(#REF!="","",#REF!)</f>
        <v>#REF!</v>
      </c>
    </row>
    <row r="144" spans="1:19" ht="12.75" customHeight="1" x14ac:dyDescent="0.25">
      <c r="A144" t="e">
        <f>IF(#REF!="","",#REF!)</f>
        <v>#REF!</v>
      </c>
      <c r="B144" t="e">
        <f>IF(#REF!="","",#REF!)</f>
        <v>#REF!</v>
      </c>
      <c r="C144" t="e">
        <f>IF(#REF!="","",#REF!)</f>
        <v>#REF!</v>
      </c>
      <c r="D144" t="e">
        <f>IF(#REF!="","",#REF!)</f>
        <v>#REF!</v>
      </c>
      <c r="E144" t="e">
        <f>IF(#REF!="","",#REF!)</f>
        <v>#REF!</v>
      </c>
      <c r="F144" t="e">
        <f>IF(#REF!="","",#REF!)</f>
        <v>#REF!</v>
      </c>
      <c r="G144" t="e">
        <f>IF(#REF!="","",#REF!)</f>
        <v>#REF!</v>
      </c>
      <c r="H144" t="e">
        <f>IF(#REF!="","",#REF!)</f>
        <v>#REF!</v>
      </c>
      <c r="I144" t="e">
        <f>IF(#REF!="","",#REF!)</f>
        <v>#REF!</v>
      </c>
      <c r="J144" t="e">
        <f>IF(#REF!="","",#REF!)</f>
        <v>#REF!</v>
      </c>
      <c r="K144" t="e">
        <f>IF(#REF!="","",#REF!)</f>
        <v>#REF!</v>
      </c>
      <c r="L144" t="e">
        <f>IF(#REF!="","",#REF!)</f>
        <v>#REF!</v>
      </c>
      <c r="M144" t="e">
        <f>IF(#REF!="","",#REF!)</f>
        <v>#REF!</v>
      </c>
      <c r="N144" t="e">
        <f>IF(#REF!="","",#REF!)</f>
        <v>#REF!</v>
      </c>
      <c r="O144" t="e">
        <f>IF(#REF!="","",#REF!)</f>
        <v>#REF!</v>
      </c>
      <c r="P144" t="e">
        <f>IF(#REF!="","",#REF!)</f>
        <v>#REF!</v>
      </c>
      <c r="Q144" t="e">
        <f>IF(#REF!="","",#REF!)</f>
        <v>#REF!</v>
      </c>
      <c r="R144" t="e">
        <f>IF(#REF!="","",#REF!)</f>
        <v>#REF!</v>
      </c>
      <c r="S144" t="e">
        <f>IF(#REF!="","",#REF!)</f>
        <v>#REF!</v>
      </c>
    </row>
    <row r="145" spans="1:19" ht="12.75" customHeight="1" x14ac:dyDescent="0.25">
      <c r="A145" t="e">
        <f>IF(#REF!="","",#REF!)</f>
        <v>#REF!</v>
      </c>
      <c r="B145" t="e">
        <f>IF(#REF!="","",#REF!)</f>
        <v>#REF!</v>
      </c>
      <c r="C145" t="e">
        <f>IF(#REF!="","",#REF!)</f>
        <v>#REF!</v>
      </c>
      <c r="D145" t="e">
        <f>IF(#REF!="","",#REF!)</f>
        <v>#REF!</v>
      </c>
      <c r="E145" t="e">
        <f>IF(#REF!="","",#REF!)</f>
        <v>#REF!</v>
      </c>
      <c r="F145" t="e">
        <f>IF(#REF!="","",#REF!)</f>
        <v>#REF!</v>
      </c>
      <c r="G145" t="e">
        <f>IF(#REF!="","",#REF!)</f>
        <v>#REF!</v>
      </c>
      <c r="H145" t="e">
        <f>IF(#REF!="","",#REF!)</f>
        <v>#REF!</v>
      </c>
      <c r="I145" t="e">
        <f>IF(#REF!="","",#REF!)</f>
        <v>#REF!</v>
      </c>
      <c r="J145" t="e">
        <f>IF(#REF!="","",#REF!)</f>
        <v>#REF!</v>
      </c>
      <c r="K145" t="e">
        <f>IF(#REF!="","",#REF!)</f>
        <v>#REF!</v>
      </c>
      <c r="L145" t="e">
        <f>IF(#REF!="","",#REF!)</f>
        <v>#REF!</v>
      </c>
      <c r="M145" t="e">
        <f>IF(#REF!="","",#REF!)</f>
        <v>#REF!</v>
      </c>
      <c r="N145" t="e">
        <f>IF(#REF!="","",#REF!)</f>
        <v>#REF!</v>
      </c>
      <c r="O145" t="e">
        <f>IF(#REF!="","",#REF!)</f>
        <v>#REF!</v>
      </c>
      <c r="P145" t="e">
        <f>IF(#REF!="","",#REF!)</f>
        <v>#REF!</v>
      </c>
      <c r="Q145" t="e">
        <f>IF(#REF!="","",#REF!)</f>
        <v>#REF!</v>
      </c>
      <c r="R145" t="e">
        <f>IF(#REF!="","",#REF!)</f>
        <v>#REF!</v>
      </c>
      <c r="S145" t="e">
        <f>IF(#REF!="","",#REF!)</f>
        <v>#REF!</v>
      </c>
    </row>
    <row r="146" spans="1:19" ht="12.75" customHeight="1" x14ac:dyDescent="0.25">
      <c r="A146" t="e">
        <f>IF(#REF!="","",#REF!)</f>
        <v>#REF!</v>
      </c>
      <c r="B146" t="e">
        <f>IF(#REF!="","",#REF!)</f>
        <v>#REF!</v>
      </c>
      <c r="C146" t="e">
        <f>IF(#REF!="","",#REF!)</f>
        <v>#REF!</v>
      </c>
      <c r="D146" t="e">
        <f>IF(#REF!="","",#REF!)</f>
        <v>#REF!</v>
      </c>
      <c r="E146" t="e">
        <f>IF(#REF!="","",#REF!)</f>
        <v>#REF!</v>
      </c>
      <c r="F146" t="e">
        <f>IF(#REF!="","",#REF!)</f>
        <v>#REF!</v>
      </c>
      <c r="G146" t="e">
        <f>IF(#REF!="","",#REF!)</f>
        <v>#REF!</v>
      </c>
      <c r="H146" t="e">
        <f>IF(#REF!="","",#REF!)</f>
        <v>#REF!</v>
      </c>
      <c r="I146" t="e">
        <f>IF(#REF!="","",#REF!)</f>
        <v>#REF!</v>
      </c>
      <c r="J146" t="e">
        <f>IF(#REF!="","",#REF!)</f>
        <v>#REF!</v>
      </c>
      <c r="K146" t="e">
        <f>IF(#REF!="","",#REF!)</f>
        <v>#REF!</v>
      </c>
      <c r="L146" t="e">
        <f>IF(#REF!="","",#REF!)</f>
        <v>#REF!</v>
      </c>
      <c r="M146" t="e">
        <f>IF(#REF!="","",#REF!)</f>
        <v>#REF!</v>
      </c>
      <c r="N146" t="e">
        <f>IF(#REF!="","",#REF!)</f>
        <v>#REF!</v>
      </c>
      <c r="O146" t="e">
        <f>IF(#REF!="","",#REF!)</f>
        <v>#REF!</v>
      </c>
      <c r="P146" t="e">
        <f>IF(#REF!="","",#REF!)</f>
        <v>#REF!</v>
      </c>
      <c r="Q146" t="e">
        <f>IF(#REF!="","",#REF!)</f>
        <v>#REF!</v>
      </c>
      <c r="R146" t="e">
        <f>IF(#REF!="","",#REF!)</f>
        <v>#REF!</v>
      </c>
      <c r="S146" t="e">
        <f>IF(#REF!="","",#REF!)</f>
        <v>#REF!</v>
      </c>
    </row>
    <row r="147" spans="1:19" ht="12.75" customHeight="1" x14ac:dyDescent="0.25">
      <c r="A147" t="e">
        <f>IF(#REF!="","",#REF!)</f>
        <v>#REF!</v>
      </c>
      <c r="B147" t="e">
        <f>IF(#REF!="","",#REF!)</f>
        <v>#REF!</v>
      </c>
      <c r="C147" t="e">
        <f>IF(#REF!="","",#REF!)</f>
        <v>#REF!</v>
      </c>
      <c r="D147" t="e">
        <f>IF(#REF!="","",#REF!)</f>
        <v>#REF!</v>
      </c>
      <c r="E147" t="e">
        <f>IF(#REF!="","",#REF!)</f>
        <v>#REF!</v>
      </c>
      <c r="F147" t="e">
        <f>IF(#REF!="","",#REF!)</f>
        <v>#REF!</v>
      </c>
      <c r="G147" t="e">
        <f>IF(#REF!="","",#REF!)</f>
        <v>#REF!</v>
      </c>
      <c r="H147" t="e">
        <f>IF(#REF!="","",#REF!)</f>
        <v>#REF!</v>
      </c>
      <c r="I147" t="e">
        <f>IF(#REF!="","",#REF!)</f>
        <v>#REF!</v>
      </c>
      <c r="J147" t="e">
        <f>IF(#REF!="","",#REF!)</f>
        <v>#REF!</v>
      </c>
      <c r="K147" t="e">
        <f>IF(#REF!="","",#REF!)</f>
        <v>#REF!</v>
      </c>
      <c r="L147" t="e">
        <f>IF(#REF!="","",#REF!)</f>
        <v>#REF!</v>
      </c>
      <c r="M147" t="e">
        <f>IF(#REF!="","",#REF!)</f>
        <v>#REF!</v>
      </c>
      <c r="N147" t="e">
        <f>IF(#REF!="","",#REF!)</f>
        <v>#REF!</v>
      </c>
      <c r="O147" t="e">
        <f>IF(#REF!="","",#REF!)</f>
        <v>#REF!</v>
      </c>
      <c r="P147" t="e">
        <f>IF(#REF!="","",#REF!)</f>
        <v>#REF!</v>
      </c>
      <c r="Q147" t="e">
        <f>IF(#REF!="","",#REF!)</f>
        <v>#REF!</v>
      </c>
      <c r="R147" t="e">
        <f>IF(#REF!="","",#REF!)</f>
        <v>#REF!</v>
      </c>
      <c r="S147" t="e">
        <f>IF(#REF!="","",#REF!)</f>
        <v>#REF!</v>
      </c>
    </row>
    <row r="148" spans="1:19" ht="12.75" customHeight="1" x14ac:dyDescent="0.25">
      <c r="A148" t="e">
        <f>IF(#REF!="","",#REF!)</f>
        <v>#REF!</v>
      </c>
      <c r="B148" t="e">
        <f>IF(#REF!="","",#REF!)</f>
        <v>#REF!</v>
      </c>
      <c r="C148" t="e">
        <f>IF(#REF!="","",#REF!)</f>
        <v>#REF!</v>
      </c>
      <c r="D148" t="e">
        <f>IF(#REF!="","",#REF!)</f>
        <v>#REF!</v>
      </c>
      <c r="E148" t="e">
        <f>IF(#REF!="","",#REF!)</f>
        <v>#REF!</v>
      </c>
      <c r="F148" t="e">
        <f>IF(#REF!="","",#REF!)</f>
        <v>#REF!</v>
      </c>
      <c r="G148" t="e">
        <f>IF(#REF!="","",#REF!)</f>
        <v>#REF!</v>
      </c>
      <c r="H148" t="e">
        <f>IF(#REF!="","",#REF!)</f>
        <v>#REF!</v>
      </c>
      <c r="I148" t="e">
        <f>IF(#REF!="","",#REF!)</f>
        <v>#REF!</v>
      </c>
      <c r="J148" t="e">
        <f>IF(#REF!="","",#REF!)</f>
        <v>#REF!</v>
      </c>
      <c r="K148" t="e">
        <f>IF(#REF!="","",#REF!)</f>
        <v>#REF!</v>
      </c>
      <c r="L148" t="e">
        <f>IF(#REF!="","",#REF!)</f>
        <v>#REF!</v>
      </c>
      <c r="M148" t="e">
        <f>IF(#REF!="","",#REF!)</f>
        <v>#REF!</v>
      </c>
      <c r="N148" t="e">
        <f>IF(#REF!="","",#REF!)</f>
        <v>#REF!</v>
      </c>
      <c r="O148" t="e">
        <f>IF(#REF!="","",#REF!)</f>
        <v>#REF!</v>
      </c>
      <c r="P148" t="e">
        <f>IF(#REF!="","",#REF!)</f>
        <v>#REF!</v>
      </c>
      <c r="Q148" t="e">
        <f>IF(#REF!="","",#REF!)</f>
        <v>#REF!</v>
      </c>
      <c r="R148" t="e">
        <f>IF(#REF!="","",#REF!)</f>
        <v>#REF!</v>
      </c>
      <c r="S148" t="e">
        <f>IF(#REF!="","",#REF!)</f>
        <v>#REF!</v>
      </c>
    </row>
    <row r="149" spans="1:19" ht="12.75" customHeight="1" x14ac:dyDescent="0.25">
      <c r="A149" t="e">
        <f>IF(#REF!="","",#REF!)</f>
        <v>#REF!</v>
      </c>
      <c r="B149" t="e">
        <f>IF(#REF!="","",#REF!)</f>
        <v>#REF!</v>
      </c>
      <c r="C149" t="e">
        <f>IF(#REF!="","",#REF!)</f>
        <v>#REF!</v>
      </c>
      <c r="D149" t="e">
        <f>IF(#REF!="","",#REF!)</f>
        <v>#REF!</v>
      </c>
      <c r="E149" t="e">
        <f>IF(#REF!="","",#REF!)</f>
        <v>#REF!</v>
      </c>
      <c r="F149" t="e">
        <f>IF(#REF!="","",#REF!)</f>
        <v>#REF!</v>
      </c>
      <c r="G149" t="e">
        <f>IF(#REF!="","",#REF!)</f>
        <v>#REF!</v>
      </c>
      <c r="H149" t="e">
        <f>IF(#REF!="","",#REF!)</f>
        <v>#REF!</v>
      </c>
      <c r="I149" t="e">
        <f>IF(#REF!="","",#REF!)</f>
        <v>#REF!</v>
      </c>
      <c r="J149" t="e">
        <f>IF(#REF!="","",#REF!)</f>
        <v>#REF!</v>
      </c>
      <c r="K149" t="e">
        <f>IF(#REF!="","",#REF!)</f>
        <v>#REF!</v>
      </c>
      <c r="L149" t="e">
        <f>IF(#REF!="","",#REF!)</f>
        <v>#REF!</v>
      </c>
      <c r="M149" t="e">
        <f>IF(#REF!="","",#REF!)</f>
        <v>#REF!</v>
      </c>
      <c r="N149" t="e">
        <f>IF(#REF!="","",#REF!)</f>
        <v>#REF!</v>
      </c>
      <c r="O149" t="e">
        <f>IF(#REF!="","",#REF!)</f>
        <v>#REF!</v>
      </c>
      <c r="P149" t="e">
        <f>IF(#REF!="","",#REF!)</f>
        <v>#REF!</v>
      </c>
      <c r="Q149" t="e">
        <f>IF(#REF!="","",#REF!)</f>
        <v>#REF!</v>
      </c>
      <c r="R149" t="e">
        <f>IF(#REF!="","",#REF!)</f>
        <v>#REF!</v>
      </c>
      <c r="S149" t="e">
        <f>IF(#REF!="","",#REF!)</f>
        <v>#REF!</v>
      </c>
    </row>
    <row r="150" spans="1:19" ht="12.75" customHeight="1" x14ac:dyDescent="0.25">
      <c r="A150" t="e">
        <f>IF(#REF!="","",#REF!)</f>
        <v>#REF!</v>
      </c>
      <c r="B150" t="e">
        <f>IF(#REF!="","",#REF!)</f>
        <v>#REF!</v>
      </c>
      <c r="C150" t="e">
        <f>IF(#REF!="","",#REF!)</f>
        <v>#REF!</v>
      </c>
      <c r="D150" t="e">
        <f>IF(#REF!="","",#REF!)</f>
        <v>#REF!</v>
      </c>
      <c r="E150" t="e">
        <f>IF(#REF!="","",#REF!)</f>
        <v>#REF!</v>
      </c>
      <c r="F150" t="e">
        <f>IF(#REF!="","",#REF!)</f>
        <v>#REF!</v>
      </c>
      <c r="G150" t="e">
        <f>IF(#REF!="","",#REF!)</f>
        <v>#REF!</v>
      </c>
      <c r="H150" t="e">
        <f>IF(#REF!="","",#REF!)</f>
        <v>#REF!</v>
      </c>
      <c r="I150" t="e">
        <f>IF(#REF!="","",#REF!)</f>
        <v>#REF!</v>
      </c>
      <c r="J150" t="e">
        <f>IF(#REF!="","",#REF!)</f>
        <v>#REF!</v>
      </c>
      <c r="K150" t="e">
        <f>IF(#REF!="","",#REF!)</f>
        <v>#REF!</v>
      </c>
      <c r="L150" t="e">
        <f>IF(#REF!="","",#REF!)</f>
        <v>#REF!</v>
      </c>
      <c r="M150" t="e">
        <f>IF(#REF!="","",#REF!)</f>
        <v>#REF!</v>
      </c>
      <c r="N150" t="e">
        <f>IF(#REF!="","",#REF!)</f>
        <v>#REF!</v>
      </c>
      <c r="O150" t="e">
        <f>IF(#REF!="","",#REF!)</f>
        <v>#REF!</v>
      </c>
      <c r="P150" t="e">
        <f>IF(#REF!="","",#REF!)</f>
        <v>#REF!</v>
      </c>
      <c r="Q150" t="e">
        <f>IF(#REF!="","",#REF!)</f>
        <v>#REF!</v>
      </c>
      <c r="R150" t="e">
        <f>IF(#REF!="","",#REF!)</f>
        <v>#REF!</v>
      </c>
      <c r="S150" t="e">
        <f>IF(#REF!="","",#REF!)</f>
        <v>#REF!</v>
      </c>
    </row>
    <row r="151" spans="1:19" ht="12.75" customHeight="1" x14ac:dyDescent="0.25">
      <c r="A151" t="e">
        <f>IF(#REF!="","",#REF!)</f>
        <v>#REF!</v>
      </c>
      <c r="B151" t="e">
        <f>IF(#REF!="","",#REF!)</f>
        <v>#REF!</v>
      </c>
      <c r="C151" t="e">
        <f>IF(#REF!="","",#REF!)</f>
        <v>#REF!</v>
      </c>
      <c r="D151" t="e">
        <f>IF(#REF!="","",#REF!)</f>
        <v>#REF!</v>
      </c>
      <c r="E151" t="e">
        <f>IF(#REF!="","",#REF!)</f>
        <v>#REF!</v>
      </c>
      <c r="F151" t="e">
        <f>IF(#REF!="","",#REF!)</f>
        <v>#REF!</v>
      </c>
      <c r="G151" t="e">
        <f>IF(#REF!="","",#REF!)</f>
        <v>#REF!</v>
      </c>
      <c r="H151" t="e">
        <f>IF(#REF!="","",#REF!)</f>
        <v>#REF!</v>
      </c>
      <c r="I151" t="e">
        <f>IF(#REF!="","",#REF!)</f>
        <v>#REF!</v>
      </c>
      <c r="J151" t="e">
        <f>IF(#REF!="","",#REF!)</f>
        <v>#REF!</v>
      </c>
      <c r="K151" t="e">
        <f>IF(#REF!="","",#REF!)</f>
        <v>#REF!</v>
      </c>
      <c r="L151" t="e">
        <f>IF(#REF!="","",#REF!)</f>
        <v>#REF!</v>
      </c>
      <c r="M151" t="e">
        <f>IF(#REF!="","",#REF!)</f>
        <v>#REF!</v>
      </c>
      <c r="N151" t="e">
        <f>IF(#REF!="","",#REF!)</f>
        <v>#REF!</v>
      </c>
      <c r="O151" t="e">
        <f>IF(#REF!="","",#REF!)</f>
        <v>#REF!</v>
      </c>
      <c r="P151" t="e">
        <f>IF(#REF!="","",#REF!)</f>
        <v>#REF!</v>
      </c>
      <c r="Q151" t="e">
        <f>IF(#REF!="","",#REF!)</f>
        <v>#REF!</v>
      </c>
      <c r="R151" t="e">
        <f>IF(#REF!="","",#REF!)</f>
        <v>#REF!</v>
      </c>
      <c r="S151" t="e">
        <f>IF(#REF!="","",#REF!)</f>
        <v>#REF!</v>
      </c>
    </row>
    <row r="152" spans="1:19" ht="12.75" customHeight="1" x14ac:dyDescent="0.25">
      <c r="A152" t="e">
        <f>IF(#REF!="","",#REF!)</f>
        <v>#REF!</v>
      </c>
      <c r="B152" t="e">
        <f>IF(#REF!="","",#REF!)</f>
        <v>#REF!</v>
      </c>
      <c r="C152" t="e">
        <f>IF(#REF!="","",#REF!)</f>
        <v>#REF!</v>
      </c>
      <c r="D152" t="e">
        <f>IF(#REF!="","",#REF!)</f>
        <v>#REF!</v>
      </c>
      <c r="E152" t="e">
        <f>IF(#REF!="","",#REF!)</f>
        <v>#REF!</v>
      </c>
      <c r="F152" t="e">
        <f>IF(#REF!="","",#REF!)</f>
        <v>#REF!</v>
      </c>
      <c r="G152" t="e">
        <f>IF(#REF!="","",#REF!)</f>
        <v>#REF!</v>
      </c>
      <c r="H152" t="e">
        <f>IF(#REF!="","",#REF!)</f>
        <v>#REF!</v>
      </c>
      <c r="I152" t="e">
        <f>IF(#REF!="","",#REF!)</f>
        <v>#REF!</v>
      </c>
      <c r="J152" t="e">
        <f>IF(#REF!="","",#REF!)</f>
        <v>#REF!</v>
      </c>
      <c r="K152" t="e">
        <f>IF(#REF!="","",#REF!)</f>
        <v>#REF!</v>
      </c>
      <c r="L152" t="e">
        <f>IF(#REF!="","",#REF!)</f>
        <v>#REF!</v>
      </c>
      <c r="M152" t="e">
        <f>IF(#REF!="","",#REF!)</f>
        <v>#REF!</v>
      </c>
      <c r="N152" t="e">
        <f>IF(#REF!="","",#REF!)</f>
        <v>#REF!</v>
      </c>
      <c r="O152" t="e">
        <f>IF(#REF!="","",#REF!)</f>
        <v>#REF!</v>
      </c>
      <c r="P152" t="e">
        <f>IF(#REF!="","",#REF!)</f>
        <v>#REF!</v>
      </c>
      <c r="Q152" t="e">
        <f>IF(#REF!="","",#REF!)</f>
        <v>#REF!</v>
      </c>
      <c r="R152" t="e">
        <f>IF(#REF!="","",#REF!)</f>
        <v>#REF!</v>
      </c>
      <c r="S152" t="e">
        <f>IF(#REF!="","",#REF!)</f>
        <v>#REF!</v>
      </c>
    </row>
    <row r="153" spans="1:19" ht="12.75" customHeight="1" x14ac:dyDescent="0.25">
      <c r="A153" t="e">
        <f>IF(#REF!="","",#REF!)</f>
        <v>#REF!</v>
      </c>
      <c r="B153" t="e">
        <f>IF(#REF!="","",#REF!)</f>
        <v>#REF!</v>
      </c>
      <c r="C153" t="e">
        <f>IF(#REF!="","",#REF!)</f>
        <v>#REF!</v>
      </c>
      <c r="D153" t="e">
        <f>IF(#REF!="","",#REF!)</f>
        <v>#REF!</v>
      </c>
      <c r="E153" t="e">
        <f>IF(#REF!="","",#REF!)</f>
        <v>#REF!</v>
      </c>
      <c r="F153" t="e">
        <f>IF(#REF!="","",#REF!)</f>
        <v>#REF!</v>
      </c>
      <c r="G153" t="e">
        <f>IF(#REF!="","",#REF!)</f>
        <v>#REF!</v>
      </c>
      <c r="H153" t="e">
        <f>IF(#REF!="","",#REF!)</f>
        <v>#REF!</v>
      </c>
      <c r="I153" t="e">
        <f>IF(#REF!="","",#REF!)</f>
        <v>#REF!</v>
      </c>
      <c r="J153" t="e">
        <f>IF(#REF!="","",#REF!)</f>
        <v>#REF!</v>
      </c>
      <c r="K153" t="e">
        <f>IF(#REF!="","",#REF!)</f>
        <v>#REF!</v>
      </c>
      <c r="L153" t="e">
        <f>IF(#REF!="","",#REF!)</f>
        <v>#REF!</v>
      </c>
      <c r="M153" t="e">
        <f>IF(#REF!="","",#REF!)</f>
        <v>#REF!</v>
      </c>
      <c r="N153" t="e">
        <f>IF(#REF!="","",#REF!)</f>
        <v>#REF!</v>
      </c>
      <c r="O153" t="e">
        <f>IF(#REF!="","",#REF!)</f>
        <v>#REF!</v>
      </c>
      <c r="P153" t="e">
        <f>IF(#REF!="","",#REF!)</f>
        <v>#REF!</v>
      </c>
      <c r="Q153" t="e">
        <f>IF(#REF!="","",#REF!)</f>
        <v>#REF!</v>
      </c>
      <c r="R153" t="e">
        <f>IF(#REF!="","",#REF!)</f>
        <v>#REF!</v>
      </c>
      <c r="S153" t="e">
        <f>IF(#REF!="","",#REF!)</f>
        <v>#REF!</v>
      </c>
    </row>
    <row r="154" spans="1:19" ht="12.75" customHeight="1" x14ac:dyDescent="0.25">
      <c r="A154" t="e">
        <f>IF(#REF!="","",#REF!)</f>
        <v>#REF!</v>
      </c>
      <c r="B154" t="e">
        <f>IF(#REF!="","",#REF!)</f>
        <v>#REF!</v>
      </c>
      <c r="C154" t="e">
        <f>IF(#REF!="","",#REF!)</f>
        <v>#REF!</v>
      </c>
      <c r="D154" t="e">
        <f>IF(#REF!="","",#REF!)</f>
        <v>#REF!</v>
      </c>
      <c r="E154" t="e">
        <f>IF(#REF!="","",#REF!)</f>
        <v>#REF!</v>
      </c>
      <c r="F154" t="e">
        <f>IF(#REF!="","",#REF!)</f>
        <v>#REF!</v>
      </c>
      <c r="G154" t="e">
        <f>IF(#REF!="","",#REF!)</f>
        <v>#REF!</v>
      </c>
      <c r="H154" t="e">
        <f>IF(#REF!="","",#REF!)</f>
        <v>#REF!</v>
      </c>
      <c r="I154" t="e">
        <f>IF(#REF!="","",#REF!)</f>
        <v>#REF!</v>
      </c>
      <c r="J154" t="e">
        <f>IF(#REF!="","",#REF!)</f>
        <v>#REF!</v>
      </c>
      <c r="K154" t="e">
        <f>IF(#REF!="","",#REF!)</f>
        <v>#REF!</v>
      </c>
      <c r="L154" t="e">
        <f>IF(#REF!="","",#REF!)</f>
        <v>#REF!</v>
      </c>
      <c r="M154" t="e">
        <f>IF(#REF!="","",#REF!)</f>
        <v>#REF!</v>
      </c>
      <c r="N154" t="e">
        <f>IF(#REF!="","",#REF!)</f>
        <v>#REF!</v>
      </c>
      <c r="O154" t="e">
        <f>IF(#REF!="","",#REF!)</f>
        <v>#REF!</v>
      </c>
      <c r="P154" t="e">
        <f>IF(#REF!="","",#REF!)</f>
        <v>#REF!</v>
      </c>
      <c r="Q154" t="e">
        <f>IF(#REF!="","",#REF!)</f>
        <v>#REF!</v>
      </c>
      <c r="R154" t="e">
        <f>IF(#REF!="","",#REF!)</f>
        <v>#REF!</v>
      </c>
      <c r="S154" t="e">
        <f>IF(#REF!="","",#REF!)</f>
        <v>#REF!</v>
      </c>
    </row>
    <row r="155" spans="1:19" ht="12.75" customHeight="1" x14ac:dyDescent="0.25">
      <c r="A155" t="e">
        <f>IF(#REF!="","",#REF!)</f>
        <v>#REF!</v>
      </c>
      <c r="B155" t="e">
        <f>IF(#REF!="","",#REF!)</f>
        <v>#REF!</v>
      </c>
      <c r="C155" t="e">
        <f>IF(#REF!="","",#REF!)</f>
        <v>#REF!</v>
      </c>
      <c r="D155" t="e">
        <f>IF(#REF!="","",#REF!)</f>
        <v>#REF!</v>
      </c>
      <c r="E155" t="e">
        <f>IF(#REF!="","",#REF!)</f>
        <v>#REF!</v>
      </c>
      <c r="F155" t="e">
        <f>IF(#REF!="","",#REF!)</f>
        <v>#REF!</v>
      </c>
      <c r="G155" t="e">
        <f>IF(#REF!="","",#REF!)</f>
        <v>#REF!</v>
      </c>
      <c r="H155" t="e">
        <f>IF(#REF!="","",#REF!)</f>
        <v>#REF!</v>
      </c>
      <c r="I155" t="e">
        <f>IF(#REF!="","",#REF!)</f>
        <v>#REF!</v>
      </c>
      <c r="J155" t="e">
        <f>IF(#REF!="","",#REF!)</f>
        <v>#REF!</v>
      </c>
      <c r="K155" t="e">
        <f>IF(#REF!="","",#REF!)</f>
        <v>#REF!</v>
      </c>
      <c r="L155" t="e">
        <f>IF(#REF!="","",#REF!)</f>
        <v>#REF!</v>
      </c>
      <c r="M155" t="e">
        <f>IF(#REF!="","",#REF!)</f>
        <v>#REF!</v>
      </c>
      <c r="N155" t="e">
        <f>IF(#REF!="","",#REF!)</f>
        <v>#REF!</v>
      </c>
      <c r="O155" t="e">
        <f>IF(#REF!="","",#REF!)</f>
        <v>#REF!</v>
      </c>
      <c r="P155" t="e">
        <f>IF(#REF!="","",#REF!)</f>
        <v>#REF!</v>
      </c>
      <c r="Q155" t="e">
        <f>IF(#REF!="","",#REF!)</f>
        <v>#REF!</v>
      </c>
      <c r="R155" t="e">
        <f>IF(#REF!="","",#REF!)</f>
        <v>#REF!</v>
      </c>
      <c r="S155" t="e">
        <f>IF(#REF!="","",#REF!)</f>
        <v>#REF!</v>
      </c>
    </row>
    <row r="156" spans="1:19" ht="12.75" customHeight="1" x14ac:dyDescent="0.25">
      <c r="A156" t="e">
        <f>IF(#REF!="","",#REF!)</f>
        <v>#REF!</v>
      </c>
      <c r="B156" t="e">
        <f>IF(#REF!="","",#REF!)</f>
        <v>#REF!</v>
      </c>
      <c r="C156" t="e">
        <f>IF(#REF!="","",#REF!)</f>
        <v>#REF!</v>
      </c>
      <c r="D156" t="e">
        <f>IF(#REF!="","",#REF!)</f>
        <v>#REF!</v>
      </c>
      <c r="E156" t="e">
        <f>IF(#REF!="","",#REF!)</f>
        <v>#REF!</v>
      </c>
      <c r="F156" t="e">
        <f>IF(#REF!="","",#REF!)</f>
        <v>#REF!</v>
      </c>
      <c r="G156" t="e">
        <f>IF(#REF!="","",#REF!)</f>
        <v>#REF!</v>
      </c>
      <c r="H156" t="e">
        <f>IF(#REF!="","",#REF!)</f>
        <v>#REF!</v>
      </c>
      <c r="I156" t="e">
        <f>IF(#REF!="","",#REF!)</f>
        <v>#REF!</v>
      </c>
      <c r="J156" t="e">
        <f>IF(#REF!="","",#REF!)</f>
        <v>#REF!</v>
      </c>
      <c r="K156" t="e">
        <f>IF(#REF!="","",#REF!)</f>
        <v>#REF!</v>
      </c>
      <c r="L156" t="e">
        <f>IF(#REF!="","",#REF!)</f>
        <v>#REF!</v>
      </c>
      <c r="M156" t="e">
        <f>IF(#REF!="","",#REF!)</f>
        <v>#REF!</v>
      </c>
      <c r="N156" t="e">
        <f>IF(#REF!="","",#REF!)</f>
        <v>#REF!</v>
      </c>
      <c r="O156" t="e">
        <f>IF(#REF!="","",#REF!)</f>
        <v>#REF!</v>
      </c>
      <c r="P156" t="e">
        <f>IF(#REF!="","",#REF!)</f>
        <v>#REF!</v>
      </c>
      <c r="Q156" t="e">
        <f>IF(#REF!="","",#REF!)</f>
        <v>#REF!</v>
      </c>
      <c r="R156" t="e">
        <f>IF(#REF!="","",#REF!)</f>
        <v>#REF!</v>
      </c>
      <c r="S156" t="e">
        <f>IF(#REF!="","",#REF!)</f>
        <v>#REF!</v>
      </c>
    </row>
    <row r="157" spans="1:19" ht="12.75" customHeight="1" x14ac:dyDescent="0.25">
      <c r="A157" t="e">
        <f>IF(#REF!="","",#REF!)</f>
        <v>#REF!</v>
      </c>
      <c r="B157" t="e">
        <f>IF(#REF!="","",#REF!)</f>
        <v>#REF!</v>
      </c>
      <c r="C157" t="e">
        <f>IF(#REF!="","",#REF!)</f>
        <v>#REF!</v>
      </c>
      <c r="D157" t="e">
        <f>IF(#REF!="","",#REF!)</f>
        <v>#REF!</v>
      </c>
      <c r="E157" t="e">
        <f>IF(#REF!="","",#REF!)</f>
        <v>#REF!</v>
      </c>
      <c r="F157" t="e">
        <f>IF(#REF!="","",#REF!)</f>
        <v>#REF!</v>
      </c>
      <c r="G157" t="e">
        <f>IF(#REF!="","",#REF!)</f>
        <v>#REF!</v>
      </c>
      <c r="H157" t="e">
        <f>IF(#REF!="","",#REF!)</f>
        <v>#REF!</v>
      </c>
      <c r="I157" t="e">
        <f>IF(#REF!="","",#REF!)</f>
        <v>#REF!</v>
      </c>
      <c r="J157" t="e">
        <f>IF(#REF!="","",#REF!)</f>
        <v>#REF!</v>
      </c>
      <c r="K157" t="e">
        <f>IF(#REF!="","",#REF!)</f>
        <v>#REF!</v>
      </c>
      <c r="L157" t="e">
        <f>IF(#REF!="","",#REF!)</f>
        <v>#REF!</v>
      </c>
      <c r="M157" t="e">
        <f>IF(#REF!="","",#REF!)</f>
        <v>#REF!</v>
      </c>
      <c r="N157" t="e">
        <f>IF(#REF!="","",#REF!)</f>
        <v>#REF!</v>
      </c>
      <c r="O157" t="e">
        <f>IF(#REF!="","",#REF!)</f>
        <v>#REF!</v>
      </c>
      <c r="P157" t="e">
        <f>IF(#REF!="","",#REF!)</f>
        <v>#REF!</v>
      </c>
      <c r="Q157" t="e">
        <f>IF(#REF!="","",#REF!)</f>
        <v>#REF!</v>
      </c>
      <c r="R157" t="e">
        <f>IF(#REF!="","",#REF!)</f>
        <v>#REF!</v>
      </c>
      <c r="S157" t="e">
        <f>IF(#REF!="","",#REF!)</f>
        <v>#REF!</v>
      </c>
    </row>
    <row r="158" spans="1:19" ht="12.75" customHeight="1" x14ac:dyDescent="0.25">
      <c r="A158" t="e">
        <f>IF(#REF!="","",#REF!)</f>
        <v>#REF!</v>
      </c>
      <c r="B158" t="e">
        <f>IF(#REF!="","",#REF!)</f>
        <v>#REF!</v>
      </c>
      <c r="C158" t="e">
        <f>IF(#REF!="","",#REF!)</f>
        <v>#REF!</v>
      </c>
      <c r="D158" t="e">
        <f>IF(#REF!="","",#REF!)</f>
        <v>#REF!</v>
      </c>
      <c r="E158" t="e">
        <f>IF(#REF!="","",#REF!)</f>
        <v>#REF!</v>
      </c>
      <c r="F158" t="e">
        <f>IF(#REF!="","",#REF!)</f>
        <v>#REF!</v>
      </c>
      <c r="G158" t="e">
        <f>IF(#REF!="","",#REF!)</f>
        <v>#REF!</v>
      </c>
      <c r="H158" t="e">
        <f>IF(#REF!="","",#REF!)</f>
        <v>#REF!</v>
      </c>
      <c r="I158" t="e">
        <f>IF(#REF!="","",#REF!)</f>
        <v>#REF!</v>
      </c>
      <c r="J158" t="e">
        <f>IF(#REF!="","",#REF!)</f>
        <v>#REF!</v>
      </c>
      <c r="K158" t="e">
        <f>IF(#REF!="","",#REF!)</f>
        <v>#REF!</v>
      </c>
      <c r="L158" t="e">
        <f>IF(#REF!="","",#REF!)</f>
        <v>#REF!</v>
      </c>
      <c r="M158" t="e">
        <f>IF(#REF!="","",#REF!)</f>
        <v>#REF!</v>
      </c>
      <c r="N158" t="e">
        <f>IF(#REF!="","",#REF!)</f>
        <v>#REF!</v>
      </c>
      <c r="O158" t="e">
        <f>IF(#REF!="","",#REF!)</f>
        <v>#REF!</v>
      </c>
      <c r="P158" t="e">
        <f>IF(#REF!="","",#REF!)</f>
        <v>#REF!</v>
      </c>
      <c r="Q158" t="e">
        <f>IF(#REF!="","",#REF!)</f>
        <v>#REF!</v>
      </c>
      <c r="R158" t="e">
        <f>IF(#REF!="","",#REF!)</f>
        <v>#REF!</v>
      </c>
      <c r="S158" t="e">
        <f>IF(#REF!="","",#REF!)</f>
        <v>#REF!</v>
      </c>
    </row>
    <row r="159" spans="1:19" ht="12.75" customHeight="1" x14ac:dyDescent="0.25">
      <c r="A159" t="e">
        <f>IF(#REF!="","",#REF!)</f>
        <v>#REF!</v>
      </c>
      <c r="B159" t="e">
        <f>IF(#REF!="","",#REF!)</f>
        <v>#REF!</v>
      </c>
      <c r="C159" t="e">
        <f>IF(#REF!="","",#REF!)</f>
        <v>#REF!</v>
      </c>
      <c r="D159" t="e">
        <f>IF(#REF!="","",#REF!)</f>
        <v>#REF!</v>
      </c>
      <c r="E159" t="e">
        <f>IF(#REF!="","",#REF!)</f>
        <v>#REF!</v>
      </c>
      <c r="F159" t="e">
        <f>IF(#REF!="","",#REF!)</f>
        <v>#REF!</v>
      </c>
      <c r="G159" t="e">
        <f>IF(#REF!="","",#REF!)</f>
        <v>#REF!</v>
      </c>
      <c r="H159" t="e">
        <f>IF(#REF!="","",#REF!)</f>
        <v>#REF!</v>
      </c>
      <c r="I159" t="e">
        <f>IF(#REF!="","",#REF!)</f>
        <v>#REF!</v>
      </c>
      <c r="J159" t="e">
        <f>IF(#REF!="","",#REF!)</f>
        <v>#REF!</v>
      </c>
      <c r="K159" t="e">
        <f>IF(#REF!="","",#REF!)</f>
        <v>#REF!</v>
      </c>
      <c r="L159" t="e">
        <f>IF(#REF!="","",#REF!)</f>
        <v>#REF!</v>
      </c>
      <c r="M159" t="e">
        <f>IF(#REF!="","",#REF!)</f>
        <v>#REF!</v>
      </c>
      <c r="N159" t="e">
        <f>IF(#REF!="","",#REF!)</f>
        <v>#REF!</v>
      </c>
      <c r="O159" t="e">
        <f>IF(#REF!="","",#REF!)</f>
        <v>#REF!</v>
      </c>
      <c r="P159" t="e">
        <f>IF(#REF!="","",#REF!)</f>
        <v>#REF!</v>
      </c>
      <c r="Q159" t="e">
        <f>IF(#REF!="","",#REF!)</f>
        <v>#REF!</v>
      </c>
      <c r="R159" t="e">
        <f>IF(#REF!="","",#REF!)</f>
        <v>#REF!</v>
      </c>
      <c r="S159" t="e">
        <f>IF(#REF!="","",#REF!)</f>
        <v>#REF!</v>
      </c>
    </row>
    <row r="160" spans="1:19" ht="12.75" customHeight="1" x14ac:dyDescent="0.25">
      <c r="A160" t="e">
        <f>IF(#REF!="","",#REF!)</f>
        <v>#REF!</v>
      </c>
      <c r="B160" t="e">
        <f>IF(#REF!="","",#REF!)</f>
        <v>#REF!</v>
      </c>
      <c r="C160" t="e">
        <f>IF(#REF!="","",#REF!)</f>
        <v>#REF!</v>
      </c>
      <c r="D160" t="e">
        <f>IF(#REF!="","",#REF!)</f>
        <v>#REF!</v>
      </c>
      <c r="E160" t="e">
        <f>IF(#REF!="","",#REF!)</f>
        <v>#REF!</v>
      </c>
      <c r="F160" t="e">
        <f>IF(#REF!="","",#REF!)</f>
        <v>#REF!</v>
      </c>
      <c r="G160" t="e">
        <f>IF(#REF!="","",#REF!)</f>
        <v>#REF!</v>
      </c>
      <c r="H160" t="e">
        <f>IF(#REF!="","",#REF!)</f>
        <v>#REF!</v>
      </c>
      <c r="I160" t="e">
        <f>IF(#REF!="","",#REF!)</f>
        <v>#REF!</v>
      </c>
      <c r="J160" t="e">
        <f>IF(#REF!="","",#REF!)</f>
        <v>#REF!</v>
      </c>
      <c r="K160" t="e">
        <f>IF(#REF!="","",#REF!)</f>
        <v>#REF!</v>
      </c>
      <c r="L160" t="e">
        <f>IF(#REF!="","",#REF!)</f>
        <v>#REF!</v>
      </c>
      <c r="M160" t="e">
        <f>IF(#REF!="","",#REF!)</f>
        <v>#REF!</v>
      </c>
      <c r="N160" t="e">
        <f>IF(#REF!="","",#REF!)</f>
        <v>#REF!</v>
      </c>
      <c r="O160" t="e">
        <f>IF(#REF!="","",#REF!)</f>
        <v>#REF!</v>
      </c>
      <c r="P160" t="e">
        <f>IF(#REF!="","",#REF!)</f>
        <v>#REF!</v>
      </c>
      <c r="Q160" t="e">
        <f>IF(#REF!="","",#REF!)</f>
        <v>#REF!</v>
      </c>
      <c r="R160" t="e">
        <f>IF(#REF!="","",#REF!)</f>
        <v>#REF!</v>
      </c>
      <c r="S160" t="e">
        <f>IF(#REF!="","",#REF!)</f>
        <v>#REF!</v>
      </c>
    </row>
    <row r="161" spans="1:19" ht="12.75" customHeight="1" x14ac:dyDescent="0.25">
      <c r="A161" t="e">
        <f>IF(#REF!="","",#REF!)</f>
        <v>#REF!</v>
      </c>
      <c r="B161" t="e">
        <f>IF(#REF!="","",#REF!)</f>
        <v>#REF!</v>
      </c>
      <c r="C161" t="e">
        <f>IF(#REF!="","",#REF!)</f>
        <v>#REF!</v>
      </c>
      <c r="D161" t="e">
        <f>IF(#REF!="","",#REF!)</f>
        <v>#REF!</v>
      </c>
      <c r="E161" t="e">
        <f>IF(#REF!="","",#REF!)</f>
        <v>#REF!</v>
      </c>
      <c r="F161" t="e">
        <f>IF(#REF!="","",#REF!)</f>
        <v>#REF!</v>
      </c>
      <c r="G161" t="e">
        <f>IF(#REF!="","",#REF!)</f>
        <v>#REF!</v>
      </c>
      <c r="H161" t="e">
        <f>IF(#REF!="","",#REF!)</f>
        <v>#REF!</v>
      </c>
      <c r="I161" t="e">
        <f>IF(#REF!="","",#REF!)</f>
        <v>#REF!</v>
      </c>
      <c r="J161" t="e">
        <f>IF(#REF!="","",#REF!)</f>
        <v>#REF!</v>
      </c>
      <c r="K161" t="e">
        <f>IF(#REF!="","",#REF!)</f>
        <v>#REF!</v>
      </c>
      <c r="L161" t="e">
        <f>IF(#REF!="","",#REF!)</f>
        <v>#REF!</v>
      </c>
      <c r="M161" t="e">
        <f>IF(#REF!="","",#REF!)</f>
        <v>#REF!</v>
      </c>
      <c r="N161" t="e">
        <f>IF(#REF!="","",#REF!)</f>
        <v>#REF!</v>
      </c>
      <c r="O161" t="e">
        <f>IF(#REF!="","",#REF!)</f>
        <v>#REF!</v>
      </c>
      <c r="P161" t="e">
        <f>IF(#REF!="","",#REF!)</f>
        <v>#REF!</v>
      </c>
      <c r="Q161" t="e">
        <f>IF(#REF!="","",#REF!)</f>
        <v>#REF!</v>
      </c>
      <c r="R161" t="e">
        <f>IF(#REF!="","",#REF!)</f>
        <v>#REF!</v>
      </c>
      <c r="S161" t="e">
        <f>IF(#REF!="","",#REF!)</f>
        <v>#REF!</v>
      </c>
    </row>
    <row r="162" spans="1:19" ht="12.75" customHeight="1" x14ac:dyDescent="0.25">
      <c r="A162" t="e">
        <f>IF(#REF!="","",#REF!)</f>
        <v>#REF!</v>
      </c>
      <c r="B162" t="e">
        <f>IF(#REF!="","",#REF!)</f>
        <v>#REF!</v>
      </c>
      <c r="C162" t="e">
        <f>IF(#REF!="","",#REF!)</f>
        <v>#REF!</v>
      </c>
      <c r="D162" t="e">
        <f>IF(#REF!="","",#REF!)</f>
        <v>#REF!</v>
      </c>
      <c r="E162" t="e">
        <f>IF(#REF!="","",#REF!)</f>
        <v>#REF!</v>
      </c>
      <c r="F162" t="e">
        <f>IF(#REF!="","",#REF!)</f>
        <v>#REF!</v>
      </c>
      <c r="G162" t="e">
        <f>IF(#REF!="","",#REF!)</f>
        <v>#REF!</v>
      </c>
      <c r="H162" t="e">
        <f>IF(#REF!="","",#REF!)</f>
        <v>#REF!</v>
      </c>
      <c r="I162" t="e">
        <f>IF(#REF!="","",#REF!)</f>
        <v>#REF!</v>
      </c>
      <c r="J162" t="e">
        <f>IF(#REF!="","",#REF!)</f>
        <v>#REF!</v>
      </c>
      <c r="K162" t="e">
        <f>IF(#REF!="","",#REF!)</f>
        <v>#REF!</v>
      </c>
      <c r="L162" t="e">
        <f>IF(#REF!="","",#REF!)</f>
        <v>#REF!</v>
      </c>
      <c r="M162" t="e">
        <f>IF(#REF!="","",#REF!)</f>
        <v>#REF!</v>
      </c>
      <c r="N162" t="e">
        <f>IF(#REF!="","",#REF!)</f>
        <v>#REF!</v>
      </c>
      <c r="O162" t="e">
        <f>IF(#REF!="","",#REF!)</f>
        <v>#REF!</v>
      </c>
      <c r="P162" t="e">
        <f>IF(#REF!="","",#REF!)</f>
        <v>#REF!</v>
      </c>
      <c r="Q162" t="e">
        <f>IF(#REF!="","",#REF!)</f>
        <v>#REF!</v>
      </c>
      <c r="R162" t="e">
        <f>IF(#REF!="","",#REF!)</f>
        <v>#REF!</v>
      </c>
      <c r="S162" t="e">
        <f>IF(#REF!="","",#REF!)</f>
        <v>#REF!</v>
      </c>
    </row>
    <row r="163" spans="1:19" ht="12.75" customHeight="1" x14ac:dyDescent="0.25">
      <c r="A163" t="e">
        <f>IF(#REF!="","",#REF!)</f>
        <v>#REF!</v>
      </c>
      <c r="B163" t="e">
        <f>IF(#REF!="","",#REF!)</f>
        <v>#REF!</v>
      </c>
      <c r="C163" t="e">
        <f>IF(#REF!="","",#REF!)</f>
        <v>#REF!</v>
      </c>
      <c r="D163" t="e">
        <f>IF(#REF!="","",#REF!)</f>
        <v>#REF!</v>
      </c>
      <c r="E163" t="e">
        <f>IF(#REF!="","",#REF!)</f>
        <v>#REF!</v>
      </c>
      <c r="F163" t="e">
        <f>IF(#REF!="","",#REF!)</f>
        <v>#REF!</v>
      </c>
      <c r="G163" t="e">
        <f>IF(#REF!="","",#REF!)</f>
        <v>#REF!</v>
      </c>
      <c r="H163" t="e">
        <f>IF(#REF!="","",#REF!)</f>
        <v>#REF!</v>
      </c>
      <c r="I163" t="e">
        <f>IF(#REF!="","",#REF!)</f>
        <v>#REF!</v>
      </c>
      <c r="J163" t="e">
        <f>IF(#REF!="","",#REF!)</f>
        <v>#REF!</v>
      </c>
      <c r="K163" t="e">
        <f>IF(#REF!="","",#REF!)</f>
        <v>#REF!</v>
      </c>
      <c r="L163" t="e">
        <f>IF(#REF!="","",#REF!)</f>
        <v>#REF!</v>
      </c>
      <c r="M163" t="e">
        <f>IF(#REF!="","",#REF!)</f>
        <v>#REF!</v>
      </c>
      <c r="N163" t="e">
        <f>IF(#REF!="","",#REF!)</f>
        <v>#REF!</v>
      </c>
      <c r="O163" t="e">
        <f>IF(#REF!="","",#REF!)</f>
        <v>#REF!</v>
      </c>
      <c r="P163" t="e">
        <f>IF(#REF!="","",#REF!)</f>
        <v>#REF!</v>
      </c>
      <c r="Q163" t="e">
        <f>IF(#REF!="","",#REF!)</f>
        <v>#REF!</v>
      </c>
      <c r="R163" t="e">
        <f>IF(#REF!="","",#REF!)</f>
        <v>#REF!</v>
      </c>
      <c r="S163" t="e">
        <f>IF(#REF!="","",#REF!)</f>
        <v>#REF!</v>
      </c>
    </row>
    <row r="164" spans="1:19" ht="12.75" customHeight="1" x14ac:dyDescent="0.25">
      <c r="A164" t="e">
        <f>IF(#REF!="","",#REF!)</f>
        <v>#REF!</v>
      </c>
      <c r="B164" t="e">
        <f>IF(#REF!="","",#REF!)</f>
        <v>#REF!</v>
      </c>
      <c r="C164" t="e">
        <f>IF(#REF!="","",#REF!)</f>
        <v>#REF!</v>
      </c>
      <c r="D164" t="e">
        <f>IF(#REF!="","",#REF!)</f>
        <v>#REF!</v>
      </c>
      <c r="E164" t="e">
        <f>IF(#REF!="","",#REF!)</f>
        <v>#REF!</v>
      </c>
      <c r="F164" t="e">
        <f>IF(#REF!="","",#REF!)</f>
        <v>#REF!</v>
      </c>
      <c r="G164" t="e">
        <f>IF(#REF!="","",#REF!)</f>
        <v>#REF!</v>
      </c>
      <c r="H164" t="e">
        <f>IF(#REF!="","",#REF!)</f>
        <v>#REF!</v>
      </c>
      <c r="I164" t="e">
        <f>IF(#REF!="","",#REF!)</f>
        <v>#REF!</v>
      </c>
      <c r="J164" t="e">
        <f>IF(#REF!="","",#REF!)</f>
        <v>#REF!</v>
      </c>
      <c r="K164" t="e">
        <f>IF(#REF!="","",#REF!)</f>
        <v>#REF!</v>
      </c>
      <c r="L164" t="e">
        <f>IF(#REF!="","",#REF!)</f>
        <v>#REF!</v>
      </c>
      <c r="M164" t="e">
        <f>IF(#REF!="","",#REF!)</f>
        <v>#REF!</v>
      </c>
      <c r="N164" t="e">
        <f>IF(#REF!="","",#REF!)</f>
        <v>#REF!</v>
      </c>
      <c r="O164" t="e">
        <f>IF(#REF!="","",#REF!)</f>
        <v>#REF!</v>
      </c>
      <c r="P164" t="e">
        <f>IF(#REF!="","",#REF!)</f>
        <v>#REF!</v>
      </c>
      <c r="Q164" t="e">
        <f>IF(#REF!="","",#REF!)</f>
        <v>#REF!</v>
      </c>
      <c r="R164" t="e">
        <f>IF(#REF!="","",#REF!)</f>
        <v>#REF!</v>
      </c>
      <c r="S164" t="e">
        <f>IF(#REF!="","",#REF!)</f>
        <v>#REF!</v>
      </c>
    </row>
    <row r="165" spans="1:19" ht="12.75" customHeight="1" x14ac:dyDescent="0.25">
      <c r="A165" t="e">
        <f>IF(#REF!="","",#REF!)</f>
        <v>#REF!</v>
      </c>
      <c r="B165" t="e">
        <f>IF(#REF!="","",#REF!)</f>
        <v>#REF!</v>
      </c>
      <c r="C165" t="e">
        <f>IF(#REF!="","",#REF!)</f>
        <v>#REF!</v>
      </c>
      <c r="D165" t="e">
        <f>IF(#REF!="","",#REF!)</f>
        <v>#REF!</v>
      </c>
      <c r="E165" t="e">
        <f>IF(#REF!="","",#REF!)</f>
        <v>#REF!</v>
      </c>
      <c r="F165" t="e">
        <f>IF(#REF!="","",#REF!)</f>
        <v>#REF!</v>
      </c>
      <c r="G165" t="e">
        <f>IF(#REF!="","",#REF!)</f>
        <v>#REF!</v>
      </c>
      <c r="H165" t="e">
        <f>IF(#REF!="","",#REF!)</f>
        <v>#REF!</v>
      </c>
      <c r="I165" t="e">
        <f>IF(#REF!="","",#REF!)</f>
        <v>#REF!</v>
      </c>
      <c r="J165" t="e">
        <f>IF(#REF!="","",#REF!)</f>
        <v>#REF!</v>
      </c>
      <c r="K165" t="e">
        <f>IF(#REF!="","",#REF!)</f>
        <v>#REF!</v>
      </c>
      <c r="L165" t="e">
        <f>IF(#REF!="","",#REF!)</f>
        <v>#REF!</v>
      </c>
      <c r="M165" t="e">
        <f>IF(#REF!="","",#REF!)</f>
        <v>#REF!</v>
      </c>
      <c r="N165" t="e">
        <f>IF(#REF!="","",#REF!)</f>
        <v>#REF!</v>
      </c>
      <c r="O165" t="e">
        <f>IF(#REF!="","",#REF!)</f>
        <v>#REF!</v>
      </c>
      <c r="P165" t="e">
        <f>IF(#REF!="","",#REF!)</f>
        <v>#REF!</v>
      </c>
      <c r="Q165" t="e">
        <f>IF(#REF!="","",#REF!)</f>
        <v>#REF!</v>
      </c>
      <c r="R165" t="e">
        <f>IF(#REF!="","",#REF!)</f>
        <v>#REF!</v>
      </c>
      <c r="S165" t="e">
        <f>IF(#REF!="","",#REF!)</f>
        <v>#REF!</v>
      </c>
    </row>
    <row r="166" spans="1:19" ht="12.75" customHeight="1" x14ac:dyDescent="0.25">
      <c r="A166" t="e">
        <f>IF(#REF!="","",#REF!)</f>
        <v>#REF!</v>
      </c>
      <c r="B166" t="e">
        <f>IF(#REF!="","",#REF!)</f>
        <v>#REF!</v>
      </c>
      <c r="C166" t="e">
        <f>IF(#REF!="","",#REF!)</f>
        <v>#REF!</v>
      </c>
      <c r="D166" t="e">
        <f>IF(#REF!="","",#REF!)</f>
        <v>#REF!</v>
      </c>
      <c r="E166" t="e">
        <f>IF(#REF!="","",#REF!)</f>
        <v>#REF!</v>
      </c>
      <c r="F166" t="e">
        <f>IF(#REF!="","",#REF!)</f>
        <v>#REF!</v>
      </c>
      <c r="G166" t="e">
        <f>IF(#REF!="","",#REF!)</f>
        <v>#REF!</v>
      </c>
      <c r="H166" t="e">
        <f>IF(#REF!="","",#REF!)</f>
        <v>#REF!</v>
      </c>
      <c r="I166" t="e">
        <f>IF(#REF!="","",#REF!)</f>
        <v>#REF!</v>
      </c>
      <c r="J166" t="e">
        <f>IF(#REF!="","",#REF!)</f>
        <v>#REF!</v>
      </c>
      <c r="K166" t="e">
        <f>IF(#REF!="","",#REF!)</f>
        <v>#REF!</v>
      </c>
      <c r="L166" t="e">
        <f>IF(#REF!="","",#REF!)</f>
        <v>#REF!</v>
      </c>
      <c r="M166" t="e">
        <f>IF(#REF!="","",#REF!)</f>
        <v>#REF!</v>
      </c>
      <c r="N166" t="e">
        <f>IF(#REF!="","",#REF!)</f>
        <v>#REF!</v>
      </c>
      <c r="O166" t="e">
        <f>IF(#REF!="","",#REF!)</f>
        <v>#REF!</v>
      </c>
      <c r="P166" t="e">
        <f>IF(#REF!="","",#REF!)</f>
        <v>#REF!</v>
      </c>
      <c r="Q166" t="e">
        <f>IF(#REF!="","",#REF!)</f>
        <v>#REF!</v>
      </c>
      <c r="R166" t="e">
        <f>IF(#REF!="","",#REF!)</f>
        <v>#REF!</v>
      </c>
      <c r="S166" t="e">
        <f>IF(#REF!="","",#REF!)</f>
        <v>#REF!</v>
      </c>
    </row>
    <row r="167" spans="1:19" ht="12.75" customHeight="1" x14ac:dyDescent="0.25">
      <c r="A167" t="e">
        <f>IF(#REF!="","",#REF!)</f>
        <v>#REF!</v>
      </c>
      <c r="B167" t="e">
        <f>IF(#REF!="","",#REF!)</f>
        <v>#REF!</v>
      </c>
      <c r="C167" t="e">
        <f>IF(#REF!="","",#REF!)</f>
        <v>#REF!</v>
      </c>
      <c r="D167" t="e">
        <f>IF(#REF!="","",#REF!)</f>
        <v>#REF!</v>
      </c>
      <c r="E167" t="e">
        <f>IF(#REF!="","",#REF!)</f>
        <v>#REF!</v>
      </c>
      <c r="F167" t="e">
        <f>IF(#REF!="","",#REF!)</f>
        <v>#REF!</v>
      </c>
      <c r="G167" t="e">
        <f>IF(#REF!="","",#REF!)</f>
        <v>#REF!</v>
      </c>
      <c r="H167" t="e">
        <f>IF(#REF!="","",#REF!)</f>
        <v>#REF!</v>
      </c>
      <c r="I167" t="e">
        <f>IF(#REF!="","",#REF!)</f>
        <v>#REF!</v>
      </c>
      <c r="J167" t="e">
        <f>IF(#REF!="","",#REF!)</f>
        <v>#REF!</v>
      </c>
      <c r="K167" t="e">
        <f>IF(#REF!="","",#REF!)</f>
        <v>#REF!</v>
      </c>
      <c r="L167" t="e">
        <f>IF(#REF!="","",#REF!)</f>
        <v>#REF!</v>
      </c>
      <c r="M167" t="e">
        <f>IF(#REF!="","",#REF!)</f>
        <v>#REF!</v>
      </c>
      <c r="N167" t="e">
        <f>IF(#REF!="","",#REF!)</f>
        <v>#REF!</v>
      </c>
      <c r="O167" t="e">
        <f>IF(#REF!="","",#REF!)</f>
        <v>#REF!</v>
      </c>
      <c r="P167" t="e">
        <f>IF(#REF!="","",#REF!)</f>
        <v>#REF!</v>
      </c>
      <c r="Q167" t="e">
        <f>IF(#REF!="","",#REF!)</f>
        <v>#REF!</v>
      </c>
      <c r="R167" t="e">
        <f>IF(#REF!="","",#REF!)</f>
        <v>#REF!</v>
      </c>
      <c r="S167" t="e">
        <f>IF(#REF!="","",#REF!)</f>
        <v>#REF!</v>
      </c>
    </row>
    <row r="168" spans="1:19" ht="12.75" customHeight="1" x14ac:dyDescent="0.25">
      <c r="A168" t="e">
        <f>IF(#REF!="","",#REF!)</f>
        <v>#REF!</v>
      </c>
      <c r="B168" t="e">
        <f>IF(#REF!="","",#REF!)</f>
        <v>#REF!</v>
      </c>
      <c r="C168" t="e">
        <f>IF(#REF!="","",#REF!)</f>
        <v>#REF!</v>
      </c>
      <c r="D168" t="e">
        <f>IF(#REF!="","",#REF!)</f>
        <v>#REF!</v>
      </c>
      <c r="E168" t="e">
        <f>IF(#REF!="","",#REF!)</f>
        <v>#REF!</v>
      </c>
      <c r="F168" t="e">
        <f>IF(#REF!="","",#REF!)</f>
        <v>#REF!</v>
      </c>
      <c r="G168" t="e">
        <f>IF(#REF!="","",#REF!)</f>
        <v>#REF!</v>
      </c>
      <c r="H168" t="e">
        <f>IF(#REF!="","",#REF!)</f>
        <v>#REF!</v>
      </c>
      <c r="I168" t="e">
        <f>IF(#REF!="","",#REF!)</f>
        <v>#REF!</v>
      </c>
      <c r="J168" t="e">
        <f>IF(#REF!="","",#REF!)</f>
        <v>#REF!</v>
      </c>
      <c r="K168" t="e">
        <f>IF(#REF!="","",#REF!)</f>
        <v>#REF!</v>
      </c>
      <c r="L168" t="e">
        <f>IF(#REF!="","",#REF!)</f>
        <v>#REF!</v>
      </c>
      <c r="M168" t="e">
        <f>IF(#REF!="","",#REF!)</f>
        <v>#REF!</v>
      </c>
      <c r="N168" t="e">
        <f>IF(#REF!="","",#REF!)</f>
        <v>#REF!</v>
      </c>
      <c r="O168" t="e">
        <f>IF(#REF!="","",#REF!)</f>
        <v>#REF!</v>
      </c>
      <c r="P168" t="e">
        <f>IF(#REF!="","",#REF!)</f>
        <v>#REF!</v>
      </c>
      <c r="Q168" t="e">
        <f>IF(#REF!="","",#REF!)</f>
        <v>#REF!</v>
      </c>
      <c r="R168" t="e">
        <f>IF(#REF!="","",#REF!)</f>
        <v>#REF!</v>
      </c>
      <c r="S168" t="e">
        <f>IF(#REF!="","",#REF!)</f>
        <v>#REF!</v>
      </c>
    </row>
    <row r="169" spans="1:19" ht="12.75" customHeight="1" x14ac:dyDescent="0.25">
      <c r="A169" t="e">
        <f>IF(#REF!="","",#REF!)</f>
        <v>#REF!</v>
      </c>
      <c r="B169" t="e">
        <f>IF(#REF!="","",#REF!)</f>
        <v>#REF!</v>
      </c>
      <c r="C169" t="e">
        <f>IF(#REF!="","",#REF!)</f>
        <v>#REF!</v>
      </c>
      <c r="D169" t="e">
        <f>IF(#REF!="","",#REF!)</f>
        <v>#REF!</v>
      </c>
      <c r="E169" t="e">
        <f>IF(#REF!="","",#REF!)</f>
        <v>#REF!</v>
      </c>
      <c r="F169" t="e">
        <f>IF(#REF!="","",#REF!)</f>
        <v>#REF!</v>
      </c>
      <c r="G169" t="e">
        <f>IF(#REF!="","",#REF!)</f>
        <v>#REF!</v>
      </c>
      <c r="H169" t="e">
        <f>IF(#REF!="","",#REF!)</f>
        <v>#REF!</v>
      </c>
      <c r="I169" t="e">
        <f>IF(#REF!="","",#REF!)</f>
        <v>#REF!</v>
      </c>
      <c r="J169" t="e">
        <f>IF(#REF!="","",#REF!)</f>
        <v>#REF!</v>
      </c>
      <c r="K169" t="e">
        <f>IF(#REF!="","",#REF!)</f>
        <v>#REF!</v>
      </c>
      <c r="L169" t="e">
        <f>IF(#REF!="","",#REF!)</f>
        <v>#REF!</v>
      </c>
      <c r="M169" t="e">
        <f>IF(#REF!="","",#REF!)</f>
        <v>#REF!</v>
      </c>
      <c r="N169" t="e">
        <f>IF(#REF!="","",#REF!)</f>
        <v>#REF!</v>
      </c>
      <c r="O169" t="e">
        <f>IF(#REF!="","",#REF!)</f>
        <v>#REF!</v>
      </c>
      <c r="P169" t="e">
        <f>IF(#REF!="","",#REF!)</f>
        <v>#REF!</v>
      </c>
      <c r="Q169" t="e">
        <f>IF(#REF!="","",#REF!)</f>
        <v>#REF!</v>
      </c>
      <c r="R169" t="e">
        <f>IF(#REF!="","",#REF!)</f>
        <v>#REF!</v>
      </c>
      <c r="S169" t="e">
        <f>IF(#REF!="","",#REF!)</f>
        <v>#REF!</v>
      </c>
    </row>
    <row r="170" spans="1:19" ht="12.75" customHeight="1" x14ac:dyDescent="0.25">
      <c r="A170" t="e">
        <f>IF(#REF!="","",#REF!)</f>
        <v>#REF!</v>
      </c>
      <c r="B170" t="e">
        <f>IF(#REF!="","",#REF!)</f>
        <v>#REF!</v>
      </c>
      <c r="C170" t="e">
        <f>IF(#REF!="","",#REF!)</f>
        <v>#REF!</v>
      </c>
      <c r="D170" t="e">
        <f>IF(#REF!="","",#REF!)</f>
        <v>#REF!</v>
      </c>
      <c r="E170" t="e">
        <f>IF(#REF!="","",#REF!)</f>
        <v>#REF!</v>
      </c>
      <c r="F170" t="e">
        <f>IF(#REF!="","",#REF!)</f>
        <v>#REF!</v>
      </c>
      <c r="G170" t="e">
        <f>IF(#REF!="","",#REF!)</f>
        <v>#REF!</v>
      </c>
      <c r="H170" t="e">
        <f>IF(#REF!="","",#REF!)</f>
        <v>#REF!</v>
      </c>
      <c r="I170" t="e">
        <f>IF(#REF!="","",#REF!)</f>
        <v>#REF!</v>
      </c>
      <c r="J170" t="e">
        <f>IF(#REF!="","",#REF!)</f>
        <v>#REF!</v>
      </c>
      <c r="K170" t="e">
        <f>IF(#REF!="","",#REF!)</f>
        <v>#REF!</v>
      </c>
      <c r="L170" t="e">
        <f>IF(#REF!="","",#REF!)</f>
        <v>#REF!</v>
      </c>
      <c r="M170" t="e">
        <f>IF(#REF!="","",#REF!)</f>
        <v>#REF!</v>
      </c>
      <c r="N170" t="e">
        <f>IF(#REF!="","",#REF!)</f>
        <v>#REF!</v>
      </c>
      <c r="O170" t="e">
        <f>IF(#REF!="","",#REF!)</f>
        <v>#REF!</v>
      </c>
      <c r="P170" t="e">
        <f>IF(#REF!="","",#REF!)</f>
        <v>#REF!</v>
      </c>
      <c r="Q170" t="e">
        <f>IF(#REF!="","",#REF!)</f>
        <v>#REF!</v>
      </c>
      <c r="R170" t="e">
        <f>IF(#REF!="","",#REF!)</f>
        <v>#REF!</v>
      </c>
      <c r="S170" t="e">
        <f>IF(#REF!="","",#REF!)</f>
        <v>#REF!</v>
      </c>
    </row>
    <row r="171" spans="1:19" ht="12.75" customHeight="1" x14ac:dyDescent="0.25">
      <c r="A171" t="e">
        <f>IF(#REF!="","",#REF!)</f>
        <v>#REF!</v>
      </c>
      <c r="B171" t="e">
        <f>IF(#REF!="","",#REF!)</f>
        <v>#REF!</v>
      </c>
      <c r="C171" t="e">
        <f>IF(#REF!="","",#REF!)</f>
        <v>#REF!</v>
      </c>
      <c r="D171" t="e">
        <f>IF(#REF!="","",#REF!)</f>
        <v>#REF!</v>
      </c>
      <c r="E171" t="e">
        <f>IF(#REF!="","",#REF!)</f>
        <v>#REF!</v>
      </c>
      <c r="F171" t="e">
        <f>IF(#REF!="","",#REF!)</f>
        <v>#REF!</v>
      </c>
      <c r="G171" t="e">
        <f>IF(#REF!="","",#REF!)</f>
        <v>#REF!</v>
      </c>
      <c r="H171" t="e">
        <f>IF(#REF!="","",#REF!)</f>
        <v>#REF!</v>
      </c>
      <c r="I171" t="e">
        <f>IF(#REF!="","",#REF!)</f>
        <v>#REF!</v>
      </c>
      <c r="J171" t="e">
        <f>IF(#REF!="","",#REF!)</f>
        <v>#REF!</v>
      </c>
      <c r="K171" t="e">
        <f>IF(#REF!="","",#REF!)</f>
        <v>#REF!</v>
      </c>
      <c r="L171" t="e">
        <f>IF(#REF!="","",#REF!)</f>
        <v>#REF!</v>
      </c>
      <c r="M171" t="e">
        <f>IF(#REF!="","",#REF!)</f>
        <v>#REF!</v>
      </c>
      <c r="N171" t="e">
        <f>IF(#REF!="","",#REF!)</f>
        <v>#REF!</v>
      </c>
      <c r="O171" t="e">
        <f>IF(#REF!="","",#REF!)</f>
        <v>#REF!</v>
      </c>
      <c r="P171" t="e">
        <f>IF(#REF!="","",#REF!)</f>
        <v>#REF!</v>
      </c>
      <c r="Q171" t="e">
        <f>IF(#REF!="","",#REF!)</f>
        <v>#REF!</v>
      </c>
      <c r="R171" t="e">
        <f>IF(#REF!="","",#REF!)</f>
        <v>#REF!</v>
      </c>
      <c r="S171" t="e">
        <f>IF(#REF!="","",#REF!)</f>
        <v>#REF!</v>
      </c>
    </row>
    <row r="172" spans="1:19" ht="12.75" customHeight="1" x14ac:dyDescent="0.25">
      <c r="A172" t="e">
        <f>IF(#REF!="","",#REF!)</f>
        <v>#REF!</v>
      </c>
      <c r="B172" t="e">
        <f>IF(#REF!="","",#REF!)</f>
        <v>#REF!</v>
      </c>
      <c r="C172" t="e">
        <f>IF(#REF!="","",#REF!)</f>
        <v>#REF!</v>
      </c>
      <c r="D172" t="e">
        <f>IF(#REF!="","",#REF!)</f>
        <v>#REF!</v>
      </c>
      <c r="E172" t="e">
        <f>IF(#REF!="","",#REF!)</f>
        <v>#REF!</v>
      </c>
      <c r="F172" t="e">
        <f>IF(#REF!="","",#REF!)</f>
        <v>#REF!</v>
      </c>
      <c r="G172" t="e">
        <f>IF(#REF!="","",#REF!)</f>
        <v>#REF!</v>
      </c>
      <c r="H172" t="e">
        <f>IF(#REF!="","",#REF!)</f>
        <v>#REF!</v>
      </c>
      <c r="I172" t="e">
        <f>IF(#REF!="","",#REF!)</f>
        <v>#REF!</v>
      </c>
      <c r="J172" t="e">
        <f>IF(#REF!="","",#REF!)</f>
        <v>#REF!</v>
      </c>
      <c r="K172" t="e">
        <f>IF(#REF!="","",#REF!)</f>
        <v>#REF!</v>
      </c>
      <c r="L172" t="e">
        <f>IF(#REF!="","",#REF!)</f>
        <v>#REF!</v>
      </c>
      <c r="M172" t="e">
        <f>IF(#REF!="","",#REF!)</f>
        <v>#REF!</v>
      </c>
      <c r="N172" t="e">
        <f>IF(#REF!="","",#REF!)</f>
        <v>#REF!</v>
      </c>
      <c r="O172" t="e">
        <f>IF(#REF!="","",#REF!)</f>
        <v>#REF!</v>
      </c>
      <c r="P172" t="e">
        <f>IF(#REF!="","",#REF!)</f>
        <v>#REF!</v>
      </c>
      <c r="Q172" t="e">
        <f>IF(#REF!="","",#REF!)</f>
        <v>#REF!</v>
      </c>
      <c r="R172" t="e">
        <f>IF(#REF!="","",#REF!)</f>
        <v>#REF!</v>
      </c>
      <c r="S172" t="e">
        <f>IF(#REF!="","",#REF!)</f>
        <v>#REF!</v>
      </c>
    </row>
  </sheetData>
  <pageMargins left="0.78749999999999998" right="0.78749999999999998" top="1.05277777777778" bottom="1.05277777777778" header="0" footer="0"/>
  <pageSetup firstPageNumber="0" orientation="portrait" horizontalDpi="300" verticalDpi="300"/>
  <headerFooter>
    <oddHeader>&amp;C&amp;A</oddHeader>
    <oddFooter>&amp;CPágina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EN263"/>
  <sheetViews>
    <sheetView zoomScaleNormal="100" workbookViewId="0"/>
  </sheetViews>
  <sheetFormatPr baseColWidth="10" defaultColWidth="14.44140625" defaultRowHeight="13.2" x14ac:dyDescent="0.25"/>
  <cols>
    <col min="1" max="1" width="12.33203125" customWidth="1"/>
    <col min="2" max="2" width="27" customWidth="1"/>
    <col min="3" max="3" width="3" customWidth="1"/>
    <col min="4" max="4" width="8" customWidth="1"/>
    <col min="5" max="5" width="31" customWidth="1"/>
    <col min="6" max="144" width="11.33203125" customWidth="1"/>
  </cols>
  <sheetData>
    <row r="3" spans="2:144" ht="12.75" customHeight="1" x14ac:dyDescent="0.25">
      <c r="B3" s="134"/>
      <c r="E3" s="134"/>
      <c r="F3" s="155"/>
      <c r="G3" s="155"/>
      <c r="H3" s="155"/>
      <c r="I3" s="155"/>
      <c r="J3" s="155"/>
      <c r="K3" s="155"/>
      <c r="L3" s="155"/>
      <c r="M3" s="155"/>
      <c r="N3" s="155"/>
      <c r="S3" t="s">
        <v>7</v>
      </c>
      <c r="T3" t="s">
        <v>8</v>
      </c>
      <c r="U3" t="s">
        <v>2677</v>
      </c>
      <c r="V3" t="s">
        <v>9</v>
      </c>
      <c r="W3" t="s">
        <v>10</v>
      </c>
      <c r="X3" t="s">
        <v>2678</v>
      </c>
      <c r="Y3" t="s">
        <v>2679</v>
      </c>
      <c r="Z3" t="s">
        <v>2680</v>
      </c>
      <c r="AF3" t="s">
        <v>12</v>
      </c>
      <c r="AG3" t="s">
        <v>13</v>
      </c>
      <c r="AH3" t="s">
        <v>14</v>
      </c>
      <c r="AI3" t="s">
        <v>15</v>
      </c>
      <c r="AJ3" t="s">
        <v>16</v>
      </c>
      <c r="AK3" t="s">
        <v>2681</v>
      </c>
      <c r="AL3" t="s">
        <v>2682</v>
      </c>
      <c r="AR3" t="s">
        <v>18</v>
      </c>
      <c r="AS3" t="s">
        <v>19</v>
      </c>
      <c r="AT3" t="s">
        <v>20</v>
      </c>
      <c r="AU3" t="s">
        <v>2683</v>
      </c>
      <c r="BC3" t="s">
        <v>23</v>
      </c>
      <c r="BD3" t="s">
        <v>24</v>
      </c>
      <c r="BE3" t="s">
        <v>2684</v>
      </c>
      <c r="BF3" t="s">
        <v>25</v>
      </c>
      <c r="BG3" t="s">
        <v>26</v>
      </c>
      <c r="BH3" t="s">
        <v>2685</v>
      </c>
      <c r="BI3" t="s">
        <v>2686</v>
      </c>
      <c r="BJ3" t="s">
        <v>2687</v>
      </c>
      <c r="BK3" t="s">
        <v>2688</v>
      </c>
      <c r="BQ3" t="s">
        <v>28</v>
      </c>
      <c r="BR3" t="s">
        <v>2689</v>
      </c>
      <c r="BS3" t="s">
        <v>2690</v>
      </c>
      <c r="BY3" t="s">
        <v>2691</v>
      </c>
      <c r="BZ3" t="s">
        <v>2692</v>
      </c>
      <c r="CH3" t="s">
        <v>31</v>
      </c>
      <c r="CI3" t="s">
        <v>32</v>
      </c>
      <c r="CJ3" t="s">
        <v>2693</v>
      </c>
      <c r="CK3" t="s">
        <v>2694</v>
      </c>
      <c r="CL3" t="s">
        <v>34</v>
      </c>
      <c r="CM3" t="s">
        <v>33</v>
      </c>
      <c r="CN3" t="s">
        <v>35</v>
      </c>
      <c r="CO3" t="s">
        <v>2695</v>
      </c>
      <c r="CP3" t="s">
        <v>2696</v>
      </c>
      <c r="DJ3" t="s">
        <v>40</v>
      </c>
      <c r="DK3" t="s">
        <v>41</v>
      </c>
      <c r="DL3" t="s">
        <v>2697</v>
      </c>
      <c r="DM3" t="s">
        <v>2698</v>
      </c>
      <c r="DQ3" t="s">
        <v>2699</v>
      </c>
      <c r="DR3" t="s">
        <v>43</v>
      </c>
      <c r="DS3" t="s">
        <v>2700</v>
      </c>
      <c r="DY3" t="s">
        <v>2701</v>
      </c>
      <c r="DZ3" t="s">
        <v>45</v>
      </c>
      <c r="EA3" t="s">
        <v>2702</v>
      </c>
      <c r="EB3" t="s">
        <v>2703</v>
      </c>
      <c r="EE3" t="s">
        <v>46</v>
      </c>
      <c r="EF3" t="s">
        <v>2695</v>
      </c>
      <c r="EG3" t="s">
        <v>2704</v>
      </c>
      <c r="EH3" t="s">
        <v>2705</v>
      </c>
      <c r="EI3" t="s">
        <v>2706</v>
      </c>
      <c r="EJ3" t="s">
        <v>2707</v>
      </c>
      <c r="EN3" t="s">
        <v>47</v>
      </c>
    </row>
    <row r="4" spans="2:144" ht="12.75" customHeight="1" x14ac:dyDescent="0.25">
      <c r="B4" s="134"/>
      <c r="E4" s="134"/>
      <c r="F4" s="155"/>
      <c r="G4" s="155"/>
      <c r="H4" s="155"/>
      <c r="I4" s="155"/>
      <c r="J4" s="155"/>
      <c r="K4" s="155"/>
      <c r="L4" s="155"/>
      <c r="M4" s="155"/>
      <c r="N4" s="155"/>
      <c r="S4">
        <v>1</v>
      </c>
      <c r="T4">
        <v>2</v>
      </c>
      <c r="U4">
        <v>3</v>
      </c>
      <c r="V4">
        <v>4</v>
      </c>
      <c r="W4">
        <v>5</v>
      </c>
      <c r="X4">
        <v>6</v>
      </c>
      <c r="Y4">
        <v>7</v>
      </c>
      <c r="Z4">
        <v>8</v>
      </c>
      <c r="AF4">
        <v>9</v>
      </c>
      <c r="AG4">
        <v>10</v>
      </c>
      <c r="AH4">
        <v>11</v>
      </c>
      <c r="AI4">
        <v>12</v>
      </c>
      <c r="AJ4">
        <v>13</v>
      </c>
      <c r="AK4">
        <v>14</v>
      </c>
      <c r="AL4">
        <v>15</v>
      </c>
      <c r="AR4">
        <v>16</v>
      </c>
      <c r="AS4">
        <v>17</v>
      </c>
      <c r="AT4">
        <v>18</v>
      </c>
      <c r="AU4">
        <v>19</v>
      </c>
      <c r="BC4">
        <v>20</v>
      </c>
      <c r="BD4">
        <v>21</v>
      </c>
      <c r="BE4">
        <v>22</v>
      </c>
      <c r="BF4">
        <v>23</v>
      </c>
      <c r="BG4">
        <v>24</v>
      </c>
      <c r="BH4">
        <v>25</v>
      </c>
      <c r="BI4">
        <v>26</v>
      </c>
      <c r="BJ4">
        <v>27</v>
      </c>
      <c r="BK4">
        <v>28</v>
      </c>
      <c r="BL4">
        <v>29</v>
      </c>
      <c r="BQ4">
        <v>29</v>
      </c>
      <c r="BR4">
        <v>30</v>
      </c>
      <c r="BS4">
        <v>31</v>
      </c>
      <c r="BY4">
        <v>32</v>
      </c>
      <c r="BZ4">
        <v>33</v>
      </c>
      <c r="CH4">
        <v>34</v>
      </c>
      <c r="CI4">
        <v>35</v>
      </c>
      <c r="CJ4">
        <v>36</v>
      </c>
      <c r="CK4">
        <v>37</v>
      </c>
      <c r="CL4">
        <v>38</v>
      </c>
      <c r="CM4">
        <v>39</v>
      </c>
      <c r="CN4">
        <v>40</v>
      </c>
      <c r="CO4">
        <v>41</v>
      </c>
      <c r="CP4">
        <v>42</v>
      </c>
      <c r="DJ4">
        <v>43</v>
      </c>
      <c r="DK4">
        <v>44</v>
      </c>
      <c r="DL4">
        <v>45</v>
      </c>
      <c r="DM4">
        <v>46</v>
      </c>
      <c r="DQ4">
        <v>47</v>
      </c>
      <c r="DR4">
        <v>48</v>
      </c>
      <c r="DS4">
        <v>49</v>
      </c>
      <c r="DY4">
        <v>50</v>
      </c>
      <c r="DZ4">
        <v>51</v>
      </c>
      <c r="EA4">
        <v>52</v>
      </c>
      <c r="EB4">
        <v>53</v>
      </c>
      <c r="EE4">
        <v>54</v>
      </c>
      <c r="EF4">
        <v>55</v>
      </c>
      <c r="EG4">
        <v>56</v>
      </c>
      <c r="EH4">
        <v>57</v>
      </c>
      <c r="EI4">
        <v>58</v>
      </c>
      <c r="EJ4">
        <v>59</v>
      </c>
      <c r="EN4">
        <v>60</v>
      </c>
    </row>
    <row r="5" spans="2:144" ht="12.75" customHeight="1" x14ac:dyDescent="0.25">
      <c r="B5" s="134"/>
      <c r="E5" s="134"/>
      <c r="F5" s="155"/>
      <c r="G5" s="155"/>
      <c r="H5" s="155"/>
      <c r="I5" s="155"/>
      <c r="J5" s="155"/>
      <c r="K5" s="155"/>
      <c r="L5" s="155"/>
      <c r="M5" s="155"/>
      <c r="N5" s="155"/>
    </row>
    <row r="6" spans="2:144" ht="12.75" customHeight="1" x14ac:dyDescent="0.25">
      <c r="B6" s="134"/>
      <c r="E6" s="310">
        <f>Bal!B6</f>
        <v>0</v>
      </c>
      <c r="F6" s="311">
        <f>Bal!C6</f>
        <v>0</v>
      </c>
      <c r="G6" s="311">
        <f>Bal!D6</f>
        <v>0</v>
      </c>
      <c r="H6" s="311" t="str">
        <f>Bal!E6</f>
        <v>2007</v>
      </c>
      <c r="I6" s="311" t="str">
        <f>Bal!F6</f>
        <v>%</v>
      </c>
      <c r="J6" s="311" t="str">
        <f>Bal!G6</f>
        <v>2008</v>
      </c>
      <c r="K6" s="311" t="str">
        <f>Bal!H6</f>
        <v>%</v>
      </c>
      <c r="L6" s="311" t="str">
        <f>Bal!I6</f>
        <v>Jun -</v>
      </c>
      <c r="M6" s="311" t="str">
        <f>Bal!J6</f>
        <v>2009</v>
      </c>
      <c r="N6" s="311" t="str">
        <f>Bal!K6</f>
        <v>%</v>
      </c>
    </row>
    <row r="7" spans="2:144" ht="12.75" customHeight="1" x14ac:dyDescent="0.25">
      <c r="B7" s="134"/>
      <c r="D7" s="134"/>
      <c r="E7" s="310">
        <f>Bal!B7</f>
        <v>0</v>
      </c>
      <c r="F7" s="311">
        <f>Bal!C7</f>
        <v>0</v>
      </c>
      <c r="G7" s="311">
        <f>Bal!D7</f>
        <v>0</v>
      </c>
      <c r="H7" s="311">
        <f>Bal!E7</f>
        <v>0</v>
      </c>
      <c r="I7" s="311">
        <f>Bal!F7</f>
        <v>0</v>
      </c>
      <c r="J7" s="311">
        <f>Bal!G7</f>
        <v>0</v>
      </c>
      <c r="K7" s="311">
        <f>Bal!H7</f>
        <v>0</v>
      </c>
      <c r="L7" s="311">
        <f>Bal!I7</f>
        <v>0</v>
      </c>
      <c r="M7" s="311">
        <f>Bal!J7</f>
        <v>0</v>
      </c>
      <c r="N7" s="311">
        <f>Bal!K7</f>
        <v>0</v>
      </c>
    </row>
    <row r="8" spans="2:144" ht="12.75" customHeight="1" x14ac:dyDescent="0.25">
      <c r="B8" s="134"/>
      <c r="E8" s="310" t="str">
        <f>Bal!B8</f>
        <v>BALANCE GENERAL</v>
      </c>
      <c r="F8" s="311">
        <f>Bal!C8</f>
        <v>0</v>
      </c>
      <c r="G8" s="311">
        <f>Bal!D8</f>
        <v>0</v>
      </c>
      <c r="H8" s="311">
        <f>Bal!E8</f>
        <v>0</v>
      </c>
      <c r="I8" s="311">
        <f>Bal!F8</f>
        <v>0</v>
      </c>
      <c r="J8" s="311">
        <f>Bal!G8</f>
        <v>0</v>
      </c>
      <c r="K8" s="311">
        <f>Bal!H8</f>
        <v>0</v>
      </c>
      <c r="L8" s="311">
        <f>Bal!I8</f>
        <v>0</v>
      </c>
      <c r="M8" s="311">
        <f>Bal!J8</f>
        <v>0</v>
      </c>
      <c r="N8" s="311">
        <f>Bal!K8</f>
        <v>0</v>
      </c>
    </row>
    <row r="9" spans="2:144" ht="12.75" customHeight="1" x14ac:dyDescent="0.25">
      <c r="B9" s="134"/>
      <c r="E9" s="310" t="str">
        <f>Bal!B9</f>
        <v xml:space="preserve">ACTIVO CIRCULANTE             </v>
      </c>
      <c r="F9" s="311">
        <f>Bal!C9</f>
        <v>0</v>
      </c>
      <c r="G9" s="311">
        <f>Bal!D9</f>
        <v>0</v>
      </c>
      <c r="H9" s="311">
        <f>Bal!E9</f>
        <v>0</v>
      </c>
      <c r="I9" s="311">
        <f>Bal!F9</f>
        <v>0</v>
      </c>
      <c r="J9" s="311">
        <f>Bal!G9</f>
        <v>0</v>
      </c>
      <c r="K9" s="311">
        <f>Bal!H9</f>
        <v>0</v>
      </c>
      <c r="L9" s="311">
        <f>Bal!I9</f>
        <v>0</v>
      </c>
      <c r="M9" s="311">
        <f>Bal!J9</f>
        <v>0</v>
      </c>
      <c r="N9" s="311">
        <f>Bal!K9</f>
        <v>0</v>
      </c>
    </row>
    <row r="10" spans="2:144" ht="12.75" customHeight="1" x14ac:dyDescent="0.3">
      <c r="B10" s="172"/>
      <c r="D10" s="160"/>
      <c r="E10" s="310">
        <f>Bal!B10</f>
        <v>0</v>
      </c>
      <c r="F10" s="311">
        <f>Bal!C10</f>
        <v>0</v>
      </c>
      <c r="G10" s="311">
        <f>Bal!D10</f>
        <v>0</v>
      </c>
      <c r="H10" s="311">
        <f>Bal!E10</f>
        <v>0</v>
      </c>
      <c r="I10" s="311">
        <f>Bal!F10</f>
        <v>0</v>
      </c>
      <c r="J10" s="311">
        <f>Bal!G10</f>
        <v>0</v>
      </c>
      <c r="K10" s="311">
        <f>Bal!H10</f>
        <v>0</v>
      </c>
      <c r="L10" s="311">
        <f>Bal!I10</f>
        <v>0</v>
      </c>
      <c r="M10" s="311">
        <f>Bal!J10</f>
        <v>0</v>
      </c>
      <c r="N10" s="311">
        <f>Bal!K10</f>
        <v>0</v>
      </c>
    </row>
    <row r="11" spans="2:144" ht="12.75" customHeight="1" x14ac:dyDescent="0.25">
      <c r="B11" s="134"/>
      <c r="D11" s="134">
        <f t="shared" ref="D11:D74" si="0">HLOOKUP(E11,$S$3:$EN$4,2,0)</f>
        <v>1</v>
      </c>
      <c r="E11" s="310" t="str">
        <f>Bal!B11</f>
        <v xml:space="preserve">Caja y Bancos                 </v>
      </c>
      <c r="F11" s="311">
        <f>Bal!C11</f>
        <v>0</v>
      </c>
      <c r="G11" s="311">
        <f>Bal!D11</f>
        <v>0</v>
      </c>
      <c r="H11" s="311">
        <f>Bal!E11</f>
        <v>61506</v>
      </c>
      <c r="I11" s="311">
        <f>Bal!F11</f>
        <v>0</v>
      </c>
      <c r="J11" s="311">
        <f>Bal!G11</f>
        <v>0.02</v>
      </c>
      <c r="K11" s="311">
        <f>Bal!H11</f>
        <v>271489</v>
      </c>
      <c r="L11" s="311">
        <f>Bal!I11</f>
        <v>0.05</v>
      </c>
      <c r="M11" s="311">
        <f>Bal!J11</f>
        <v>152319</v>
      </c>
      <c r="N11" s="311">
        <f>Bal!K11</f>
        <v>0.03</v>
      </c>
    </row>
    <row r="12" spans="2:144" ht="12.75" customHeight="1" x14ac:dyDescent="0.25">
      <c r="B12" s="134"/>
      <c r="D12" s="134">
        <f t="shared" si="0"/>
        <v>2</v>
      </c>
      <c r="E12" s="310" t="str">
        <f>Bal!B12</f>
        <v xml:space="preserve">Cuentas por Cobrar            </v>
      </c>
      <c r="F12" s="311">
        <f>Bal!C12</f>
        <v>0</v>
      </c>
      <c r="G12" s="311">
        <f>Bal!D12</f>
        <v>0</v>
      </c>
      <c r="H12" s="311">
        <f>Bal!E12</f>
        <v>805016</v>
      </c>
      <c r="I12" s="311">
        <f>Bal!F12</f>
        <v>0</v>
      </c>
      <c r="J12" s="311">
        <f>Bal!G12</f>
        <v>0.21</v>
      </c>
      <c r="K12" s="311">
        <f>Bal!H12</f>
        <v>696737</v>
      </c>
      <c r="L12" s="311">
        <f>Bal!I12</f>
        <v>0.13</v>
      </c>
      <c r="M12" s="311">
        <f>Bal!J12</f>
        <v>590149</v>
      </c>
      <c r="N12" s="311">
        <f>Bal!K12</f>
        <v>0.11</v>
      </c>
    </row>
    <row r="13" spans="2:144" ht="12.75" customHeight="1" x14ac:dyDescent="0.25">
      <c r="B13" s="312"/>
      <c r="D13" s="134">
        <f t="shared" si="0"/>
        <v>4</v>
      </c>
      <c r="E13" s="310" t="str">
        <f>Bal!B13</f>
        <v xml:space="preserve">Deudores Diversos             </v>
      </c>
      <c r="F13" s="311">
        <f>Bal!C13</f>
        <v>0</v>
      </c>
      <c r="G13" s="311">
        <f>Bal!D13</f>
        <v>0</v>
      </c>
      <c r="H13" s="311">
        <f>Bal!E13</f>
        <v>696040</v>
      </c>
      <c r="I13" s="311">
        <f>Bal!F13</f>
        <v>0</v>
      </c>
      <c r="J13" s="311">
        <f>Bal!G13</f>
        <v>0.18</v>
      </c>
      <c r="K13" s="311">
        <f>Bal!H13</f>
        <v>2303156</v>
      </c>
      <c r="L13" s="311">
        <f>Bal!I13</f>
        <v>0.41</v>
      </c>
      <c r="M13" s="311">
        <f>Bal!J13</f>
        <v>2475063</v>
      </c>
      <c r="N13" s="311">
        <f>Bal!K13</f>
        <v>0.45</v>
      </c>
    </row>
    <row r="14" spans="2:144" ht="12.75" customHeight="1" x14ac:dyDescent="0.25">
      <c r="B14" s="312"/>
      <c r="D14" s="134">
        <f t="shared" si="0"/>
        <v>5</v>
      </c>
      <c r="E14" s="310" t="str">
        <f>Bal!B14</f>
        <v xml:space="preserve">Inventarios                   </v>
      </c>
      <c r="F14" s="311">
        <f>Bal!C14</f>
        <v>0</v>
      </c>
      <c r="G14" s="311">
        <f>Bal!D14</f>
        <v>0</v>
      </c>
      <c r="H14" s="311">
        <f>Bal!E14</f>
        <v>121292</v>
      </c>
      <c r="I14" s="311">
        <f>Bal!F14</f>
        <v>0</v>
      </c>
      <c r="J14" s="311">
        <f>Bal!G14</f>
        <v>0.03</v>
      </c>
      <c r="K14" s="311">
        <f>Bal!H14</f>
        <v>199339</v>
      </c>
      <c r="L14" s="311">
        <f>Bal!I14</f>
        <v>0.04</v>
      </c>
      <c r="M14" s="311">
        <f>Bal!J14</f>
        <v>290010</v>
      </c>
      <c r="N14" s="311">
        <f>Bal!K14</f>
        <v>0.05</v>
      </c>
    </row>
    <row r="15" spans="2:144" ht="12.75" customHeight="1" x14ac:dyDescent="0.25">
      <c r="B15" s="313" t="s">
        <v>7</v>
      </c>
      <c r="C15">
        <v>1</v>
      </c>
      <c r="D15" s="134" t="e">
        <f t="shared" si="0"/>
        <v>#N/A</v>
      </c>
      <c r="E15" s="310">
        <f>Bal!B15</f>
        <v>0</v>
      </c>
      <c r="F15" s="311">
        <f>Bal!C15</f>
        <v>0</v>
      </c>
      <c r="G15" s="311">
        <f>Bal!D15</f>
        <v>0</v>
      </c>
      <c r="H15" s="311">
        <f>Bal!E15</f>
        <v>1683854</v>
      </c>
      <c r="I15" s="311">
        <f>Bal!F15</f>
        <v>0</v>
      </c>
      <c r="J15" s="311">
        <f>Bal!G15</f>
        <v>0.44</v>
      </c>
      <c r="K15" s="311">
        <f>Bal!H15</f>
        <v>3470721</v>
      </c>
      <c r="L15" s="311">
        <f>Bal!I15</f>
        <v>0.63</v>
      </c>
      <c r="M15" s="311">
        <f>Bal!J15</f>
        <v>3507541</v>
      </c>
      <c r="N15" s="311">
        <f>Bal!K15</f>
        <v>0.64</v>
      </c>
    </row>
    <row r="16" spans="2:144" ht="12.75" customHeight="1" x14ac:dyDescent="0.25">
      <c r="B16" s="313" t="s">
        <v>8</v>
      </c>
      <c r="C16">
        <v>2</v>
      </c>
      <c r="D16" s="134" t="e">
        <f t="shared" si="0"/>
        <v>#N/A</v>
      </c>
      <c r="E16" s="310" t="str">
        <f>Bal!B16</f>
        <v xml:space="preserve">ACTIVO FIJO                   </v>
      </c>
      <c r="F16" s="311">
        <f>Bal!C16</f>
        <v>0</v>
      </c>
      <c r="G16" s="311">
        <f>Bal!D16</f>
        <v>0</v>
      </c>
      <c r="H16" s="311">
        <f>Bal!E16</f>
        <v>0</v>
      </c>
      <c r="I16" s="311">
        <f>Bal!F16</f>
        <v>0</v>
      </c>
      <c r="J16" s="311">
        <f>Bal!G16</f>
        <v>0</v>
      </c>
      <c r="K16" s="311">
        <f>Bal!H16</f>
        <v>0</v>
      </c>
      <c r="L16" s="311">
        <f>Bal!I16</f>
        <v>0</v>
      </c>
      <c r="M16" s="311">
        <f>Bal!J16</f>
        <v>0</v>
      </c>
      <c r="N16" s="311">
        <f>Bal!K16</f>
        <v>0</v>
      </c>
    </row>
    <row r="17" spans="2:14" ht="12.75" customHeight="1" x14ac:dyDescent="0.25">
      <c r="B17" s="313" t="s">
        <v>2677</v>
      </c>
      <c r="C17">
        <v>3</v>
      </c>
      <c r="D17" s="134" t="e">
        <f t="shared" si="0"/>
        <v>#N/A</v>
      </c>
      <c r="E17" s="310">
        <f>Bal!B17</f>
        <v>0</v>
      </c>
      <c r="F17" s="311">
        <f>Bal!C17</f>
        <v>0</v>
      </c>
      <c r="G17" s="311">
        <f>Bal!D17</f>
        <v>0</v>
      </c>
      <c r="H17" s="311">
        <f>Bal!E17</f>
        <v>0</v>
      </c>
      <c r="I17" s="311">
        <f>Bal!F17</f>
        <v>0</v>
      </c>
      <c r="J17" s="311">
        <f>Bal!G17</f>
        <v>0</v>
      </c>
      <c r="K17" s="311">
        <f>Bal!H17</f>
        <v>0</v>
      </c>
      <c r="L17" s="311">
        <f>Bal!I17</f>
        <v>0</v>
      </c>
      <c r="M17" s="311">
        <f>Bal!J17</f>
        <v>0</v>
      </c>
      <c r="N17" s="311">
        <f>Bal!K17</f>
        <v>0</v>
      </c>
    </row>
    <row r="18" spans="2:14" ht="12.75" customHeight="1" x14ac:dyDescent="0.25">
      <c r="B18" s="313" t="s">
        <v>9</v>
      </c>
      <c r="C18">
        <v>4</v>
      </c>
      <c r="D18" s="134">
        <f t="shared" si="0"/>
        <v>9</v>
      </c>
      <c r="E18" s="310" t="str">
        <f>Bal!B18</f>
        <v xml:space="preserve">Terrenos y Edificios          </v>
      </c>
      <c r="F18" s="311">
        <f>Bal!C18</f>
        <v>0</v>
      </c>
      <c r="G18" s="311">
        <f>Bal!D18</f>
        <v>0</v>
      </c>
      <c r="H18" s="311">
        <f>Bal!E18</f>
        <v>287684</v>
      </c>
      <c r="I18" s="311">
        <f>Bal!F18</f>
        <v>0</v>
      </c>
      <c r="J18" s="311">
        <f>Bal!G18</f>
        <v>7.0000000000000007E-2</v>
      </c>
      <c r="K18" s="311">
        <f>Bal!H18</f>
        <v>287684</v>
      </c>
      <c r="L18" s="311">
        <f>Bal!I18</f>
        <v>0.05</v>
      </c>
      <c r="M18" s="311">
        <f>Bal!J18</f>
        <v>287685</v>
      </c>
      <c r="N18" s="311">
        <f>Bal!K18</f>
        <v>0.05</v>
      </c>
    </row>
    <row r="19" spans="2:14" ht="12.75" customHeight="1" x14ac:dyDescent="0.25">
      <c r="B19" s="313" t="s">
        <v>10</v>
      </c>
      <c r="C19">
        <v>5</v>
      </c>
      <c r="D19" s="134">
        <f t="shared" si="0"/>
        <v>10</v>
      </c>
      <c r="E19" s="310" t="str">
        <f>Bal!B19</f>
        <v xml:space="preserve">Maquinaria y Equipo           </v>
      </c>
      <c r="F19" s="311">
        <f>Bal!C19</f>
        <v>0</v>
      </c>
      <c r="G19" s="311">
        <f>Bal!D19</f>
        <v>0</v>
      </c>
      <c r="H19" s="311">
        <f>Bal!E19</f>
        <v>1960982</v>
      </c>
      <c r="I19" s="311">
        <f>Bal!F19</f>
        <v>0</v>
      </c>
      <c r="J19" s="311">
        <f>Bal!G19</f>
        <v>0.5</v>
      </c>
      <c r="K19" s="311">
        <f>Bal!H19</f>
        <v>2362142</v>
      </c>
      <c r="L19" s="311">
        <f>Bal!I19</f>
        <v>0.42</v>
      </c>
      <c r="M19" s="311">
        <f>Bal!J19</f>
        <v>2425191</v>
      </c>
      <c r="N19" s="311">
        <f>Bal!K19</f>
        <v>0.44</v>
      </c>
    </row>
    <row r="20" spans="2:14" ht="12.75" customHeight="1" x14ac:dyDescent="0.25">
      <c r="B20" s="313" t="s">
        <v>2678</v>
      </c>
      <c r="C20">
        <v>6</v>
      </c>
      <c r="D20" s="134">
        <f t="shared" si="0"/>
        <v>11</v>
      </c>
      <c r="E20" s="310" t="str">
        <f>Bal!B20</f>
        <v xml:space="preserve">Muebles y Enseres             </v>
      </c>
      <c r="F20" s="311">
        <f>Bal!C20</f>
        <v>0</v>
      </c>
      <c r="G20" s="311">
        <f>Bal!D20</f>
        <v>0</v>
      </c>
      <c r="H20" s="311">
        <f>Bal!E20</f>
        <v>287942</v>
      </c>
      <c r="I20" s="311">
        <f>Bal!F20</f>
        <v>0</v>
      </c>
      <c r="J20" s="311">
        <f>Bal!G20</f>
        <v>7.0000000000000007E-2</v>
      </c>
      <c r="K20" s="311">
        <f>Bal!H20</f>
        <v>398840</v>
      </c>
      <c r="L20" s="311">
        <f>Bal!I20</f>
        <v>7.0000000000000007E-2</v>
      </c>
      <c r="M20" s="311">
        <f>Bal!J20</f>
        <v>430042</v>
      </c>
      <c r="N20" s="311">
        <f>Bal!K20</f>
        <v>0.08</v>
      </c>
    </row>
    <row r="21" spans="2:14" ht="12.75" customHeight="1" x14ac:dyDescent="0.25">
      <c r="B21" s="313" t="s">
        <v>2679</v>
      </c>
      <c r="C21">
        <v>7</v>
      </c>
      <c r="D21" s="134">
        <f t="shared" si="0"/>
        <v>12</v>
      </c>
      <c r="E21" s="310" t="str">
        <f>Bal!B21</f>
        <v xml:space="preserve">Equipo de Transporte          </v>
      </c>
      <c r="F21" s="311">
        <f>Bal!C21</f>
        <v>0</v>
      </c>
      <c r="G21" s="311">
        <f>Bal!D21</f>
        <v>0</v>
      </c>
      <c r="H21" s="311">
        <f>Bal!E21</f>
        <v>44065</v>
      </c>
      <c r="I21" s="311">
        <f>Bal!F21</f>
        <v>0</v>
      </c>
      <c r="J21" s="311">
        <f>Bal!G21</f>
        <v>0.01</v>
      </c>
      <c r="K21" s="311">
        <f>Bal!H21</f>
        <v>47054</v>
      </c>
      <c r="L21" s="311">
        <f>Bal!I21</f>
        <v>0.01</v>
      </c>
      <c r="M21" s="311">
        <f>Bal!J21</f>
        <v>54529</v>
      </c>
      <c r="N21" s="311">
        <f>Bal!K21</f>
        <v>0.01</v>
      </c>
    </row>
    <row r="22" spans="2:14" ht="12.75" customHeight="1" x14ac:dyDescent="0.25">
      <c r="B22" s="313" t="s">
        <v>2680</v>
      </c>
      <c r="C22">
        <v>8</v>
      </c>
      <c r="D22" s="134">
        <f t="shared" si="0"/>
        <v>13</v>
      </c>
      <c r="E22" s="310" t="str">
        <f>Bal!B22</f>
        <v xml:space="preserve">Depreciacion Acumulada        </v>
      </c>
      <c r="F22" s="311">
        <f>Bal!C22</f>
        <v>0</v>
      </c>
      <c r="G22" s="311">
        <f>Bal!D22</f>
        <v>0</v>
      </c>
      <c r="H22" s="311">
        <f>Bal!E22</f>
        <v>-1014568</v>
      </c>
      <c r="I22" s="311">
        <f>Bal!F22</f>
        <v>0</v>
      </c>
      <c r="J22" s="311">
        <f>Bal!G22</f>
        <v>-0.26</v>
      </c>
      <c r="K22" s="311">
        <f>Bal!H22</f>
        <v>-1181927</v>
      </c>
      <c r="L22" s="311">
        <f>Bal!I22</f>
        <v>-0.21</v>
      </c>
      <c r="M22" s="311">
        <f>Bal!J22</f>
        <v>-1274663</v>
      </c>
      <c r="N22" s="311">
        <f>Bal!K22</f>
        <v>-0.23</v>
      </c>
    </row>
    <row r="23" spans="2:14" ht="12.75" customHeight="1" x14ac:dyDescent="0.25">
      <c r="B23" s="312"/>
      <c r="D23" s="134" t="e">
        <f t="shared" si="0"/>
        <v>#N/A</v>
      </c>
      <c r="E23" s="310">
        <f>Bal!B23</f>
        <v>0</v>
      </c>
      <c r="F23" s="311">
        <f>Bal!C23</f>
        <v>0</v>
      </c>
      <c r="G23" s="311">
        <f>Bal!D23</f>
        <v>0</v>
      </c>
      <c r="H23" s="311">
        <f>Bal!E23</f>
        <v>1566105</v>
      </c>
      <c r="I23" s="311">
        <f>Bal!F23</f>
        <v>0</v>
      </c>
      <c r="J23" s="311">
        <f>Bal!G23</f>
        <v>0.39</v>
      </c>
      <c r="K23" s="311">
        <f>Bal!H23</f>
        <v>1913793</v>
      </c>
      <c r="L23" s="311">
        <f>Bal!I23</f>
        <v>0.34</v>
      </c>
      <c r="M23" s="311">
        <f>Bal!J23</f>
        <v>1922784</v>
      </c>
      <c r="N23" s="311">
        <f>Bal!K23</f>
        <v>0.35</v>
      </c>
    </row>
    <row r="24" spans="2:14" ht="12.75" customHeight="1" x14ac:dyDescent="0.25">
      <c r="B24" s="312"/>
      <c r="D24" s="134" t="e">
        <f t="shared" si="0"/>
        <v>#N/A</v>
      </c>
      <c r="E24" s="310" t="str">
        <f>Bal!B24</f>
        <v xml:space="preserve">ACTIVO DIFERIDO               </v>
      </c>
      <c r="F24" s="311">
        <f>Bal!C24</f>
        <v>0</v>
      </c>
      <c r="G24" s="311">
        <f>Bal!D24</f>
        <v>0</v>
      </c>
      <c r="H24" s="311">
        <f>Bal!E24</f>
        <v>0</v>
      </c>
      <c r="I24" s="311">
        <f>Bal!F24</f>
        <v>0</v>
      </c>
      <c r="J24" s="311">
        <f>Bal!G24</f>
        <v>0</v>
      </c>
      <c r="K24" s="311">
        <f>Bal!H24</f>
        <v>0</v>
      </c>
      <c r="L24" s="311">
        <f>Bal!I24</f>
        <v>0</v>
      </c>
      <c r="M24" s="311">
        <f>Bal!J24</f>
        <v>0</v>
      </c>
      <c r="N24" s="311">
        <f>Bal!K24</f>
        <v>0</v>
      </c>
    </row>
    <row r="25" spans="2:14" ht="12.75" customHeight="1" x14ac:dyDescent="0.25">
      <c r="B25" s="312"/>
      <c r="D25" s="134" t="e">
        <f t="shared" si="0"/>
        <v>#N/A</v>
      </c>
      <c r="E25" s="310">
        <f>Bal!B25</f>
        <v>0</v>
      </c>
      <c r="F25" s="311">
        <f>Bal!C25</f>
        <v>0</v>
      </c>
      <c r="G25" s="311">
        <f>Bal!D25</f>
        <v>0</v>
      </c>
      <c r="H25" s="311">
        <f>Bal!E25</f>
        <v>0</v>
      </c>
      <c r="I25" s="311">
        <f>Bal!F25</f>
        <v>0</v>
      </c>
      <c r="J25" s="311">
        <f>Bal!G25</f>
        <v>0</v>
      </c>
      <c r="K25" s="311">
        <f>Bal!H25</f>
        <v>0</v>
      </c>
      <c r="L25" s="311">
        <f>Bal!I25</f>
        <v>0</v>
      </c>
      <c r="M25" s="311">
        <f>Bal!J25</f>
        <v>0</v>
      </c>
      <c r="N25" s="311">
        <f>Bal!K25</f>
        <v>0</v>
      </c>
    </row>
    <row r="26" spans="2:14" ht="12.75" customHeight="1" x14ac:dyDescent="0.25">
      <c r="B26" s="312"/>
      <c r="D26" s="134">
        <f t="shared" si="0"/>
        <v>16</v>
      </c>
      <c r="E26" s="310" t="str">
        <f>Bal!B26</f>
        <v xml:space="preserve">Pagos Anticipados             </v>
      </c>
      <c r="F26" s="311">
        <f>Bal!C26</f>
        <v>0</v>
      </c>
      <c r="G26" s="311">
        <f>Bal!D26</f>
        <v>0</v>
      </c>
      <c r="H26" s="311">
        <f>Bal!E26</f>
        <v>20318</v>
      </c>
      <c r="I26" s="311">
        <f>Bal!F26</f>
        <v>0</v>
      </c>
      <c r="J26" s="311">
        <f>Bal!G26</f>
        <v>0.01</v>
      </c>
      <c r="K26" s="311">
        <f>Bal!H26</f>
        <v>41904</v>
      </c>
      <c r="L26" s="311">
        <f>Bal!I26</f>
        <v>0.01</v>
      </c>
      <c r="M26" s="311">
        <f>Bal!J26</f>
        <v>0</v>
      </c>
      <c r="N26" s="311">
        <f>Bal!K26</f>
        <v>0</v>
      </c>
    </row>
    <row r="27" spans="2:14" ht="12.75" customHeight="1" x14ac:dyDescent="0.25">
      <c r="B27" s="312"/>
      <c r="D27" s="134">
        <f t="shared" si="0"/>
        <v>17</v>
      </c>
      <c r="E27" s="310" t="str">
        <f>Bal!B27</f>
        <v xml:space="preserve">Cargos Diferidos              </v>
      </c>
      <c r="F27" s="311">
        <f>Bal!C27</f>
        <v>0</v>
      </c>
      <c r="G27" s="311">
        <f>Bal!D27</f>
        <v>0</v>
      </c>
      <c r="H27" s="311">
        <f>Bal!E27</f>
        <v>630957</v>
      </c>
      <c r="I27" s="311">
        <f>Bal!F27</f>
        <v>0</v>
      </c>
      <c r="J27" s="311">
        <f>Bal!G27</f>
        <v>0.16</v>
      </c>
      <c r="K27" s="311">
        <f>Bal!H27</f>
        <v>144259</v>
      </c>
      <c r="L27" s="311">
        <f>Bal!I27</f>
        <v>0.03</v>
      </c>
      <c r="M27" s="311">
        <f>Bal!J27</f>
        <v>34134</v>
      </c>
      <c r="N27" s="311">
        <f>Bal!K27</f>
        <v>0.01</v>
      </c>
    </row>
    <row r="28" spans="2:14" ht="12.75" customHeight="1" x14ac:dyDescent="0.25">
      <c r="B28" s="313" t="s">
        <v>12</v>
      </c>
      <c r="C28">
        <v>9</v>
      </c>
      <c r="D28" s="134">
        <f t="shared" si="0"/>
        <v>18</v>
      </c>
      <c r="E28" s="310" t="str">
        <f>Bal!B28</f>
        <v xml:space="preserve">Inversiones en Valores        </v>
      </c>
      <c r="F28" s="311">
        <f>Bal!C28</f>
        <v>0</v>
      </c>
      <c r="G28" s="311">
        <f>Bal!D28</f>
        <v>0</v>
      </c>
      <c r="H28" s="311">
        <f>Bal!E28</f>
        <v>500</v>
      </c>
      <c r="I28" s="311">
        <f>Bal!F28</f>
        <v>0</v>
      </c>
      <c r="J28" s="311">
        <f>Bal!G28</f>
        <v>0</v>
      </c>
      <c r="K28" s="311">
        <f>Bal!H28</f>
        <v>500</v>
      </c>
      <c r="L28" s="311">
        <f>Bal!I28</f>
        <v>0</v>
      </c>
      <c r="M28" s="311">
        <f>Bal!J28</f>
        <v>0</v>
      </c>
      <c r="N28" s="311">
        <f>Bal!K28</f>
        <v>0</v>
      </c>
    </row>
    <row r="29" spans="2:14" ht="12.75" customHeight="1" x14ac:dyDescent="0.25">
      <c r="B29" s="313" t="s">
        <v>13</v>
      </c>
      <c r="C29">
        <v>10</v>
      </c>
      <c r="D29" s="134" t="e">
        <f t="shared" si="0"/>
        <v>#N/A</v>
      </c>
      <c r="E29" s="310">
        <f>Bal!B29</f>
        <v>0</v>
      </c>
      <c r="F29" s="311">
        <f>Bal!C29</f>
        <v>0</v>
      </c>
      <c r="G29" s="311">
        <f>Bal!D29</f>
        <v>0</v>
      </c>
      <c r="H29" s="311">
        <f>Bal!E29</f>
        <v>651775</v>
      </c>
      <c r="I29" s="311">
        <f>Bal!F29</f>
        <v>0</v>
      </c>
      <c r="J29" s="311">
        <f>Bal!G29</f>
        <v>0.17</v>
      </c>
      <c r="K29" s="311">
        <f>Bal!H29</f>
        <v>186663</v>
      </c>
      <c r="L29" s="311">
        <f>Bal!I29</f>
        <v>0.04</v>
      </c>
      <c r="M29" s="311">
        <f>Bal!J29</f>
        <v>34134</v>
      </c>
      <c r="N29" s="311">
        <f>Bal!K29</f>
        <v>0.01</v>
      </c>
    </row>
    <row r="30" spans="2:14" ht="12.75" customHeight="1" x14ac:dyDescent="0.25">
      <c r="B30" s="313" t="s">
        <v>14</v>
      </c>
      <c r="C30">
        <v>11</v>
      </c>
      <c r="D30" s="134" t="e">
        <f t="shared" si="0"/>
        <v>#N/A</v>
      </c>
      <c r="E30" s="310" t="str">
        <f>Bal!B30</f>
        <v>TOTAL DE ACTIVO</v>
      </c>
      <c r="F30" s="311">
        <f>Bal!C30</f>
        <v>0</v>
      </c>
      <c r="G30" s="311">
        <f>Bal!D30</f>
        <v>0</v>
      </c>
      <c r="H30" s="311">
        <f>Bal!E30</f>
        <v>3901734</v>
      </c>
      <c r="I30" s="311">
        <f>Bal!F30</f>
        <v>0</v>
      </c>
      <c r="J30" s="311">
        <f>Bal!G30</f>
        <v>1</v>
      </c>
      <c r="K30" s="311">
        <f>Bal!H30</f>
        <v>5571177</v>
      </c>
      <c r="L30" s="311">
        <f>Bal!I30</f>
        <v>1</v>
      </c>
      <c r="M30" s="311">
        <f>Bal!J30</f>
        <v>5464459</v>
      </c>
      <c r="N30" s="311">
        <f>Bal!K30</f>
        <v>1</v>
      </c>
    </row>
    <row r="31" spans="2:14" ht="12.75" customHeight="1" x14ac:dyDescent="0.25">
      <c r="B31" s="313" t="s">
        <v>15</v>
      </c>
      <c r="C31">
        <v>12</v>
      </c>
      <c r="D31" s="134" t="e">
        <f t="shared" si="0"/>
        <v>#N/A</v>
      </c>
      <c r="E31" s="310" t="str">
        <f>Bal!B31</f>
        <v xml:space="preserve">PASIVO CIRCULANTE             </v>
      </c>
      <c r="F31" s="311">
        <f>Bal!C31</f>
        <v>0</v>
      </c>
      <c r="G31" s="311">
        <f>Bal!D31</f>
        <v>0</v>
      </c>
      <c r="H31" s="311">
        <f>Bal!E31</f>
        <v>0</v>
      </c>
      <c r="I31" s="311">
        <f>Bal!F31</f>
        <v>0</v>
      </c>
      <c r="J31" s="311">
        <f>Bal!G31</f>
        <v>0</v>
      </c>
      <c r="K31" s="311">
        <f>Bal!H31</f>
        <v>0</v>
      </c>
      <c r="L31" s="311">
        <f>Bal!I31</f>
        <v>0</v>
      </c>
      <c r="M31" s="311">
        <f>Bal!J31</f>
        <v>0</v>
      </c>
      <c r="N31" s="311">
        <f>Bal!K31</f>
        <v>0</v>
      </c>
    </row>
    <row r="32" spans="2:14" ht="12.75" customHeight="1" x14ac:dyDescent="0.25">
      <c r="B32" s="313" t="s">
        <v>16</v>
      </c>
      <c r="C32">
        <v>13</v>
      </c>
      <c r="D32" s="134" t="e">
        <f t="shared" si="0"/>
        <v>#N/A</v>
      </c>
      <c r="E32" s="310">
        <f>Bal!B32</f>
        <v>0</v>
      </c>
      <c r="F32" s="311">
        <f>Bal!C32</f>
        <v>0</v>
      </c>
      <c r="G32" s="311">
        <f>Bal!D32</f>
        <v>0</v>
      </c>
      <c r="H32" s="311">
        <f>Bal!E32</f>
        <v>0</v>
      </c>
      <c r="I32" s="311">
        <f>Bal!F32</f>
        <v>0</v>
      </c>
      <c r="J32" s="311">
        <f>Bal!G32</f>
        <v>0</v>
      </c>
      <c r="K32" s="311">
        <f>Bal!H32</f>
        <v>0</v>
      </c>
      <c r="L32" s="311">
        <f>Bal!I32</f>
        <v>0</v>
      </c>
      <c r="M32" s="311">
        <f>Bal!J32</f>
        <v>0</v>
      </c>
      <c r="N32" s="311">
        <f>Bal!K32</f>
        <v>0</v>
      </c>
    </row>
    <row r="33" spans="2:14" ht="12.75" customHeight="1" x14ac:dyDescent="0.25">
      <c r="B33" s="313" t="s">
        <v>2681</v>
      </c>
      <c r="C33">
        <v>14</v>
      </c>
      <c r="D33" s="134">
        <f t="shared" si="0"/>
        <v>20</v>
      </c>
      <c r="E33" s="310" t="str">
        <f>Bal!B33</f>
        <v xml:space="preserve">Proveedores                   </v>
      </c>
      <c r="F33" s="311">
        <f>Bal!C33</f>
        <v>0</v>
      </c>
      <c r="G33" s="311">
        <f>Bal!D33</f>
        <v>0</v>
      </c>
      <c r="H33" s="311">
        <f>Bal!E33</f>
        <v>44762</v>
      </c>
      <c r="I33" s="311">
        <f>Bal!F33</f>
        <v>0</v>
      </c>
      <c r="J33" s="311">
        <f>Bal!G33</f>
        <v>0.01</v>
      </c>
      <c r="K33" s="311">
        <f>Bal!H33</f>
        <v>30461</v>
      </c>
      <c r="L33" s="311">
        <f>Bal!I33</f>
        <v>0.01</v>
      </c>
      <c r="M33" s="311">
        <f>Bal!J33</f>
        <v>25632</v>
      </c>
      <c r="N33" s="311">
        <f>Bal!K33</f>
        <v>0</v>
      </c>
    </row>
    <row r="34" spans="2:14" ht="12.75" customHeight="1" x14ac:dyDescent="0.25">
      <c r="B34" s="313" t="s">
        <v>2682</v>
      </c>
      <c r="C34">
        <v>15</v>
      </c>
      <c r="D34" s="134">
        <f t="shared" si="0"/>
        <v>21</v>
      </c>
      <c r="E34" s="310" t="str">
        <f>Bal!B34</f>
        <v xml:space="preserve">Creditos a Corto Plazo        </v>
      </c>
      <c r="F34" s="311">
        <f>Bal!C34</f>
        <v>0</v>
      </c>
      <c r="G34" s="311">
        <f>Bal!D34</f>
        <v>0</v>
      </c>
      <c r="H34" s="311">
        <f>Bal!E34</f>
        <v>1035327</v>
      </c>
      <c r="I34" s="311">
        <f>Bal!F34</f>
        <v>0</v>
      </c>
      <c r="J34" s="311">
        <f>Bal!G34</f>
        <v>0.27</v>
      </c>
      <c r="K34" s="311">
        <f>Bal!H34</f>
        <v>1588080</v>
      </c>
      <c r="L34" s="311">
        <f>Bal!I34</f>
        <v>0.28999999999999998</v>
      </c>
      <c r="M34" s="311">
        <f>Bal!J34</f>
        <v>1000179</v>
      </c>
      <c r="N34" s="311">
        <f>Bal!K34</f>
        <v>0.18</v>
      </c>
    </row>
    <row r="35" spans="2:14" ht="12.75" customHeight="1" x14ac:dyDescent="0.25">
      <c r="B35" s="312"/>
      <c r="D35" s="134">
        <f t="shared" si="0"/>
        <v>23</v>
      </c>
      <c r="E35" s="310" t="str">
        <f>Bal!B35</f>
        <v xml:space="preserve">Impuestos a Pagar             </v>
      </c>
      <c r="F35" s="311">
        <f>Bal!C35</f>
        <v>0</v>
      </c>
      <c r="G35" s="311">
        <f>Bal!D35</f>
        <v>0</v>
      </c>
      <c r="H35" s="311">
        <f>Bal!E35</f>
        <v>85415</v>
      </c>
      <c r="I35" s="311">
        <f>Bal!F35</f>
        <v>0</v>
      </c>
      <c r="J35" s="311">
        <f>Bal!G35</f>
        <v>0.02</v>
      </c>
      <c r="K35" s="311">
        <f>Bal!H35</f>
        <v>116008</v>
      </c>
      <c r="L35" s="311">
        <f>Bal!I35</f>
        <v>0.02</v>
      </c>
      <c r="M35" s="311">
        <f>Bal!J35</f>
        <v>52581</v>
      </c>
      <c r="N35" s="311">
        <f>Bal!K35</f>
        <v>0.01</v>
      </c>
    </row>
    <row r="36" spans="2:14" ht="12.75" customHeight="1" x14ac:dyDescent="0.25">
      <c r="B36" s="312"/>
      <c r="D36" s="134">
        <f t="shared" si="0"/>
        <v>24</v>
      </c>
      <c r="E36" s="310" t="str">
        <f>Bal!B36</f>
        <v xml:space="preserve">Acreedores Diversos           </v>
      </c>
      <c r="F36" s="311">
        <f>Bal!C36</f>
        <v>0</v>
      </c>
      <c r="G36" s="311">
        <f>Bal!D36</f>
        <v>0</v>
      </c>
      <c r="H36" s="311">
        <f>Bal!E36</f>
        <v>34072</v>
      </c>
      <c r="I36" s="311">
        <f>Bal!F36</f>
        <v>0</v>
      </c>
      <c r="J36" s="311">
        <f>Bal!G36</f>
        <v>0.01</v>
      </c>
      <c r="K36" s="311">
        <f>Bal!H36</f>
        <v>720635</v>
      </c>
      <c r="L36" s="311">
        <f>Bal!I36</f>
        <v>0.13</v>
      </c>
      <c r="M36" s="311">
        <f>Bal!J36</f>
        <v>902103</v>
      </c>
      <c r="N36" s="311">
        <f>Bal!K36</f>
        <v>0.17</v>
      </c>
    </row>
    <row r="37" spans="2:14" ht="12.75" customHeight="1" x14ac:dyDescent="0.25">
      <c r="B37" s="312"/>
      <c r="D37" s="134" t="e">
        <f t="shared" si="0"/>
        <v>#N/A</v>
      </c>
      <c r="E37" s="310">
        <f>Bal!B37</f>
        <v>0</v>
      </c>
      <c r="F37" s="311">
        <f>Bal!C37</f>
        <v>0</v>
      </c>
      <c r="G37" s="311">
        <f>Bal!D37</f>
        <v>0</v>
      </c>
      <c r="H37" s="311">
        <f>Bal!E37</f>
        <v>1199576</v>
      </c>
      <c r="I37" s="311">
        <f>Bal!F37</f>
        <v>0</v>
      </c>
      <c r="J37" s="311">
        <f>Bal!G37</f>
        <v>0.31</v>
      </c>
      <c r="K37" s="311">
        <f>Bal!H37</f>
        <v>2455184</v>
      </c>
      <c r="L37" s="311">
        <f>Bal!I37</f>
        <v>0.45</v>
      </c>
      <c r="M37" s="311">
        <f>Bal!J37</f>
        <v>1980495</v>
      </c>
      <c r="N37" s="311">
        <f>Bal!K37</f>
        <v>0.36</v>
      </c>
    </row>
    <row r="38" spans="2:14" ht="12.75" customHeight="1" x14ac:dyDescent="0.25">
      <c r="B38" s="312"/>
      <c r="D38" s="134" t="e">
        <f t="shared" si="0"/>
        <v>#N/A</v>
      </c>
      <c r="E38" s="310" t="str">
        <f>Bal!B38</f>
        <v xml:space="preserve">PASIVO A LARGO PLAZO          </v>
      </c>
      <c r="F38" s="311">
        <f>Bal!C38</f>
        <v>0</v>
      </c>
      <c r="G38" s="311">
        <f>Bal!D38</f>
        <v>0</v>
      </c>
      <c r="H38" s="311">
        <f>Bal!E38</f>
        <v>0</v>
      </c>
      <c r="I38" s="311">
        <f>Bal!F38</f>
        <v>0</v>
      </c>
      <c r="J38" s="311">
        <f>Bal!G38</f>
        <v>0</v>
      </c>
      <c r="K38" s="311">
        <f>Bal!H38</f>
        <v>0</v>
      </c>
      <c r="L38" s="311">
        <f>Bal!I38</f>
        <v>0</v>
      </c>
      <c r="M38" s="311">
        <f>Bal!J38</f>
        <v>0</v>
      </c>
      <c r="N38" s="311">
        <f>Bal!K38</f>
        <v>0</v>
      </c>
    </row>
    <row r="39" spans="2:14" ht="12.75" customHeight="1" x14ac:dyDescent="0.25">
      <c r="B39" s="312"/>
      <c r="D39" s="134" t="e">
        <f t="shared" si="0"/>
        <v>#N/A</v>
      </c>
      <c r="E39" s="310">
        <f>Bal!B39</f>
        <v>0</v>
      </c>
      <c r="F39" s="311">
        <f>Bal!C39</f>
        <v>0</v>
      </c>
      <c r="G39" s="311">
        <f>Bal!D39</f>
        <v>0</v>
      </c>
      <c r="H39" s="311">
        <f>Bal!E39</f>
        <v>0</v>
      </c>
      <c r="I39" s="311">
        <f>Bal!F39</f>
        <v>0</v>
      </c>
      <c r="J39" s="311">
        <f>Bal!G39</f>
        <v>0</v>
      </c>
      <c r="K39" s="311">
        <f>Bal!H39</f>
        <v>0</v>
      </c>
      <c r="L39" s="311">
        <f>Bal!I39</f>
        <v>0</v>
      </c>
      <c r="M39" s="311">
        <f>Bal!J39</f>
        <v>0</v>
      </c>
      <c r="N39" s="311">
        <f>Bal!K39</f>
        <v>0</v>
      </c>
    </row>
    <row r="40" spans="2:14" ht="12.75" customHeight="1" x14ac:dyDescent="0.25">
      <c r="B40" s="313" t="s">
        <v>18</v>
      </c>
      <c r="C40">
        <v>16</v>
      </c>
      <c r="D40" s="134">
        <f t="shared" si="0"/>
        <v>29</v>
      </c>
      <c r="E40" s="310" t="str">
        <f>Bal!B40</f>
        <v xml:space="preserve">Creditos a Largo Plazo        </v>
      </c>
      <c r="F40" s="311">
        <f>Bal!C40</f>
        <v>0</v>
      </c>
      <c r="G40" s="311">
        <f>Bal!D40</f>
        <v>0</v>
      </c>
      <c r="H40" s="311">
        <f>Bal!E40</f>
        <v>777045</v>
      </c>
      <c r="I40" s="311">
        <f>Bal!F40</f>
        <v>0</v>
      </c>
      <c r="J40" s="311">
        <f>Bal!G40</f>
        <v>0.2</v>
      </c>
      <c r="K40" s="311">
        <f>Bal!H40</f>
        <v>659414</v>
      </c>
      <c r="L40" s="311">
        <f>Bal!I40</f>
        <v>0.12</v>
      </c>
      <c r="M40" s="311">
        <f>Bal!J40</f>
        <v>649505</v>
      </c>
      <c r="N40" s="311">
        <f>Bal!K40</f>
        <v>0.12</v>
      </c>
    </row>
    <row r="41" spans="2:14" ht="12.75" customHeight="1" x14ac:dyDescent="0.25">
      <c r="B41" s="313" t="s">
        <v>19</v>
      </c>
      <c r="C41">
        <v>17</v>
      </c>
      <c r="D41" s="134" t="e">
        <f t="shared" si="0"/>
        <v>#N/A</v>
      </c>
      <c r="E41" s="310">
        <f>Bal!B41</f>
        <v>0</v>
      </c>
      <c r="F41" s="311">
        <f>Bal!C41</f>
        <v>0</v>
      </c>
      <c r="G41" s="311">
        <f>Bal!D41</f>
        <v>0</v>
      </c>
      <c r="H41" s="311">
        <f>Bal!E41</f>
        <v>777045</v>
      </c>
      <c r="I41" s="311">
        <f>Bal!F41</f>
        <v>0</v>
      </c>
      <c r="J41" s="311">
        <f>Bal!G41</f>
        <v>0.2</v>
      </c>
      <c r="K41" s="311">
        <f>Bal!H41</f>
        <v>659414</v>
      </c>
      <c r="L41" s="311">
        <f>Bal!I41</f>
        <v>0.12</v>
      </c>
      <c r="M41" s="311">
        <f>Bal!J41</f>
        <v>649505</v>
      </c>
      <c r="N41" s="311">
        <f>Bal!K41</f>
        <v>0.12</v>
      </c>
    </row>
    <row r="42" spans="2:14" ht="12.75" customHeight="1" x14ac:dyDescent="0.25">
      <c r="B42" s="313" t="s">
        <v>20</v>
      </c>
      <c r="C42">
        <v>18</v>
      </c>
      <c r="D42" s="134" t="e">
        <f t="shared" si="0"/>
        <v>#N/A</v>
      </c>
      <c r="E42" s="310">
        <f>Bal!B42</f>
        <v>0</v>
      </c>
      <c r="F42" s="311">
        <f>Bal!C42</f>
        <v>0</v>
      </c>
      <c r="G42" s="311">
        <f>Bal!D42</f>
        <v>0</v>
      </c>
      <c r="H42" s="311">
        <f>Bal!E42</f>
        <v>0</v>
      </c>
      <c r="I42" s="311">
        <f>Bal!F42</f>
        <v>0</v>
      </c>
      <c r="J42" s="311">
        <f>Bal!G42</f>
        <v>0</v>
      </c>
      <c r="K42" s="311">
        <f>Bal!H42</f>
        <v>0</v>
      </c>
      <c r="L42" s="311">
        <f>Bal!I42</f>
        <v>0</v>
      </c>
      <c r="M42" s="311">
        <f>Bal!J42</f>
        <v>0</v>
      </c>
      <c r="N42" s="311">
        <f>Bal!K42</f>
        <v>0</v>
      </c>
    </row>
    <row r="43" spans="2:14" ht="12.75" customHeight="1" x14ac:dyDescent="0.25">
      <c r="B43" s="313" t="s">
        <v>2683</v>
      </c>
      <c r="C43">
        <v>19</v>
      </c>
      <c r="D43" s="134" t="e">
        <f t="shared" si="0"/>
        <v>#N/A</v>
      </c>
      <c r="E43" s="310">
        <f>Bal!B43</f>
        <v>0</v>
      </c>
      <c r="F43" s="311">
        <f>Bal!C43</f>
        <v>0</v>
      </c>
      <c r="G43" s="311">
        <f>Bal!D43</f>
        <v>0</v>
      </c>
      <c r="H43" s="311">
        <f>Bal!E43</f>
        <v>0</v>
      </c>
      <c r="I43" s="311">
        <f>Bal!F43</f>
        <v>0</v>
      </c>
      <c r="J43" s="311">
        <f>Bal!G43</f>
        <v>0</v>
      </c>
      <c r="K43" s="311">
        <f>Bal!H43</f>
        <v>0</v>
      </c>
      <c r="L43" s="311">
        <f>Bal!I43</f>
        <v>0</v>
      </c>
      <c r="M43" s="311">
        <f>Bal!J43</f>
        <v>0</v>
      </c>
      <c r="N43" s="311">
        <f>Bal!K43</f>
        <v>0</v>
      </c>
    </row>
    <row r="44" spans="2:14" ht="12.75" customHeight="1" x14ac:dyDescent="0.25">
      <c r="B44" s="312"/>
      <c r="D44" s="134" t="e">
        <f t="shared" si="0"/>
        <v>#N/A</v>
      </c>
      <c r="E44" s="310" t="str">
        <f>Bal!B44</f>
        <v>TOTAL DE PASIVO</v>
      </c>
      <c r="F44" s="311">
        <f>Bal!C44</f>
        <v>0</v>
      </c>
      <c r="G44" s="311">
        <f>Bal!D44</f>
        <v>0</v>
      </c>
      <c r="H44" s="311">
        <f>Bal!E44</f>
        <v>1976621</v>
      </c>
      <c r="I44" s="311">
        <f>Bal!F44</f>
        <v>0</v>
      </c>
      <c r="J44" s="311">
        <f>Bal!G44</f>
        <v>0.51</v>
      </c>
      <c r="K44" s="311">
        <f>Bal!H44</f>
        <v>3114598</v>
      </c>
      <c r="L44" s="311">
        <f>Bal!I44</f>
        <v>0.56999999999999995</v>
      </c>
      <c r="M44" s="311">
        <f>Bal!J44</f>
        <v>2630000</v>
      </c>
      <c r="N44" s="311">
        <f>Bal!K44</f>
        <v>0.48</v>
      </c>
    </row>
    <row r="45" spans="2:14" ht="12.75" customHeight="1" x14ac:dyDescent="0.25">
      <c r="B45" s="312"/>
      <c r="D45" s="134" t="e">
        <f t="shared" si="0"/>
        <v>#N/A</v>
      </c>
      <c r="E45" s="310" t="str">
        <f>Bal!B45</f>
        <v xml:space="preserve">CAPITAL CONTABLE              </v>
      </c>
      <c r="F45" s="311">
        <f>Bal!C45</f>
        <v>0</v>
      </c>
      <c r="G45" s="311">
        <f>Bal!D45</f>
        <v>0</v>
      </c>
      <c r="H45" s="311">
        <f>Bal!E45</f>
        <v>0</v>
      </c>
      <c r="I45" s="311">
        <f>Bal!F45</f>
        <v>0</v>
      </c>
      <c r="J45" s="311">
        <f>Bal!G45</f>
        <v>0</v>
      </c>
      <c r="K45" s="311">
        <f>Bal!H45</f>
        <v>0</v>
      </c>
      <c r="L45" s="311">
        <f>Bal!I45</f>
        <v>0</v>
      </c>
      <c r="M45" s="311">
        <f>Bal!J45</f>
        <v>0</v>
      </c>
      <c r="N45" s="311">
        <f>Bal!K45</f>
        <v>0</v>
      </c>
    </row>
    <row r="46" spans="2:14" ht="12.75" customHeight="1" x14ac:dyDescent="0.25">
      <c r="B46" s="312"/>
      <c r="D46" s="134" t="e">
        <f t="shared" si="0"/>
        <v>#N/A</v>
      </c>
      <c r="E46" s="310">
        <f>Bal!B46</f>
        <v>0</v>
      </c>
      <c r="F46" s="311">
        <f>Bal!C46</f>
        <v>0</v>
      </c>
      <c r="G46" s="311">
        <f>Bal!D46</f>
        <v>0</v>
      </c>
      <c r="H46" s="311">
        <f>Bal!E46</f>
        <v>0</v>
      </c>
      <c r="I46" s="311">
        <f>Bal!F46</f>
        <v>0</v>
      </c>
      <c r="J46" s="311">
        <f>Bal!G46</f>
        <v>0</v>
      </c>
      <c r="K46" s="311">
        <f>Bal!H46</f>
        <v>0</v>
      </c>
      <c r="L46" s="311">
        <f>Bal!I46</f>
        <v>0</v>
      </c>
      <c r="M46" s="311">
        <f>Bal!J46</f>
        <v>0</v>
      </c>
      <c r="N46" s="311">
        <f>Bal!K46</f>
        <v>0</v>
      </c>
    </row>
    <row r="47" spans="2:14" ht="12.75" customHeight="1" x14ac:dyDescent="0.25">
      <c r="B47" s="312"/>
      <c r="D47" s="134">
        <f t="shared" si="0"/>
        <v>34</v>
      </c>
      <c r="E47" s="310" t="str">
        <f>Bal!B47</f>
        <v xml:space="preserve">Capital Social                </v>
      </c>
      <c r="F47" s="311">
        <f>Bal!C47</f>
        <v>0</v>
      </c>
      <c r="G47" s="311">
        <f>Bal!D47</f>
        <v>0</v>
      </c>
      <c r="H47" s="311">
        <f>Bal!E47</f>
        <v>800000</v>
      </c>
      <c r="I47" s="311">
        <f>Bal!F47</f>
        <v>0</v>
      </c>
      <c r="J47" s="311">
        <f>Bal!G47</f>
        <v>0.21</v>
      </c>
      <c r="K47" s="311">
        <f>Bal!H47</f>
        <v>800000</v>
      </c>
      <c r="L47" s="311">
        <f>Bal!I47</f>
        <v>0.14000000000000001</v>
      </c>
      <c r="M47" s="311">
        <f>Bal!J47</f>
        <v>800000</v>
      </c>
      <c r="N47" s="311">
        <f>Bal!K47</f>
        <v>0.15</v>
      </c>
    </row>
    <row r="48" spans="2:14" ht="12.75" customHeight="1" x14ac:dyDescent="0.25">
      <c r="B48" s="312"/>
      <c r="D48" s="134">
        <f t="shared" si="0"/>
        <v>35</v>
      </c>
      <c r="E48" s="310" t="str">
        <f>Bal!B48</f>
        <v xml:space="preserve">Reservas                      </v>
      </c>
      <c r="F48" s="311">
        <f>Bal!C48</f>
        <v>0</v>
      </c>
      <c r="G48" s="311">
        <f>Bal!D48</f>
        <v>0</v>
      </c>
      <c r="H48" s="311">
        <f>Bal!E48</f>
        <v>33328</v>
      </c>
      <c r="I48" s="311">
        <f>Bal!F48</f>
        <v>0</v>
      </c>
      <c r="J48" s="311">
        <f>Bal!G48</f>
        <v>0.01</v>
      </c>
      <c r="K48" s="311">
        <f>Bal!H48</f>
        <v>54296</v>
      </c>
      <c r="L48" s="311">
        <f>Bal!I48</f>
        <v>0.01</v>
      </c>
      <c r="M48" s="311">
        <f>Bal!J48</f>
        <v>80869</v>
      </c>
      <c r="N48" s="311">
        <f>Bal!K48</f>
        <v>0.01</v>
      </c>
    </row>
    <row r="49" spans="2:14" ht="12.75" customHeight="1" x14ac:dyDescent="0.25">
      <c r="B49" s="312"/>
      <c r="D49" s="134">
        <f t="shared" si="0"/>
        <v>39</v>
      </c>
      <c r="E49" s="310" t="str">
        <f>Bal!B49</f>
        <v xml:space="preserve">Utilidad Acumulada            </v>
      </c>
      <c r="F49" s="311">
        <f>Bal!C49</f>
        <v>0</v>
      </c>
      <c r="G49" s="311">
        <f>Bal!D49</f>
        <v>0</v>
      </c>
      <c r="H49" s="311">
        <f>Bal!E49</f>
        <v>618232</v>
      </c>
      <c r="I49" s="311">
        <f>Bal!F49</f>
        <v>0</v>
      </c>
      <c r="J49" s="311">
        <f>Bal!G49</f>
        <v>0.16</v>
      </c>
      <c r="K49" s="311">
        <f>Bal!H49</f>
        <v>1016623</v>
      </c>
      <c r="L49" s="311">
        <f>Bal!I49</f>
        <v>0.18</v>
      </c>
      <c r="M49" s="311">
        <f>Bal!J49</f>
        <v>1521517</v>
      </c>
      <c r="N49" s="311">
        <f>Bal!K49</f>
        <v>0.28000000000000003</v>
      </c>
    </row>
    <row r="50" spans="2:14" ht="12.75" customHeight="1" x14ac:dyDescent="0.25">
      <c r="B50" s="312"/>
      <c r="D50" s="134">
        <f t="shared" si="0"/>
        <v>38</v>
      </c>
      <c r="E50" s="310" t="str">
        <f>Bal!B50</f>
        <v xml:space="preserve">Superavit por Reevaluacion    </v>
      </c>
      <c r="F50" s="311">
        <f>Bal!C50</f>
        <v>0</v>
      </c>
      <c r="G50" s="311">
        <f>Bal!D50</f>
        <v>0</v>
      </c>
      <c r="H50" s="311">
        <f>Bal!E50</f>
        <v>54194</v>
      </c>
      <c r="I50" s="311">
        <f>Bal!F50</f>
        <v>0</v>
      </c>
      <c r="J50" s="311">
        <f>Bal!G50</f>
        <v>0.01</v>
      </c>
      <c r="K50" s="311">
        <f>Bal!H50</f>
        <v>54194</v>
      </c>
      <c r="L50" s="311">
        <f>Bal!I50</f>
        <v>0.01</v>
      </c>
      <c r="M50" s="311">
        <f>Bal!J50</f>
        <v>54194</v>
      </c>
      <c r="N50" s="311">
        <f>Bal!K50</f>
        <v>0.01</v>
      </c>
    </row>
    <row r="51" spans="2:14" ht="12.75" customHeight="1" x14ac:dyDescent="0.25">
      <c r="B51" s="313" t="s">
        <v>23</v>
      </c>
      <c r="C51">
        <v>20</v>
      </c>
      <c r="D51" s="134">
        <f t="shared" si="0"/>
        <v>40</v>
      </c>
      <c r="E51" s="310" t="str">
        <f>Bal!B51</f>
        <v xml:space="preserve">Utilidad del Ejercicio        </v>
      </c>
      <c r="F51" s="311">
        <f>Bal!C51</f>
        <v>0</v>
      </c>
      <c r="G51" s="311">
        <f>Bal!D51</f>
        <v>0</v>
      </c>
      <c r="H51" s="311">
        <f>Bal!E51</f>
        <v>419359</v>
      </c>
      <c r="I51" s="311">
        <f>Bal!F51</f>
        <v>0</v>
      </c>
      <c r="J51" s="311">
        <f>Bal!G51</f>
        <v>0.11</v>
      </c>
      <c r="K51" s="311">
        <f>Bal!H51</f>
        <v>531466</v>
      </c>
      <c r="L51" s="311">
        <f>Bal!I51</f>
        <v>0.1</v>
      </c>
      <c r="M51" s="311">
        <f>Bal!J51</f>
        <v>377879</v>
      </c>
      <c r="N51" s="311">
        <f>Bal!K51</f>
        <v>7.0000000000000007E-2</v>
      </c>
    </row>
    <row r="52" spans="2:14" ht="12.75" customHeight="1" x14ac:dyDescent="0.25">
      <c r="B52" s="313" t="s">
        <v>24</v>
      </c>
      <c r="C52">
        <v>21</v>
      </c>
      <c r="D52" s="134" t="e">
        <f t="shared" si="0"/>
        <v>#N/A</v>
      </c>
      <c r="E52" s="310">
        <f>Bal!B52</f>
        <v>0</v>
      </c>
      <c r="F52" s="311">
        <f>Bal!C52</f>
        <v>0</v>
      </c>
      <c r="G52" s="311">
        <f>Bal!D52</f>
        <v>0</v>
      </c>
      <c r="H52" s="311">
        <f>Bal!E52</f>
        <v>1925113</v>
      </c>
      <c r="I52" s="311">
        <f>Bal!F52</f>
        <v>0</v>
      </c>
      <c r="J52" s="311">
        <f>Bal!G52</f>
        <v>0.5</v>
      </c>
      <c r="K52" s="311">
        <f>Bal!H52</f>
        <v>2456579</v>
      </c>
      <c r="L52" s="311">
        <f>Bal!I52</f>
        <v>0.44</v>
      </c>
      <c r="M52" s="311">
        <f>Bal!J52</f>
        <v>2834459</v>
      </c>
      <c r="N52" s="311">
        <f>Bal!K52</f>
        <v>0.52</v>
      </c>
    </row>
    <row r="53" spans="2:14" ht="12.75" customHeight="1" x14ac:dyDescent="0.25">
      <c r="B53" s="313" t="s">
        <v>2684</v>
      </c>
      <c r="C53">
        <v>22</v>
      </c>
      <c r="D53" s="134" t="e">
        <f t="shared" si="0"/>
        <v>#N/A</v>
      </c>
      <c r="E53" s="310" t="str">
        <f>Bal!B53</f>
        <v>TOTAL DE CAPITAL CONTABLE</v>
      </c>
      <c r="F53" s="311">
        <f>Bal!C53</f>
        <v>0</v>
      </c>
      <c r="G53" s="311">
        <f>Bal!D53</f>
        <v>0</v>
      </c>
      <c r="H53" s="311">
        <f>Bal!E53</f>
        <v>1925113</v>
      </c>
      <c r="I53" s="311">
        <f>Bal!F53</f>
        <v>0</v>
      </c>
      <c r="J53" s="311">
        <f>Bal!G53</f>
        <v>0.5</v>
      </c>
      <c r="K53" s="311">
        <f>Bal!H53</f>
        <v>2456579</v>
      </c>
      <c r="L53" s="311">
        <f>Bal!I53</f>
        <v>0.44</v>
      </c>
      <c r="M53" s="311">
        <f>Bal!J53</f>
        <v>2834459</v>
      </c>
      <c r="N53" s="311">
        <f>Bal!K53</f>
        <v>0.52</v>
      </c>
    </row>
    <row r="54" spans="2:14" ht="12.75" customHeight="1" x14ac:dyDescent="0.25">
      <c r="B54" s="313" t="s">
        <v>25</v>
      </c>
      <c r="C54">
        <v>23</v>
      </c>
      <c r="D54" s="134" t="e">
        <f t="shared" si="0"/>
        <v>#N/A</v>
      </c>
      <c r="E54" s="310" t="str">
        <f>Bal!B54</f>
        <v xml:space="preserve">TOTAL DE PASIVO + CAPITAL </v>
      </c>
      <c r="F54" s="311">
        <f>Bal!C54</f>
        <v>0</v>
      </c>
      <c r="G54" s="311">
        <f>Bal!D54</f>
        <v>0</v>
      </c>
      <c r="H54" s="311">
        <f>Bal!E54</f>
        <v>3901734</v>
      </c>
      <c r="I54" s="311">
        <f>Bal!F54</f>
        <v>0</v>
      </c>
      <c r="J54" s="311">
        <f>Bal!G54</f>
        <v>1</v>
      </c>
      <c r="K54" s="311">
        <f>Bal!H54</f>
        <v>5571177</v>
      </c>
      <c r="L54" s="311">
        <f>Bal!I54</f>
        <v>1</v>
      </c>
      <c r="M54" s="311">
        <f>Bal!J54</f>
        <v>5464459</v>
      </c>
      <c r="N54" s="311">
        <f>Bal!K54</f>
        <v>1</v>
      </c>
    </row>
    <row r="55" spans="2:14" ht="12.75" customHeight="1" x14ac:dyDescent="0.25">
      <c r="B55" s="313" t="s">
        <v>26</v>
      </c>
      <c r="C55">
        <v>24</v>
      </c>
      <c r="D55" s="134" t="e">
        <f t="shared" si="0"/>
        <v>#N/A</v>
      </c>
      <c r="E55" s="310" t="str">
        <f>Bal!B55</f>
        <v>TOTAL DE ACTIVO</v>
      </c>
      <c r="F55" s="311">
        <f>Bal!C55</f>
        <v>0</v>
      </c>
      <c r="G55" s="311">
        <f>Bal!D55</f>
        <v>0</v>
      </c>
      <c r="H55" s="311">
        <f>Bal!E55</f>
        <v>3901734</v>
      </c>
      <c r="I55" s="311">
        <f>Bal!F55</f>
        <v>0</v>
      </c>
      <c r="J55" s="311">
        <f>Bal!G55</f>
        <v>1</v>
      </c>
      <c r="K55" s="311">
        <f>Bal!H55</f>
        <v>5571177</v>
      </c>
      <c r="L55" s="311">
        <f>Bal!I55</f>
        <v>1</v>
      </c>
      <c r="M55" s="311">
        <f>Bal!J55</f>
        <v>5464459</v>
      </c>
      <c r="N55" s="311">
        <f>Bal!K55</f>
        <v>1</v>
      </c>
    </row>
    <row r="56" spans="2:14" ht="12.75" customHeight="1" x14ac:dyDescent="0.25">
      <c r="B56" s="313" t="s">
        <v>2685</v>
      </c>
      <c r="C56">
        <v>25</v>
      </c>
      <c r="D56" s="134" t="e">
        <f t="shared" si="0"/>
        <v>#N/A</v>
      </c>
      <c r="E56" s="310" t="str">
        <f>Bal!B56</f>
        <v>ESTADO DE RESULTADOS</v>
      </c>
      <c r="F56" s="311">
        <f>Bal!C56</f>
        <v>0</v>
      </c>
      <c r="G56" s="311">
        <f>Bal!D56</f>
        <v>0</v>
      </c>
      <c r="H56" s="311">
        <f>Bal!E56</f>
        <v>0</v>
      </c>
      <c r="I56" s="311">
        <f>Bal!F56</f>
        <v>0</v>
      </c>
      <c r="J56" s="311">
        <f>Bal!G56</f>
        <v>0</v>
      </c>
      <c r="K56" s="311">
        <f>Bal!H56</f>
        <v>0</v>
      </c>
      <c r="L56" s="311">
        <f>Bal!I56</f>
        <v>0</v>
      </c>
      <c r="M56" s="311">
        <f>Bal!J56</f>
        <v>0</v>
      </c>
      <c r="N56" s="311">
        <f>Bal!K56</f>
        <v>0</v>
      </c>
    </row>
    <row r="57" spans="2:14" ht="12.75" customHeight="1" x14ac:dyDescent="0.25">
      <c r="B57" s="313" t="s">
        <v>2686</v>
      </c>
      <c r="C57">
        <v>26</v>
      </c>
      <c r="D57" s="134" t="e">
        <f t="shared" si="0"/>
        <v>#N/A</v>
      </c>
      <c r="E57" s="310" t="str">
        <f>Bal!B57</f>
        <v xml:space="preserve">UTILIDAD BRUTA                </v>
      </c>
      <c r="F57" s="311">
        <f>Bal!C57</f>
        <v>0</v>
      </c>
      <c r="G57" s="311">
        <f>Bal!D57</f>
        <v>0</v>
      </c>
      <c r="H57" s="311">
        <f>Bal!E57</f>
        <v>0</v>
      </c>
      <c r="I57" s="311">
        <f>Bal!F57</f>
        <v>0</v>
      </c>
      <c r="J57" s="311">
        <f>Bal!G57</f>
        <v>0</v>
      </c>
      <c r="K57" s="311">
        <f>Bal!H57</f>
        <v>0</v>
      </c>
      <c r="L57" s="311">
        <f>Bal!I57</f>
        <v>0</v>
      </c>
      <c r="M57" s="311">
        <f>Bal!J57</f>
        <v>0</v>
      </c>
      <c r="N57" s="311">
        <f>Bal!K57</f>
        <v>0</v>
      </c>
    </row>
    <row r="58" spans="2:14" ht="12.75" customHeight="1" x14ac:dyDescent="0.25">
      <c r="B58" s="313" t="s">
        <v>2687</v>
      </c>
      <c r="C58">
        <v>27</v>
      </c>
      <c r="D58" s="134" t="e">
        <f t="shared" si="0"/>
        <v>#N/A</v>
      </c>
      <c r="E58" s="310">
        <f>Bal!B58</f>
        <v>0</v>
      </c>
      <c r="F58" s="311">
        <f>Bal!C58</f>
        <v>0</v>
      </c>
      <c r="G58" s="311">
        <f>Bal!D58</f>
        <v>0</v>
      </c>
      <c r="H58" s="311">
        <f>Bal!E58</f>
        <v>0</v>
      </c>
      <c r="I58" s="311">
        <f>Bal!F58</f>
        <v>0</v>
      </c>
      <c r="J58" s="311">
        <f>Bal!G58</f>
        <v>0</v>
      </c>
      <c r="K58" s="311">
        <f>Bal!H58</f>
        <v>0</v>
      </c>
      <c r="L58" s="311">
        <f>Bal!I58</f>
        <v>0</v>
      </c>
      <c r="M58" s="311">
        <f>Bal!J58</f>
        <v>0</v>
      </c>
      <c r="N58" s="311">
        <f>Bal!K58</f>
        <v>0</v>
      </c>
    </row>
    <row r="59" spans="2:14" ht="12.75" customHeight="1" x14ac:dyDescent="0.25">
      <c r="B59" s="313" t="s">
        <v>2688</v>
      </c>
      <c r="C59">
        <v>28</v>
      </c>
      <c r="D59" s="134">
        <f t="shared" si="0"/>
        <v>43</v>
      </c>
      <c r="E59" s="310" t="str">
        <f>Bal!B59</f>
        <v xml:space="preserve">Ventas                        </v>
      </c>
      <c r="F59" s="311">
        <f>Bal!C59</f>
        <v>0</v>
      </c>
      <c r="G59" s="311">
        <f>Bal!D59</f>
        <v>0</v>
      </c>
      <c r="H59" s="311">
        <f>Bal!E59</f>
        <v>2178748</v>
      </c>
      <c r="I59" s="311">
        <f>Bal!F59</f>
        <v>0</v>
      </c>
      <c r="J59" s="311">
        <f>Bal!G59</f>
        <v>1</v>
      </c>
      <c r="K59" s="311">
        <f>Bal!H59</f>
        <v>2406741</v>
      </c>
      <c r="L59" s="311">
        <f>Bal!I59</f>
        <v>1</v>
      </c>
      <c r="M59" s="311">
        <f>Bal!J59</f>
        <v>1228870</v>
      </c>
      <c r="N59" s="311">
        <f>Bal!K59</f>
        <v>1</v>
      </c>
    </row>
    <row r="60" spans="2:14" ht="12.75" customHeight="1" x14ac:dyDescent="0.25">
      <c r="B60" s="312"/>
      <c r="C60">
        <v>29</v>
      </c>
      <c r="D60" s="134">
        <f t="shared" si="0"/>
        <v>44</v>
      </c>
      <c r="E60" s="310" t="str">
        <f>Bal!B60</f>
        <v xml:space="preserve">Costo de Ventas               </v>
      </c>
      <c r="F60" s="311">
        <f>Bal!C60</f>
        <v>0</v>
      </c>
      <c r="G60" s="311">
        <f>Bal!D60</f>
        <v>0</v>
      </c>
      <c r="H60" s="311">
        <f>Bal!E60</f>
        <v>1239161</v>
      </c>
      <c r="I60" s="311">
        <f>Bal!F60</f>
        <v>0</v>
      </c>
      <c r="J60" s="311">
        <f>Bal!G60</f>
        <v>0.56999999999999995</v>
      </c>
      <c r="K60" s="311">
        <f>Bal!H60</f>
        <v>1102291</v>
      </c>
      <c r="L60" s="311">
        <f>Bal!I60</f>
        <v>0.46</v>
      </c>
      <c r="M60" s="311">
        <f>Bal!J60</f>
        <v>575660</v>
      </c>
      <c r="N60" s="311">
        <f>Bal!K60</f>
        <v>0.47</v>
      </c>
    </row>
    <row r="61" spans="2:14" ht="12.75" customHeight="1" x14ac:dyDescent="0.25">
      <c r="B61" s="312"/>
      <c r="D61" s="134" t="e">
        <f t="shared" si="0"/>
        <v>#N/A</v>
      </c>
      <c r="E61" s="310">
        <f>Bal!B61</f>
        <v>0</v>
      </c>
      <c r="F61" s="311">
        <f>Bal!C61</f>
        <v>0</v>
      </c>
      <c r="G61" s="311">
        <f>Bal!D61</f>
        <v>0</v>
      </c>
      <c r="H61" s="311">
        <f>Bal!E61</f>
        <v>939587</v>
      </c>
      <c r="I61" s="311">
        <f>Bal!F61</f>
        <v>0</v>
      </c>
      <c r="J61" s="311">
        <f>Bal!G61</f>
        <v>0.43</v>
      </c>
      <c r="K61" s="311">
        <f>Bal!H61</f>
        <v>1304450</v>
      </c>
      <c r="L61" s="311">
        <f>Bal!I61</f>
        <v>0.54</v>
      </c>
      <c r="M61" s="311">
        <f>Bal!J61</f>
        <v>653210</v>
      </c>
      <c r="N61" s="311">
        <f>Bal!K61</f>
        <v>0.53</v>
      </c>
    </row>
    <row r="62" spans="2:14" ht="12.75" customHeight="1" x14ac:dyDescent="0.25">
      <c r="B62" s="312"/>
      <c r="D62" s="134" t="e">
        <f t="shared" si="0"/>
        <v>#N/A</v>
      </c>
      <c r="E62" s="310" t="str">
        <f>Bal!B62</f>
        <v xml:space="preserve">UTILIDAD DE OPERACION         </v>
      </c>
      <c r="F62" s="311">
        <f>Bal!C62</f>
        <v>0</v>
      </c>
      <c r="G62" s="311">
        <f>Bal!D62</f>
        <v>0</v>
      </c>
      <c r="H62" s="311">
        <f>Bal!E62</f>
        <v>0</v>
      </c>
      <c r="I62" s="311">
        <f>Bal!F62</f>
        <v>0</v>
      </c>
      <c r="J62" s="311">
        <f>Bal!G62</f>
        <v>0</v>
      </c>
      <c r="K62" s="311">
        <f>Bal!H62</f>
        <v>0</v>
      </c>
      <c r="L62" s="311">
        <f>Bal!I62</f>
        <v>0</v>
      </c>
      <c r="M62" s="311">
        <f>Bal!J62</f>
        <v>0</v>
      </c>
      <c r="N62" s="311">
        <f>Bal!K62</f>
        <v>0</v>
      </c>
    </row>
    <row r="63" spans="2:14" ht="12.75" customHeight="1" x14ac:dyDescent="0.25">
      <c r="B63" s="312"/>
      <c r="D63" s="134" t="e">
        <f t="shared" si="0"/>
        <v>#N/A</v>
      </c>
      <c r="E63" s="310">
        <f>Bal!B63</f>
        <v>0</v>
      </c>
      <c r="F63" s="311">
        <f>Bal!C63</f>
        <v>0</v>
      </c>
      <c r="G63" s="311">
        <f>Bal!D63</f>
        <v>0</v>
      </c>
      <c r="H63" s="311">
        <f>Bal!E63</f>
        <v>0</v>
      </c>
      <c r="I63" s="311">
        <f>Bal!F63</f>
        <v>0</v>
      </c>
      <c r="J63" s="311">
        <f>Bal!G63</f>
        <v>0</v>
      </c>
      <c r="K63" s="311">
        <f>Bal!H63</f>
        <v>0</v>
      </c>
      <c r="L63" s="311">
        <f>Bal!I63</f>
        <v>0</v>
      </c>
      <c r="M63" s="311">
        <f>Bal!J63</f>
        <v>0</v>
      </c>
      <c r="N63" s="311">
        <f>Bal!K63</f>
        <v>0</v>
      </c>
    </row>
    <row r="64" spans="2:14" ht="12.75" customHeight="1" x14ac:dyDescent="0.25">
      <c r="B64" s="312"/>
      <c r="D64" s="134">
        <f t="shared" si="0"/>
        <v>48</v>
      </c>
      <c r="E64" s="310" t="str">
        <f>Bal!B64</f>
        <v xml:space="preserve">Gastos de Venta               </v>
      </c>
      <c r="F64" s="311">
        <f>Bal!C64</f>
        <v>0</v>
      </c>
      <c r="G64" s="311">
        <f>Bal!D64</f>
        <v>0</v>
      </c>
      <c r="H64" s="311">
        <f>Bal!E64</f>
        <v>191143</v>
      </c>
      <c r="I64" s="311">
        <f>Bal!F64</f>
        <v>0</v>
      </c>
      <c r="J64" s="311">
        <f>Bal!G64</f>
        <v>0.09</v>
      </c>
      <c r="K64" s="311">
        <f>Bal!H64</f>
        <v>217833</v>
      </c>
      <c r="L64" s="311">
        <f>Bal!I64</f>
        <v>0.09</v>
      </c>
      <c r="M64" s="311">
        <f>Bal!J64</f>
        <v>125992</v>
      </c>
      <c r="N64" s="311">
        <f>Bal!K64</f>
        <v>0.1</v>
      </c>
    </row>
    <row r="65" spans="2:14" ht="12.75" customHeight="1" x14ac:dyDescent="0.25">
      <c r="B65" s="313" t="s">
        <v>28</v>
      </c>
      <c r="C65">
        <v>29</v>
      </c>
      <c r="D65" s="134" t="e">
        <f t="shared" si="0"/>
        <v>#N/A</v>
      </c>
      <c r="E65" s="310">
        <f>Bal!B65</f>
        <v>0</v>
      </c>
      <c r="F65" s="311">
        <f>Bal!C65</f>
        <v>0</v>
      </c>
      <c r="G65" s="311">
        <f>Bal!D65</f>
        <v>0</v>
      </c>
      <c r="H65" s="311">
        <f>Bal!E65</f>
        <v>748444</v>
      </c>
      <c r="I65" s="311">
        <f>Bal!F65</f>
        <v>0</v>
      </c>
      <c r="J65" s="311">
        <f>Bal!G65</f>
        <v>0.34</v>
      </c>
      <c r="K65" s="311">
        <f>Bal!H65</f>
        <v>1086617</v>
      </c>
      <c r="L65" s="311">
        <f>Bal!I65</f>
        <v>0.45</v>
      </c>
      <c r="M65" s="311">
        <f>Bal!J65</f>
        <v>527218</v>
      </c>
      <c r="N65" s="311">
        <f>Bal!K65</f>
        <v>0.43</v>
      </c>
    </row>
    <row r="66" spans="2:14" ht="12.75" customHeight="1" x14ac:dyDescent="0.25">
      <c r="B66" s="313" t="s">
        <v>2689</v>
      </c>
      <c r="C66">
        <v>30</v>
      </c>
      <c r="D66" s="134" t="e">
        <f t="shared" si="0"/>
        <v>#N/A</v>
      </c>
      <c r="E66" s="310" t="str">
        <f>Bal!B66</f>
        <v xml:space="preserve">UTILIDAD NETA                 </v>
      </c>
      <c r="F66" s="311">
        <f>Bal!C66</f>
        <v>0</v>
      </c>
      <c r="G66" s="311">
        <f>Bal!D66</f>
        <v>0</v>
      </c>
      <c r="H66" s="311">
        <f>Bal!E66</f>
        <v>0</v>
      </c>
      <c r="I66" s="311">
        <f>Bal!F66</f>
        <v>0</v>
      </c>
      <c r="J66" s="311">
        <f>Bal!G66</f>
        <v>0</v>
      </c>
      <c r="K66" s="311">
        <f>Bal!H66</f>
        <v>0</v>
      </c>
      <c r="L66" s="311">
        <f>Bal!I66</f>
        <v>0</v>
      </c>
      <c r="M66" s="311">
        <f>Bal!J66</f>
        <v>0</v>
      </c>
      <c r="N66" s="311">
        <f>Bal!K66</f>
        <v>0</v>
      </c>
    </row>
    <row r="67" spans="2:14" ht="12.75" customHeight="1" x14ac:dyDescent="0.25">
      <c r="B67" s="313" t="s">
        <v>2690</v>
      </c>
      <c r="C67">
        <v>31</v>
      </c>
      <c r="D67" s="134" t="e">
        <f t="shared" si="0"/>
        <v>#N/A</v>
      </c>
      <c r="E67" s="310">
        <f>Bal!B67</f>
        <v>0</v>
      </c>
      <c r="F67" s="311">
        <f>Bal!C67</f>
        <v>0</v>
      </c>
      <c r="G67" s="311">
        <f>Bal!D67</f>
        <v>0</v>
      </c>
      <c r="H67" s="311">
        <f>Bal!E67</f>
        <v>0</v>
      </c>
      <c r="I67" s="311">
        <f>Bal!F67</f>
        <v>0</v>
      </c>
      <c r="J67" s="311">
        <f>Bal!G67</f>
        <v>0</v>
      </c>
      <c r="K67" s="311">
        <f>Bal!H67</f>
        <v>0</v>
      </c>
      <c r="L67" s="311">
        <f>Bal!I67</f>
        <v>0</v>
      </c>
      <c r="M67" s="311">
        <f>Bal!J67</f>
        <v>0</v>
      </c>
      <c r="N67" s="311">
        <f>Bal!K67</f>
        <v>0</v>
      </c>
    </row>
    <row r="68" spans="2:14" ht="12.75" customHeight="1" x14ac:dyDescent="0.25">
      <c r="B68" s="312"/>
      <c r="D68" s="134">
        <f t="shared" si="0"/>
        <v>51</v>
      </c>
      <c r="E68" s="310" t="str">
        <f>Bal!B68</f>
        <v xml:space="preserve">Gastos Financieros            </v>
      </c>
      <c r="F68" s="311">
        <f>Bal!C68</f>
        <v>0</v>
      </c>
      <c r="G68" s="311">
        <f>Bal!D68</f>
        <v>0</v>
      </c>
      <c r="H68" s="311">
        <f>Bal!E68</f>
        <v>73064</v>
      </c>
      <c r="I68" s="311">
        <f>Bal!F68</f>
        <v>0</v>
      </c>
      <c r="J68" s="311">
        <f>Bal!G68</f>
        <v>0.03</v>
      </c>
      <c r="K68" s="311">
        <f>Bal!H68</f>
        <v>335152</v>
      </c>
      <c r="L68" s="311">
        <f>Bal!I68</f>
        <v>0.14000000000000001</v>
      </c>
      <c r="M68" s="311">
        <f>Bal!J68</f>
        <v>60760</v>
      </c>
      <c r="N68" s="311">
        <f>Bal!K68</f>
        <v>0.05</v>
      </c>
    </row>
    <row r="69" spans="2:14" ht="12.75" customHeight="1" x14ac:dyDescent="0.25">
      <c r="B69" s="312"/>
      <c r="D69" s="134">
        <f t="shared" si="0"/>
        <v>54</v>
      </c>
      <c r="E69" s="310" t="str">
        <f>Bal!B69</f>
        <v xml:space="preserve">Otros Ingresos (-)            </v>
      </c>
      <c r="F69" s="311">
        <f>Bal!C69</f>
        <v>0</v>
      </c>
      <c r="G69" s="311">
        <f>Bal!D69</f>
        <v>0</v>
      </c>
      <c r="H69" s="311">
        <f>Bal!E69</f>
        <v>-1005</v>
      </c>
      <c r="I69" s="311">
        <f>Bal!F69</f>
        <v>0</v>
      </c>
      <c r="J69" s="311">
        <f>Bal!G69</f>
        <v>0</v>
      </c>
      <c r="K69" s="311">
        <f>Bal!H69</f>
        <v>-105738</v>
      </c>
      <c r="L69" s="311">
        <f>Bal!I69</f>
        <v>-0.04</v>
      </c>
      <c r="M69" s="311">
        <f>Bal!J69</f>
        <v>-58374</v>
      </c>
      <c r="N69" s="311">
        <f>Bal!K69</f>
        <v>-0.05</v>
      </c>
    </row>
    <row r="70" spans="2:14" ht="12.75" customHeight="1" x14ac:dyDescent="0.25">
      <c r="B70" s="312"/>
      <c r="D70" s="134">
        <f t="shared" si="0"/>
        <v>60</v>
      </c>
      <c r="E70" s="310" t="str">
        <f>Bal!B70</f>
        <v xml:space="preserve">Impuestos                     </v>
      </c>
      <c r="F70" s="311">
        <f>Bal!C70</f>
        <v>0</v>
      </c>
      <c r="G70" s="311">
        <f>Bal!D70</f>
        <v>0</v>
      </c>
      <c r="H70" s="311">
        <f>Bal!E70</f>
        <v>257026</v>
      </c>
      <c r="I70" s="311">
        <f>Bal!F70</f>
        <v>0</v>
      </c>
      <c r="J70" s="311">
        <f>Bal!G70</f>
        <v>0.12</v>
      </c>
      <c r="K70" s="311">
        <f>Bal!H70</f>
        <v>325737</v>
      </c>
      <c r="L70" s="311">
        <f>Bal!I70</f>
        <v>0.14000000000000001</v>
      </c>
      <c r="M70" s="311">
        <f>Bal!J70</f>
        <v>146953</v>
      </c>
      <c r="N70" s="311">
        <f>Bal!K70</f>
        <v>0.12</v>
      </c>
    </row>
    <row r="71" spans="2:14" ht="12.75" customHeight="1" x14ac:dyDescent="0.25">
      <c r="B71" s="312"/>
      <c r="D71" s="134" t="e">
        <f t="shared" si="0"/>
        <v>#N/A</v>
      </c>
      <c r="E71" s="310">
        <f>Bal!B71</f>
        <v>0</v>
      </c>
      <c r="F71" s="311">
        <f>Bal!C71</f>
        <v>0</v>
      </c>
      <c r="G71" s="311">
        <f>Bal!D71</f>
        <v>0</v>
      </c>
      <c r="H71" s="311">
        <f>Bal!E71</f>
        <v>419359</v>
      </c>
      <c r="I71" s="311">
        <f>Bal!F71</f>
        <v>0</v>
      </c>
      <c r="J71" s="311">
        <f>Bal!G71</f>
        <v>0.19</v>
      </c>
      <c r="K71" s="311">
        <f>Bal!H71</f>
        <v>531466</v>
      </c>
      <c r="L71" s="311">
        <f>Bal!I71</f>
        <v>0.21</v>
      </c>
      <c r="M71" s="311">
        <f>Bal!J71</f>
        <v>377879</v>
      </c>
      <c r="N71" s="311">
        <f>Bal!K71</f>
        <v>0.31</v>
      </c>
    </row>
    <row r="72" spans="2:14" ht="12.75" customHeight="1" x14ac:dyDescent="0.25">
      <c r="B72" s="312"/>
      <c r="D72" s="134" t="e">
        <f t="shared" si="0"/>
        <v>#N/A</v>
      </c>
      <c r="E72" s="310" t="str">
        <f>Bal!B72</f>
        <v xml:space="preserve">CONCILIACION                  </v>
      </c>
      <c r="F72" s="311">
        <f>Bal!C72</f>
        <v>0</v>
      </c>
      <c r="G72" s="311">
        <f>Bal!D72</f>
        <v>0</v>
      </c>
      <c r="H72" s="311">
        <f>Bal!E72</f>
        <v>0</v>
      </c>
      <c r="I72" s="311">
        <f>Bal!F72</f>
        <v>0</v>
      </c>
      <c r="J72" s="311">
        <f>Bal!G72</f>
        <v>0</v>
      </c>
      <c r="K72" s="311">
        <f>Bal!H72</f>
        <v>0</v>
      </c>
      <c r="L72" s="311">
        <f>Bal!I72</f>
        <v>0</v>
      </c>
      <c r="M72" s="311">
        <f>Bal!J72</f>
        <v>0</v>
      </c>
      <c r="N72" s="311">
        <f>Bal!K72</f>
        <v>0</v>
      </c>
    </row>
    <row r="73" spans="2:14" ht="12.75" customHeight="1" x14ac:dyDescent="0.25">
      <c r="B73" s="313" t="s">
        <v>2691</v>
      </c>
      <c r="C73">
        <v>32</v>
      </c>
      <c r="D73" s="134" t="e">
        <f t="shared" si="0"/>
        <v>#N/A</v>
      </c>
      <c r="E73" s="310">
        <f>Bal!B73</f>
        <v>0</v>
      </c>
      <c r="F73" s="311">
        <f>Bal!C73</f>
        <v>0</v>
      </c>
      <c r="G73" s="311">
        <f>Bal!D73</f>
        <v>0</v>
      </c>
      <c r="H73" s="311">
        <f>Bal!E73</f>
        <v>0</v>
      </c>
      <c r="I73" s="311">
        <f>Bal!F73</f>
        <v>0</v>
      </c>
      <c r="J73" s="311">
        <f>Bal!G73</f>
        <v>0</v>
      </c>
      <c r="K73" s="311">
        <f>Bal!H73</f>
        <v>0</v>
      </c>
      <c r="L73" s="311">
        <f>Bal!I73</f>
        <v>0</v>
      </c>
      <c r="M73" s="311">
        <f>Bal!J73</f>
        <v>0</v>
      </c>
      <c r="N73" s="311">
        <f>Bal!K73</f>
        <v>0</v>
      </c>
    </row>
    <row r="74" spans="2:14" ht="12.75" customHeight="1" x14ac:dyDescent="0.25">
      <c r="B74" s="313" t="s">
        <v>2692</v>
      </c>
      <c r="C74">
        <v>33</v>
      </c>
      <c r="D74" s="134" t="e">
        <f t="shared" si="0"/>
        <v>#N/A</v>
      </c>
      <c r="E74" s="310" t="str">
        <f>Bal!B74</f>
        <v xml:space="preserve">Inv. o Vta. Activos Fijos     </v>
      </c>
      <c r="F74" s="311">
        <f>Bal!C74</f>
        <v>0</v>
      </c>
      <c r="G74" s="311">
        <f>Bal!D74</f>
        <v>0</v>
      </c>
      <c r="H74" s="311">
        <f>Bal!E74</f>
        <v>0</v>
      </c>
      <c r="I74" s="311">
        <f>Bal!F74</f>
        <v>0</v>
      </c>
      <c r="J74" s="311">
        <f>Bal!G74</f>
        <v>0</v>
      </c>
      <c r="K74" s="311">
        <f>Bal!H74</f>
        <v>515047</v>
      </c>
      <c r="L74" s="311">
        <f>Bal!I74</f>
        <v>0</v>
      </c>
      <c r="M74" s="311">
        <f>Bal!J74</f>
        <v>101726</v>
      </c>
      <c r="N74" s="311">
        <f>Bal!K74</f>
        <v>0</v>
      </c>
    </row>
    <row r="75" spans="2:14" ht="12.75" customHeight="1" x14ac:dyDescent="0.25">
      <c r="B75" s="313"/>
      <c r="D75" s="134" t="e">
        <f t="shared" ref="D75:D138" si="1">HLOOKUP(E75,$S$3:$EN$4,2,0)</f>
        <v>#N/A</v>
      </c>
      <c r="E75" s="310" t="str">
        <f>Bal!B75</f>
        <v xml:space="preserve">Depreciacion del Ejercicio    </v>
      </c>
      <c r="F75" s="311">
        <f>Bal!C75</f>
        <v>0</v>
      </c>
      <c r="G75" s="311">
        <f>Bal!D75</f>
        <v>0</v>
      </c>
      <c r="H75" s="311">
        <f>Bal!E75</f>
        <v>0</v>
      </c>
      <c r="I75" s="311">
        <f>Bal!F75</f>
        <v>0</v>
      </c>
      <c r="J75" s="311">
        <f>Bal!G75</f>
        <v>0</v>
      </c>
      <c r="K75" s="311">
        <f>Bal!H75</f>
        <v>167359</v>
      </c>
      <c r="L75" s="311">
        <f>Bal!I75</f>
        <v>0</v>
      </c>
      <c r="M75" s="311">
        <f>Bal!J75</f>
        <v>92736</v>
      </c>
      <c r="N75" s="311">
        <f>Bal!K75</f>
        <v>0</v>
      </c>
    </row>
    <row r="76" spans="2:14" ht="12.75" customHeight="1" x14ac:dyDescent="0.25">
      <c r="B76" s="312"/>
      <c r="D76" s="134" t="e">
        <f t="shared" si="1"/>
        <v>#N/A</v>
      </c>
      <c r="E76" s="310">
        <f>Bal!B76</f>
        <v>0</v>
      </c>
      <c r="F76" s="311">
        <f>Bal!C76</f>
        <v>0</v>
      </c>
      <c r="G76" s="311">
        <f>Bal!D76</f>
        <v>0</v>
      </c>
      <c r="H76" s="311">
        <f>Bal!E76</f>
        <v>0</v>
      </c>
      <c r="I76" s="311">
        <f>Bal!F76</f>
        <v>0</v>
      </c>
      <c r="J76" s="311">
        <f>Bal!G76</f>
        <v>0</v>
      </c>
      <c r="K76" s="311">
        <f>Bal!H76</f>
        <v>682406</v>
      </c>
      <c r="L76" s="311">
        <f>Bal!I76</f>
        <v>0</v>
      </c>
      <c r="M76" s="311">
        <f>Bal!J76</f>
        <v>194462</v>
      </c>
      <c r="N76" s="311">
        <f>Bal!K76</f>
        <v>0</v>
      </c>
    </row>
    <row r="77" spans="2:14" ht="12.75" customHeight="1" x14ac:dyDescent="0.25">
      <c r="B77" s="312"/>
      <c r="D77" s="134" t="e">
        <f t="shared" si="1"/>
        <v>#N/A</v>
      </c>
      <c r="E77" s="310">
        <f>Bal!B77</f>
        <v>0</v>
      </c>
      <c r="F77" s="311">
        <f>Bal!C77</f>
        <v>0</v>
      </c>
      <c r="G77" s="311">
        <f>Bal!D77</f>
        <v>0</v>
      </c>
      <c r="H77" s="311">
        <f>Bal!E77</f>
        <v>0</v>
      </c>
      <c r="I77" s="311">
        <f>Bal!F77</f>
        <v>0</v>
      </c>
      <c r="J77" s="311">
        <f>Bal!G77</f>
        <v>0</v>
      </c>
      <c r="K77" s="311">
        <f>Bal!H77</f>
        <v>0</v>
      </c>
      <c r="L77" s="311">
        <f>Bal!I77</f>
        <v>0</v>
      </c>
      <c r="M77" s="311">
        <f>Bal!J77</f>
        <v>0</v>
      </c>
      <c r="N77" s="311">
        <f>Bal!K77</f>
        <v>0</v>
      </c>
    </row>
    <row r="78" spans="2:14" ht="12.75" customHeight="1" x14ac:dyDescent="0.25">
      <c r="B78" s="312"/>
      <c r="D78" s="134" t="e">
        <f t="shared" si="1"/>
        <v>#N/A</v>
      </c>
      <c r="E78" s="310" t="str">
        <f>Bal!B78</f>
        <v>CIFRA DE UTILIDADES EN EL BALANCE</v>
      </c>
      <c r="F78" s="311">
        <f>Bal!C78</f>
        <v>0</v>
      </c>
      <c r="G78" s="311">
        <f>Bal!D78</f>
        <v>0</v>
      </c>
      <c r="H78" s="311">
        <f>Bal!E78</f>
        <v>0</v>
      </c>
      <c r="I78" s="311">
        <f>Bal!F78</f>
        <v>0</v>
      </c>
      <c r="J78" s="311">
        <f>Bal!G78</f>
        <v>0</v>
      </c>
      <c r="K78" s="311">
        <f>Bal!H78</f>
        <v>0</v>
      </c>
      <c r="L78" s="311">
        <f>Bal!I78</f>
        <v>0</v>
      </c>
      <c r="M78" s="311">
        <f>Bal!J78</f>
        <v>0</v>
      </c>
      <c r="N78" s="311">
        <f>Bal!K78</f>
        <v>0</v>
      </c>
    </row>
    <row r="79" spans="2:14" ht="12.75" customHeight="1" x14ac:dyDescent="0.25">
      <c r="B79" s="312"/>
      <c r="D79" s="134" t="e">
        <f t="shared" si="1"/>
        <v>#N/A</v>
      </c>
      <c r="E79" s="310" t="str">
        <f>Bal!B79</f>
        <v>NOTA: Las cifras entre paréntesis se suman al Estado de Resultados.</v>
      </c>
      <c r="F79" s="311">
        <f>Bal!C79</f>
        <v>0</v>
      </c>
      <c r="G79" s="311">
        <f>Bal!D79</f>
        <v>0</v>
      </c>
      <c r="H79" s="311">
        <f>Bal!E79</f>
        <v>0</v>
      </c>
      <c r="I79" s="311">
        <f>Bal!F79</f>
        <v>0</v>
      </c>
      <c r="J79" s="311">
        <f>Bal!G79</f>
        <v>0</v>
      </c>
      <c r="K79" s="311">
        <f>Bal!H79</f>
        <v>0</v>
      </c>
      <c r="L79" s="311">
        <f>Bal!I79</f>
        <v>0</v>
      </c>
      <c r="M79" s="311">
        <f>Bal!J79</f>
        <v>0</v>
      </c>
      <c r="N79" s="311">
        <f>Bal!K79</f>
        <v>0</v>
      </c>
    </row>
    <row r="80" spans="2:14" ht="12.75" customHeight="1" x14ac:dyDescent="0.25">
      <c r="B80" s="312"/>
      <c r="D80" s="134" t="e">
        <f t="shared" si="1"/>
        <v>#N/A</v>
      </c>
      <c r="E80" s="310">
        <f>Bal!B80</f>
        <v>0</v>
      </c>
      <c r="F80" s="311">
        <f>Bal!C80</f>
        <v>0</v>
      </c>
      <c r="G80" s="311">
        <f>Bal!D80</f>
        <v>0</v>
      </c>
      <c r="H80" s="311">
        <f>Bal!E80</f>
        <v>0</v>
      </c>
      <c r="I80" s="311">
        <f>Bal!F80</f>
        <v>0</v>
      </c>
      <c r="J80" s="311">
        <f>Bal!G80</f>
        <v>0</v>
      </c>
      <c r="K80" s="311">
        <f>Bal!H80</f>
        <v>0</v>
      </c>
      <c r="L80" s="311">
        <f>Bal!I80</f>
        <v>0</v>
      </c>
      <c r="M80" s="311">
        <f>Bal!J80</f>
        <v>0</v>
      </c>
      <c r="N80" s="311" t="str">
        <f>Bal!K80</f>
        <v xml:space="preserve"> 4294967295  of  1</v>
      </c>
    </row>
    <row r="81" spans="2:14" ht="12.75" customHeight="1" x14ac:dyDescent="0.25">
      <c r="B81" s="312"/>
      <c r="D81" s="134" t="e">
        <f t="shared" si="1"/>
        <v>#N/A</v>
      </c>
      <c r="E81" s="310">
        <f>Bal!B81</f>
        <v>0</v>
      </c>
      <c r="F81" s="311">
        <f>Bal!C81</f>
        <v>0</v>
      </c>
      <c r="G81" s="311">
        <f>Bal!D81</f>
        <v>0</v>
      </c>
      <c r="H81" s="311">
        <f>Bal!E81</f>
        <v>0</v>
      </c>
      <c r="I81" s="311">
        <f>Bal!F81</f>
        <v>0</v>
      </c>
      <c r="J81" s="311">
        <f>Bal!G81</f>
        <v>0</v>
      </c>
      <c r="K81" s="311">
        <f>Bal!H81</f>
        <v>0</v>
      </c>
      <c r="L81" s="311">
        <f>Bal!I81</f>
        <v>0</v>
      </c>
      <c r="M81" s="311">
        <f>Bal!J81</f>
        <v>0</v>
      </c>
      <c r="N81" s="311">
        <f>Bal!K81</f>
        <v>0</v>
      </c>
    </row>
    <row r="82" spans="2:14" ht="12.75" customHeight="1" x14ac:dyDescent="0.25">
      <c r="B82" s="313" t="s">
        <v>31</v>
      </c>
      <c r="C82">
        <v>34</v>
      </c>
      <c r="D82" s="134" t="e">
        <f t="shared" si="1"/>
        <v>#N/A</v>
      </c>
      <c r="E82" s="310">
        <f>Bal!B82</f>
        <v>0</v>
      </c>
      <c r="F82" s="311">
        <f>Bal!C82</f>
        <v>0</v>
      </c>
      <c r="G82" s="311">
        <f>Bal!D82</f>
        <v>0</v>
      </c>
      <c r="H82" s="311">
        <v>0</v>
      </c>
      <c r="I82" s="311">
        <f>Bal!F82</f>
        <v>0</v>
      </c>
      <c r="J82" s="311">
        <f>Bal!G82</f>
        <v>0</v>
      </c>
      <c r="K82" s="311">
        <f>Bal!H82</f>
        <v>0</v>
      </c>
      <c r="L82" s="311">
        <f>Bal!I82</f>
        <v>0</v>
      </c>
      <c r="M82" s="311">
        <f>Bal!J82</f>
        <v>0</v>
      </c>
      <c r="N82" s="311">
        <f>Bal!K82</f>
        <v>0</v>
      </c>
    </row>
    <row r="83" spans="2:14" ht="12.75" customHeight="1" x14ac:dyDescent="0.25">
      <c r="B83" s="313" t="s">
        <v>32</v>
      </c>
      <c r="C83">
        <v>35</v>
      </c>
      <c r="D83" s="134" t="e">
        <f t="shared" si="1"/>
        <v>#N/A</v>
      </c>
      <c r="E83" s="310">
        <f>Bal!B83</f>
        <v>0</v>
      </c>
      <c r="F83" s="311">
        <f>Bal!C83</f>
        <v>0</v>
      </c>
      <c r="G83" s="311">
        <f>Bal!D83</f>
        <v>0</v>
      </c>
      <c r="H83" s="311">
        <f>Bal!E83</f>
        <v>0</v>
      </c>
      <c r="I83" s="311">
        <f>Bal!F83</f>
        <v>0</v>
      </c>
      <c r="J83" s="311">
        <f>Bal!G83</f>
        <v>0</v>
      </c>
      <c r="K83" s="311">
        <f>Bal!H83</f>
        <v>0</v>
      </c>
      <c r="L83" s="311">
        <f>Bal!I83</f>
        <v>0</v>
      </c>
      <c r="M83" s="311">
        <f>Bal!J83</f>
        <v>0</v>
      </c>
      <c r="N83" s="311">
        <f>Bal!K83</f>
        <v>0</v>
      </c>
    </row>
    <row r="84" spans="2:14" ht="12.75" customHeight="1" x14ac:dyDescent="0.25">
      <c r="B84" s="313" t="s">
        <v>2693</v>
      </c>
      <c r="C84">
        <v>36</v>
      </c>
      <c r="D84" s="134" t="e">
        <f t="shared" si="1"/>
        <v>#N/A</v>
      </c>
      <c r="E84" s="310">
        <f>Bal!B84</f>
        <v>0</v>
      </c>
      <c r="F84" s="311">
        <f>Bal!C84</f>
        <v>0</v>
      </c>
      <c r="G84" s="311">
        <f>Bal!D84</f>
        <v>0</v>
      </c>
      <c r="H84" s="311">
        <f>Bal!E84</f>
        <v>0</v>
      </c>
      <c r="I84" s="311">
        <f>Bal!F84</f>
        <v>0</v>
      </c>
      <c r="J84" s="311">
        <f>Bal!G84</f>
        <v>0</v>
      </c>
      <c r="K84" s="311">
        <f>Bal!H84</f>
        <v>0</v>
      </c>
      <c r="L84" s="311">
        <f>Bal!I84</f>
        <v>0</v>
      </c>
      <c r="M84" s="311">
        <f>Bal!J84</f>
        <v>0</v>
      </c>
      <c r="N84" s="311">
        <f>Bal!K84</f>
        <v>0</v>
      </c>
    </row>
    <row r="85" spans="2:14" ht="12.75" customHeight="1" x14ac:dyDescent="0.25">
      <c r="B85" s="313" t="s">
        <v>2694</v>
      </c>
      <c r="C85">
        <v>37</v>
      </c>
      <c r="D85" s="134" t="e">
        <f t="shared" si="1"/>
        <v>#N/A</v>
      </c>
      <c r="E85" s="310">
        <f>Bal!B85</f>
        <v>0</v>
      </c>
      <c r="F85" s="311">
        <f>Bal!C85</f>
        <v>0</v>
      </c>
      <c r="G85" s="311">
        <f>Bal!D85</f>
        <v>0</v>
      </c>
      <c r="H85" s="311">
        <f>Bal!E85</f>
        <v>0</v>
      </c>
      <c r="I85" s="311">
        <f>Bal!F85</f>
        <v>0</v>
      </c>
      <c r="J85" s="311">
        <f>Bal!G85</f>
        <v>0</v>
      </c>
      <c r="K85" s="311">
        <f>Bal!H85</f>
        <v>0</v>
      </c>
      <c r="L85" s="311">
        <f>Bal!I85</f>
        <v>0</v>
      </c>
      <c r="M85" s="311">
        <f>Bal!J85</f>
        <v>0</v>
      </c>
      <c r="N85" s="311">
        <f>Bal!K85</f>
        <v>0</v>
      </c>
    </row>
    <row r="86" spans="2:14" ht="12.75" customHeight="1" x14ac:dyDescent="0.25">
      <c r="B86" s="313" t="s">
        <v>34</v>
      </c>
      <c r="C86">
        <v>38</v>
      </c>
      <c r="D86" s="134" t="e">
        <f t="shared" si="1"/>
        <v>#N/A</v>
      </c>
      <c r="E86" s="310">
        <f>Bal!B86</f>
        <v>0</v>
      </c>
      <c r="F86" s="311">
        <f>Bal!C86</f>
        <v>0</v>
      </c>
      <c r="G86" s="311">
        <f>Bal!D86</f>
        <v>0</v>
      </c>
      <c r="H86" s="311">
        <f>Bal!E86</f>
        <v>0</v>
      </c>
      <c r="I86" s="311">
        <f>Bal!F86</f>
        <v>0</v>
      </c>
      <c r="J86" s="311">
        <f>Bal!G86</f>
        <v>0</v>
      </c>
      <c r="K86" s="311">
        <f>Bal!H86</f>
        <v>0</v>
      </c>
      <c r="L86" s="311">
        <f>Bal!I86</f>
        <v>0</v>
      </c>
      <c r="M86" s="311">
        <f>Bal!J86</f>
        <v>0</v>
      </c>
      <c r="N86" s="311">
        <f>Bal!K86</f>
        <v>0</v>
      </c>
    </row>
    <row r="87" spans="2:14" ht="12.75" customHeight="1" x14ac:dyDescent="0.25">
      <c r="B87" s="313" t="s">
        <v>33</v>
      </c>
      <c r="C87">
        <v>39</v>
      </c>
      <c r="D87" s="134" t="e">
        <f t="shared" si="1"/>
        <v>#N/A</v>
      </c>
      <c r="E87" s="310">
        <f>Bal!B87</f>
        <v>0</v>
      </c>
      <c r="F87" s="311">
        <f>Bal!C87</f>
        <v>0</v>
      </c>
      <c r="G87" s="311">
        <f>Bal!D87</f>
        <v>0</v>
      </c>
      <c r="H87" s="311">
        <f>Bal!E87</f>
        <v>0</v>
      </c>
      <c r="I87" s="311">
        <f>Bal!F87</f>
        <v>0</v>
      </c>
      <c r="J87" s="311">
        <f>Bal!G87</f>
        <v>0</v>
      </c>
      <c r="K87" s="311">
        <f>Bal!H87</f>
        <v>0</v>
      </c>
      <c r="L87" s="311">
        <f>Bal!I87</f>
        <v>0</v>
      </c>
      <c r="M87" s="311">
        <f>Bal!J87</f>
        <v>0</v>
      </c>
      <c r="N87" s="311">
        <f>Bal!K87</f>
        <v>0</v>
      </c>
    </row>
    <row r="88" spans="2:14" ht="12.75" customHeight="1" x14ac:dyDescent="0.25">
      <c r="B88" s="313" t="s">
        <v>35</v>
      </c>
      <c r="C88">
        <v>40</v>
      </c>
      <c r="D88" s="134" t="e">
        <f t="shared" si="1"/>
        <v>#N/A</v>
      </c>
      <c r="E88" s="310">
        <f>Bal!B88</f>
        <v>0</v>
      </c>
      <c r="F88" s="311">
        <f>Bal!C88</f>
        <v>0</v>
      </c>
      <c r="G88" s="311">
        <f>Bal!D88</f>
        <v>0</v>
      </c>
      <c r="H88" s="311">
        <f>Bal!E88</f>
        <v>0</v>
      </c>
      <c r="I88" s="311">
        <f>Bal!F88</f>
        <v>0</v>
      </c>
      <c r="J88" s="311">
        <f>Bal!G88</f>
        <v>0</v>
      </c>
      <c r="K88" s="311">
        <f>Bal!H88</f>
        <v>0</v>
      </c>
      <c r="L88" s="311">
        <f>Bal!I88</f>
        <v>0</v>
      </c>
      <c r="M88" s="311">
        <f>Bal!J88</f>
        <v>0</v>
      </c>
      <c r="N88" s="311">
        <f>Bal!K88</f>
        <v>0</v>
      </c>
    </row>
    <row r="89" spans="2:14" ht="12.75" customHeight="1" x14ac:dyDescent="0.25">
      <c r="B89" s="313" t="s">
        <v>2695</v>
      </c>
      <c r="C89">
        <v>41</v>
      </c>
      <c r="D89" s="134" t="e">
        <f t="shared" si="1"/>
        <v>#N/A</v>
      </c>
      <c r="E89" s="310">
        <f>Bal!B89</f>
        <v>0</v>
      </c>
      <c r="F89" s="311">
        <f>Bal!C89</f>
        <v>0</v>
      </c>
      <c r="G89" s="311">
        <f>Bal!D89</f>
        <v>0</v>
      </c>
      <c r="H89" s="311">
        <f>Bal!E89</f>
        <v>0</v>
      </c>
      <c r="I89" s="311">
        <f>Bal!F89</f>
        <v>0</v>
      </c>
      <c r="J89" s="311">
        <f>Bal!G89</f>
        <v>0</v>
      </c>
      <c r="K89" s="311">
        <f>Bal!H89</f>
        <v>0</v>
      </c>
      <c r="L89" s="311">
        <f>Bal!I89</f>
        <v>0</v>
      </c>
      <c r="M89" s="311">
        <f>Bal!J89</f>
        <v>0</v>
      </c>
      <c r="N89" s="311">
        <f>Bal!K89</f>
        <v>0</v>
      </c>
    </row>
    <row r="90" spans="2:14" ht="12.75" customHeight="1" x14ac:dyDescent="0.25">
      <c r="B90" s="313" t="s">
        <v>2696</v>
      </c>
      <c r="C90">
        <v>42</v>
      </c>
      <c r="D90" s="134" t="e">
        <f t="shared" si="1"/>
        <v>#N/A</v>
      </c>
      <c r="E90" s="310">
        <f>Bal!B90</f>
        <v>0</v>
      </c>
      <c r="F90" s="311">
        <f>Bal!C90</f>
        <v>0</v>
      </c>
      <c r="G90" s="311">
        <f>Bal!D90</f>
        <v>0</v>
      </c>
      <c r="H90" s="311">
        <f>Bal!E90</f>
        <v>0</v>
      </c>
      <c r="I90" s="311">
        <f>Bal!F90</f>
        <v>0</v>
      </c>
      <c r="J90" s="311">
        <f>Bal!G90</f>
        <v>0</v>
      </c>
      <c r="K90" s="311">
        <f>Bal!H90</f>
        <v>0</v>
      </c>
      <c r="L90" s="311">
        <f>Bal!I90</f>
        <v>0</v>
      </c>
      <c r="M90" s="311">
        <f>Bal!J90</f>
        <v>0</v>
      </c>
      <c r="N90" s="311">
        <f>Bal!K90</f>
        <v>0</v>
      </c>
    </row>
    <row r="91" spans="2:14" ht="12.75" customHeight="1" x14ac:dyDescent="0.25">
      <c r="B91" s="312"/>
      <c r="D91" s="134" t="e">
        <f t="shared" si="1"/>
        <v>#N/A</v>
      </c>
      <c r="E91" s="310">
        <f>Bal!B91</f>
        <v>0</v>
      </c>
      <c r="F91" s="311">
        <f>Bal!C91</f>
        <v>0</v>
      </c>
      <c r="G91" s="311">
        <f>Bal!D91</f>
        <v>0</v>
      </c>
      <c r="H91" s="311">
        <f>Bal!E91</f>
        <v>0</v>
      </c>
      <c r="I91" s="311">
        <f>Bal!F91</f>
        <v>0</v>
      </c>
      <c r="J91" s="311">
        <f>Bal!G91</f>
        <v>0</v>
      </c>
      <c r="K91" s="311">
        <f>Bal!H91</f>
        <v>0</v>
      </c>
      <c r="L91" s="311">
        <f>Bal!I91</f>
        <v>0</v>
      </c>
      <c r="M91" s="311">
        <f>Bal!J91</f>
        <v>0</v>
      </c>
      <c r="N91" s="311">
        <f>Bal!K91</f>
        <v>0</v>
      </c>
    </row>
    <row r="92" spans="2:14" ht="12.75" customHeight="1" x14ac:dyDescent="0.25">
      <c r="B92" s="312"/>
      <c r="D92" s="134" t="e">
        <f t="shared" si="1"/>
        <v>#N/A</v>
      </c>
      <c r="E92" s="310">
        <f>Bal!B92</f>
        <v>0</v>
      </c>
      <c r="F92" s="311">
        <f>Bal!C92</f>
        <v>0</v>
      </c>
      <c r="G92" s="311">
        <f>Bal!D92</f>
        <v>0</v>
      </c>
      <c r="H92" s="311">
        <f>Bal!E92</f>
        <v>0</v>
      </c>
      <c r="I92" s="311">
        <f>Bal!F92</f>
        <v>0</v>
      </c>
      <c r="J92" s="311">
        <f>Bal!G92</f>
        <v>0</v>
      </c>
      <c r="K92" s="311">
        <f>Bal!H92</f>
        <v>0</v>
      </c>
      <c r="L92" s="311">
        <f>Bal!I92</f>
        <v>0</v>
      </c>
      <c r="M92" s="311">
        <f>Bal!J92</f>
        <v>0</v>
      </c>
      <c r="N92" s="311">
        <f>Bal!K92</f>
        <v>0</v>
      </c>
    </row>
    <row r="93" spans="2:14" ht="12.75" customHeight="1" x14ac:dyDescent="0.25">
      <c r="B93" s="312"/>
      <c r="D93" s="134" t="e">
        <f t="shared" si="1"/>
        <v>#N/A</v>
      </c>
      <c r="E93" s="310">
        <f>Bal!B93</f>
        <v>0</v>
      </c>
      <c r="F93" s="311">
        <f>Bal!C93</f>
        <v>0</v>
      </c>
      <c r="G93" s="311">
        <f>Bal!D93</f>
        <v>0</v>
      </c>
      <c r="H93" s="311">
        <f>Bal!E93</f>
        <v>0</v>
      </c>
      <c r="I93" s="311">
        <f>Bal!F93</f>
        <v>0</v>
      </c>
      <c r="J93" s="311">
        <f>Bal!G93</f>
        <v>0</v>
      </c>
      <c r="K93" s="311">
        <f>Bal!H93</f>
        <v>0</v>
      </c>
      <c r="L93" s="311">
        <f>Bal!I93</f>
        <v>0</v>
      </c>
      <c r="M93" s="311">
        <f>Bal!J93</f>
        <v>0</v>
      </c>
      <c r="N93" s="311">
        <f>Bal!K93</f>
        <v>0</v>
      </c>
    </row>
    <row r="94" spans="2:14" ht="12.75" customHeight="1" x14ac:dyDescent="0.25">
      <c r="B94" s="312"/>
      <c r="D94" s="134" t="e">
        <f t="shared" si="1"/>
        <v>#N/A</v>
      </c>
      <c r="E94" s="310">
        <f>Bal!B94</f>
        <v>0</v>
      </c>
      <c r="F94" s="311">
        <f>Bal!C94</f>
        <v>0</v>
      </c>
      <c r="G94" s="311">
        <f>Bal!D94</f>
        <v>0</v>
      </c>
      <c r="H94" s="311">
        <f>Bal!E94</f>
        <v>0</v>
      </c>
      <c r="I94" s="311">
        <f>Bal!F94</f>
        <v>0</v>
      </c>
      <c r="J94" s="311">
        <f>Bal!G94</f>
        <v>0</v>
      </c>
      <c r="K94" s="311">
        <f>Bal!H94</f>
        <v>0</v>
      </c>
      <c r="L94" s="311">
        <f>Bal!I94</f>
        <v>0</v>
      </c>
      <c r="M94" s="311">
        <f>Bal!J94</f>
        <v>0</v>
      </c>
      <c r="N94" s="311">
        <f>Bal!K94</f>
        <v>0</v>
      </c>
    </row>
    <row r="95" spans="2:14" ht="12.75" customHeight="1" x14ac:dyDescent="0.25">
      <c r="B95" s="312"/>
      <c r="D95" s="134" t="e">
        <f t="shared" si="1"/>
        <v>#N/A</v>
      </c>
      <c r="E95" s="310">
        <f>Bal!B95</f>
        <v>0</v>
      </c>
      <c r="F95" s="311">
        <f>Bal!C95</f>
        <v>0</v>
      </c>
      <c r="G95" s="311">
        <f>Bal!D95</f>
        <v>0</v>
      </c>
      <c r="H95" s="311">
        <f>Bal!E95</f>
        <v>0</v>
      </c>
      <c r="I95" s="311">
        <f>Bal!F95</f>
        <v>0</v>
      </c>
      <c r="J95" s="311">
        <f>Bal!G95</f>
        <v>0</v>
      </c>
      <c r="K95" s="311">
        <f>Bal!H95</f>
        <v>0</v>
      </c>
      <c r="L95" s="311">
        <f>Bal!I95</f>
        <v>0</v>
      </c>
      <c r="M95" s="311">
        <f>Bal!J95</f>
        <v>0</v>
      </c>
      <c r="N95" s="311">
        <f>Bal!K95</f>
        <v>0</v>
      </c>
    </row>
    <row r="96" spans="2:14" ht="12.75" customHeight="1" x14ac:dyDescent="0.25">
      <c r="B96" s="312"/>
      <c r="D96" s="134" t="e">
        <f t="shared" si="1"/>
        <v>#N/A</v>
      </c>
      <c r="E96" s="310">
        <f>Bal!B96</f>
        <v>0</v>
      </c>
      <c r="F96" s="311">
        <f>Bal!C96</f>
        <v>0</v>
      </c>
      <c r="G96" s="311">
        <f>Bal!D96</f>
        <v>0</v>
      </c>
      <c r="H96" s="311">
        <f>Bal!E96</f>
        <v>0</v>
      </c>
      <c r="I96" s="311">
        <f>Bal!F96</f>
        <v>0</v>
      </c>
      <c r="J96" s="311">
        <f>Bal!G96</f>
        <v>0</v>
      </c>
      <c r="K96" s="311">
        <f>Bal!H96</f>
        <v>0</v>
      </c>
      <c r="L96" s="311">
        <f>Bal!I96</f>
        <v>0</v>
      </c>
      <c r="M96" s="311">
        <f>Bal!J96</f>
        <v>0</v>
      </c>
      <c r="N96" s="311">
        <f>Bal!K96</f>
        <v>0</v>
      </c>
    </row>
    <row r="97" spans="2:14" ht="12.75" customHeight="1" x14ac:dyDescent="0.25">
      <c r="B97" s="312"/>
      <c r="D97" s="134" t="e">
        <f t="shared" si="1"/>
        <v>#N/A</v>
      </c>
      <c r="E97" s="310">
        <f>Bal!B97</f>
        <v>0</v>
      </c>
      <c r="F97" s="311">
        <f>Bal!C97</f>
        <v>0</v>
      </c>
      <c r="G97" s="311">
        <f>Bal!D97</f>
        <v>0</v>
      </c>
      <c r="H97" s="311">
        <f>Bal!E97</f>
        <v>0</v>
      </c>
      <c r="I97" s="311">
        <f>Bal!F97</f>
        <v>0</v>
      </c>
      <c r="J97" s="311">
        <f>Bal!G97</f>
        <v>0</v>
      </c>
      <c r="K97" s="311">
        <f>Bal!H97</f>
        <v>0</v>
      </c>
      <c r="L97" s="311">
        <f>Bal!I97</f>
        <v>0</v>
      </c>
      <c r="M97" s="311">
        <f>Bal!J97</f>
        <v>0</v>
      </c>
      <c r="N97" s="311">
        <f>Bal!K97</f>
        <v>0</v>
      </c>
    </row>
    <row r="98" spans="2:14" ht="12.75" customHeight="1" x14ac:dyDescent="0.25">
      <c r="B98" s="134"/>
      <c r="D98" s="134" t="e">
        <f t="shared" si="1"/>
        <v>#N/A</v>
      </c>
      <c r="E98" s="310">
        <f>Bal!B98</f>
        <v>0</v>
      </c>
      <c r="F98" s="311">
        <f>Bal!C98</f>
        <v>0</v>
      </c>
      <c r="G98" s="311">
        <f>Bal!D98</f>
        <v>0</v>
      </c>
      <c r="H98" s="311">
        <f>Bal!E98</f>
        <v>0</v>
      </c>
      <c r="I98" s="311">
        <f>Bal!F98</f>
        <v>0</v>
      </c>
      <c r="J98" s="311">
        <f>Bal!G98</f>
        <v>0</v>
      </c>
      <c r="K98" s="311">
        <f>Bal!H98</f>
        <v>0</v>
      </c>
      <c r="L98" s="311">
        <f>Bal!I98</f>
        <v>0</v>
      </c>
      <c r="M98" s="311">
        <f>Bal!J98</f>
        <v>0</v>
      </c>
      <c r="N98" s="311">
        <f>Bal!K98</f>
        <v>0</v>
      </c>
    </row>
    <row r="99" spans="2:14" ht="12.75" customHeight="1" x14ac:dyDescent="0.25">
      <c r="B99" s="134"/>
      <c r="D99" s="134" t="e">
        <f t="shared" si="1"/>
        <v>#N/A</v>
      </c>
      <c r="E99" s="310">
        <f>Bal!B99</f>
        <v>0</v>
      </c>
      <c r="F99" s="311">
        <f>Bal!C99</f>
        <v>0</v>
      </c>
      <c r="G99" s="311">
        <f>Bal!D99</f>
        <v>0</v>
      </c>
      <c r="H99" s="311">
        <f>Bal!E99</f>
        <v>0</v>
      </c>
      <c r="I99" s="311">
        <f>Bal!F99</f>
        <v>0</v>
      </c>
      <c r="J99" s="311">
        <f>Bal!G99</f>
        <v>0</v>
      </c>
      <c r="K99" s="311">
        <f>Bal!H99</f>
        <v>0</v>
      </c>
      <c r="L99" s="311">
        <f>Bal!I99</f>
        <v>0</v>
      </c>
      <c r="M99" s="311">
        <f>Bal!J99</f>
        <v>0</v>
      </c>
      <c r="N99" s="311">
        <f>Bal!K99</f>
        <v>0</v>
      </c>
    </row>
    <row r="100" spans="2:14" ht="12.75" customHeight="1" x14ac:dyDescent="0.25">
      <c r="B100" s="80"/>
      <c r="D100" s="134" t="e">
        <f t="shared" si="1"/>
        <v>#N/A</v>
      </c>
      <c r="E100" s="310">
        <f>Bal!B100</f>
        <v>0</v>
      </c>
      <c r="F100" s="311">
        <f>Bal!C100</f>
        <v>0</v>
      </c>
      <c r="G100" s="311">
        <f>Bal!D100</f>
        <v>0</v>
      </c>
      <c r="H100" s="311">
        <f>Bal!E100</f>
        <v>0</v>
      </c>
      <c r="I100" s="311">
        <f>Bal!F100</f>
        <v>0</v>
      </c>
      <c r="J100" s="311">
        <f>Bal!G100</f>
        <v>0</v>
      </c>
      <c r="K100" s="311">
        <f>Bal!H100</f>
        <v>0</v>
      </c>
      <c r="L100" s="311">
        <f>Bal!I100</f>
        <v>0</v>
      </c>
      <c r="M100" s="311">
        <f>Bal!J100</f>
        <v>0</v>
      </c>
      <c r="N100" s="311">
        <f>Bal!K100</f>
        <v>0</v>
      </c>
    </row>
    <row r="101" spans="2:14" ht="12.75" customHeight="1" x14ac:dyDescent="0.25">
      <c r="B101" s="134"/>
      <c r="D101" s="134" t="e">
        <f t="shared" si="1"/>
        <v>#N/A</v>
      </c>
      <c r="E101" s="310">
        <f>Bal!B101</f>
        <v>0</v>
      </c>
      <c r="F101" s="311">
        <f>Bal!C101</f>
        <v>0</v>
      </c>
      <c r="G101" s="311">
        <f>Bal!D101</f>
        <v>0</v>
      </c>
      <c r="H101" s="311">
        <f>Bal!E101</f>
        <v>0</v>
      </c>
      <c r="I101" s="311">
        <f>Bal!F101</f>
        <v>0</v>
      </c>
      <c r="J101" s="311">
        <f>Bal!G101</f>
        <v>0</v>
      </c>
      <c r="K101" s="311">
        <f>Bal!H101</f>
        <v>0</v>
      </c>
      <c r="L101" s="311">
        <f>Bal!I101</f>
        <v>0</v>
      </c>
      <c r="M101" s="311">
        <f>Bal!J101</f>
        <v>0</v>
      </c>
      <c r="N101" s="311">
        <f>Bal!K101</f>
        <v>0</v>
      </c>
    </row>
    <row r="102" spans="2:14" ht="12.75" customHeight="1" x14ac:dyDescent="0.25">
      <c r="B102" s="134"/>
      <c r="D102" s="134" t="e">
        <f t="shared" si="1"/>
        <v>#N/A</v>
      </c>
      <c r="E102" s="310">
        <f>Bal!B102</f>
        <v>0</v>
      </c>
      <c r="F102" s="311">
        <f>Bal!C102</f>
        <v>0</v>
      </c>
      <c r="G102" s="311">
        <f>Bal!D102</f>
        <v>0</v>
      </c>
      <c r="H102" s="311">
        <f>Bal!E102</f>
        <v>0</v>
      </c>
      <c r="I102" s="311">
        <f>Bal!F102</f>
        <v>0</v>
      </c>
      <c r="J102" s="311">
        <f>Bal!G102</f>
        <v>0</v>
      </c>
      <c r="K102" s="311">
        <f>Bal!H102</f>
        <v>0</v>
      </c>
      <c r="L102" s="311">
        <f>Bal!I102</f>
        <v>0</v>
      </c>
      <c r="M102" s="311">
        <f>Bal!J102</f>
        <v>0</v>
      </c>
      <c r="N102" s="311">
        <f>Bal!K102</f>
        <v>0</v>
      </c>
    </row>
    <row r="103" spans="2:14" ht="12.75" customHeight="1" x14ac:dyDescent="0.25">
      <c r="B103" s="134"/>
      <c r="D103" s="134" t="e">
        <f t="shared" si="1"/>
        <v>#N/A</v>
      </c>
      <c r="E103" s="310">
        <f>Bal!B103</f>
        <v>0</v>
      </c>
      <c r="F103" s="311">
        <f>Bal!C103</f>
        <v>0</v>
      </c>
      <c r="G103" s="311">
        <f>Bal!D103</f>
        <v>0</v>
      </c>
      <c r="H103" s="311">
        <f>Bal!E103</f>
        <v>0</v>
      </c>
      <c r="I103" s="311">
        <f>Bal!F103</f>
        <v>0</v>
      </c>
      <c r="J103" s="311">
        <f>Bal!G103</f>
        <v>0</v>
      </c>
      <c r="K103" s="311">
        <f>Bal!H103</f>
        <v>0</v>
      </c>
      <c r="L103" s="311">
        <f>Bal!I103</f>
        <v>0</v>
      </c>
      <c r="M103" s="311">
        <f>Bal!J103</f>
        <v>0</v>
      </c>
      <c r="N103" s="311">
        <f>Bal!K103</f>
        <v>0</v>
      </c>
    </row>
    <row r="104" spans="2:14" ht="12.75" customHeight="1" x14ac:dyDescent="0.25">
      <c r="B104" s="134"/>
      <c r="D104" s="134" t="e">
        <f t="shared" si="1"/>
        <v>#N/A</v>
      </c>
      <c r="E104" s="310">
        <f>Bal!B104</f>
        <v>0</v>
      </c>
      <c r="F104" s="311">
        <f>Bal!C104</f>
        <v>0</v>
      </c>
      <c r="G104" s="311">
        <f>Bal!D104</f>
        <v>0</v>
      </c>
      <c r="H104" s="311">
        <f>Bal!E104</f>
        <v>0</v>
      </c>
      <c r="I104" s="311">
        <f>Bal!F104</f>
        <v>0</v>
      </c>
      <c r="J104" s="311">
        <f>Bal!G104</f>
        <v>0</v>
      </c>
      <c r="K104" s="311">
        <f>Bal!H104</f>
        <v>0</v>
      </c>
      <c r="L104" s="311">
        <f>Bal!I104</f>
        <v>0</v>
      </c>
      <c r="M104" s="311">
        <f>Bal!J104</f>
        <v>0</v>
      </c>
      <c r="N104" s="311">
        <f>Bal!K104</f>
        <v>0</v>
      </c>
    </row>
    <row r="105" spans="2:14" ht="12.75" customHeight="1" x14ac:dyDescent="0.25">
      <c r="B105" s="134"/>
      <c r="D105" s="134" t="e">
        <f t="shared" si="1"/>
        <v>#N/A</v>
      </c>
      <c r="E105" s="310">
        <f>Bal!B105</f>
        <v>0</v>
      </c>
      <c r="F105" s="311">
        <f>Bal!C105</f>
        <v>0</v>
      </c>
      <c r="G105" s="311">
        <f>Bal!D105</f>
        <v>0</v>
      </c>
      <c r="H105" s="311">
        <f>Bal!E105</f>
        <v>0</v>
      </c>
      <c r="I105" s="311">
        <f>Bal!F105</f>
        <v>0</v>
      </c>
      <c r="J105" s="311">
        <f>Bal!G105</f>
        <v>0</v>
      </c>
      <c r="K105" s="311">
        <f>Bal!H105</f>
        <v>0</v>
      </c>
      <c r="L105" s="311">
        <f>Bal!I105</f>
        <v>0</v>
      </c>
      <c r="M105" s="311">
        <f>Bal!J105</f>
        <v>0</v>
      </c>
      <c r="N105" s="311">
        <f>Bal!K105</f>
        <v>0</v>
      </c>
    </row>
    <row r="106" spans="2:14" ht="12.75" customHeight="1" x14ac:dyDescent="0.25">
      <c r="B106" s="134"/>
      <c r="D106" s="134" t="e">
        <f t="shared" si="1"/>
        <v>#N/A</v>
      </c>
      <c r="E106" s="310">
        <f>Bal!B106</f>
        <v>0</v>
      </c>
      <c r="F106" s="311">
        <f>Bal!C106</f>
        <v>0</v>
      </c>
      <c r="G106" s="311">
        <f>Bal!D106</f>
        <v>0</v>
      </c>
      <c r="H106" s="311">
        <f>Bal!E106</f>
        <v>0</v>
      </c>
      <c r="I106" s="311">
        <f>Bal!F106</f>
        <v>0</v>
      </c>
      <c r="J106" s="311">
        <f>Bal!G106</f>
        <v>0</v>
      </c>
      <c r="K106" s="311">
        <f>Bal!H106</f>
        <v>0</v>
      </c>
      <c r="L106" s="311">
        <f>Bal!I106</f>
        <v>0</v>
      </c>
      <c r="M106" s="311">
        <f>Bal!J106</f>
        <v>0</v>
      </c>
      <c r="N106" s="311">
        <f>Bal!K106</f>
        <v>0</v>
      </c>
    </row>
    <row r="107" spans="2:14" ht="12.75" customHeight="1" x14ac:dyDescent="0.25">
      <c r="B107" s="172"/>
      <c r="D107" s="134" t="e">
        <f t="shared" si="1"/>
        <v>#N/A</v>
      </c>
      <c r="E107" s="310">
        <f>Bal!B107</f>
        <v>0</v>
      </c>
      <c r="F107" s="311">
        <f>Bal!C107</f>
        <v>0</v>
      </c>
      <c r="G107" s="311">
        <f>Bal!D107</f>
        <v>0</v>
      </c>
      <c r="H107" s="311">
        <f>Bal!E107</f>
        <v>0</v>
      </c>
      <c r="I107" s="311">
        <f>Bal!F107</f>
        <v>0</v>
      </c>
      <c r="J107" s="311">
        <f>Bal!G107</f>
        <v>0</v>
      </c>
      <c r="K107" s="311">
        <f>Bal!H107</f>
        <v>0</v>
      </c>
      <c r="L107" s="311">
        <f>Bal!I107</f>
        <v>0</v>
      </c>
      <c r="M107" s="311">
        <f>Bal!J107</f>
        <v>0</v>
      </c>
      <c r="N107" s="311">
        <f>Bal!K107</f>
        <v>0</v>
      </c>
    </row>
    <row r="108" spans="2:14" ht="12.75" customHeight="1" x14ac:dyDescent="0.25">
      <c r="B108" s="75"/>
      <c r="D108" s="134" t="e">
        <f t="shared" si="1"/>
        <v>#N/A</v>
      </c>
      <c r="E108" s="310">
        <f>Bal!B108</f>
        <v>0</v>
      </c>
      <c r="F108" s="311">
        <f>Bal!C108</f>
        <v>0</v>
      </c>
      <c r="G108" s="311">
        <f>Bal!D108</f>
        <v>0</v>
      </c>
      <c r="H108" s="311">
        <f>Bal!E108</f>
        <v>0</v>
      </c>
      <c r="I108" s="311">
        <f>Bal!F108</f>
        <v>0</v>
      </c>
      <c r="J108" s="311">
        <f>Bal!G108</f>
        <v>0</v>
      </c>
      <c r="K108" s="311">
        <f>Bal!H108</f>
        <v>0</v>
      </c>
      <c r="L108" s="311">
        <f>Bal!I108</f>
        <v>0</v>
      </c>
      <c r="M108" s="311">
        <f>Bal!J108</f>
        <v>0</v>
      </c>
      <c r="N108" s="311">
        <f>Bal!K108</f>
        <v>0</v>
      </c>
    </row>
    <row r="109" spans="2:14" ht="12.75" customHeight="1" x14ac:dyDescent="0.25">
      <c r="B109" s="75"/>
      <c r="D109" s="134" t="e">
        <f t="shared" si="1"/>
        <v>#N/A</v>
      </c>
      <c r="E109" s="310">
        <f>Bal!B109</f>
        <v>0</v>
      </c>
      <c r="F109" s="311">
        <f>Bal!C109</f>
        <v>0</v>
      </c>
      <c r="G109" s="311">
        <f>Bal!D109</f>
        <v>0</v>
      </c>
      <c r="H109" s="311">
        <f>Bal!E109</f>
        <v>0</v>
      </c>
      <c r="I109" s="311">
        <f>Bal!F109</f>
        <v>0</v>
      </c>
      <c r="J109" s="311">
        <f>Bal!G109</f>
        <v>0</v>
      </c>
      <c r="K109" s="311">
        <f>Bal!H109</f>
        <v>0</v>
      </c>
      <c r="L109" s="311">
        <f>Bal!I109</f>
        <v>0</v>
      </c>
      <c r="M109" s="311">
        <f>Bal!J109</f>
        <v>0</v>
      </c>
      <c r="N109" s="311">
        <f>Bal!K109</f>
        <v>0</v>
      </c>
    </row>
    <row r="110" spans="2:14" ht="12.75" customHeight="1" x14ac:dyDescent="0.25">
      <c r="B110" s="313" t="s">
        <v>40</v>
      </c>
      <c r="C110">
        <v>43</v>
      </c>
      <c r="D110" s="134" t="e">
        <f t="shared" si="1"/>
        <v>#N/A</v>
      </c>
      <c r="E110" s="310">
        <f>Bal!B110</f>
        <v>0</v>
      </c>
      <c r="F110" s="311">
        <f>Bal!C110</f>
        <v>0</v>
      </c>
      <c r="G110" s="311">
        <f>Bal!D110</f>
        <v>0</v>
      </c>
      <c r="H110" s="311">
        <f>Bal!E110</f>
        <v>0</v>
      </c>
      <c r="I110" s="311">
        <f>Bal!F110</f>
        <v>0</v>
      </c>
      <c r="J110" s="311">
        <f>Bal!G110</f>
        <v>0</v>
      </c>
      <c r="K110" s="311">
        <f>Bal!H110</f>
        <v>0</v>
      </c>
      <c r="L110" s="311">
        <f>Bal!I110</f>
        <v>0</v>
      </c>
      <c r="M110" s="311">
        <f>Bal!J110</f>
        <v>0</v>
      </c>
      <c r="N110" s="311">
        <f>Bal!K110</f>
        <v>0</v>
      </c>
    </row>
    <row r="111" spans="2:14" ht="12.75" customHeight="1" x14ac:dyDescent="0.25">
      <c r="B111" s="313" t="s">
        <v>41</v>
      </c>
      <c r="C111">
        <v>44</v>
      </c>
      <c r="D111" s="134" t="e">
        <f t="shared" si="1"/>
        <v>#N/A</v>
      </c>
      <c r="E111" s="310">
        <f>Bal!B111</f>
        <v>0</v>
      </c>
      <c r="F111" s="311">
        <f>Bal!C111</f>
        <v>0</v>
      </c>
      <c r="G111" s="311">
        <f>Bal!D111</f>
        <v>0</v>
      </c>
      <c r="H111" s="311">
        <f>Bal!E111</f>
        <v>0</v>
      </c>
      <c r="I111" s="311">
        <f>Bal!F111</f>
        <v>0</v>
      </c>
      <c r="J111" s="311">
        <f>Bal!G111</f>
        <v>0</v>
      </c>
      <c r="K111" s="311">
        <f>Bal!H111</f>
        <v>0</v>
      </c>
      <c r="L111" s="311">
        <f>Bal!I111</f>
        <v>0</v>
      </c>
      <c r="M111" s="311">
        <f>Bal!J111</f>
        <v>0</v>
      </c>
      <c r="N111" s="311">
        <f>Bal!K111</f>
        <v>0</v>
      </c>
    </row>
    <row r="112" spans="2:14" ht="12.75" customHeight="1" x14ac:dyDescent="0.25">
      <c r="B112" s="313" t="s">
        <v>2697</v>
      </c>
      <c r="C112">
        <v>45</v>
      </c>
      <c r="D112" s="134" t="e">
        <f t="shared" si="1"/>
        <v>#N/A</v>
      </c>
      <c r="E112" s="310">
        <f>Bal!B112</f>
        <v>0</v>
      </c>
      <c r="F112" s="311">
        <f>Bal!C112</f>
        <v>0</v>
      </c>
      <c r="G112" s="311">
        <f>Bal!D112</f>
        <v>0</v>
      </c>
      <c r="H112" s="311">
        <f>Bal!E112</f>
        <v>0</v>
      </c>
      <c r="I112" s="311">
        <f>Bal!F112</f>
        <v>0</v>
      </c>
      <c r="J112" s="311">
        <f>Bal!G112</f>
        <v>0</v>
      </c>
      <c r="K112" s="311">
        <f>Bal!H112</f>
        <v>0</v>
      </c>
      <c r="L112" s="311">
        <f>Bal!I112</f>
        <v>0</v>
      </c>
      <c r="M112" s="311">
        <f>Bal!J112</f>
        <v>0</v>
      </c>
      <c r="N112" s="311">
        <f>Bal!K112</f>
        <v>0</v>
      </c>
    </row>
    <row r="113" spans="2:14" ht="12.75" customHeight="1" x14ac:dyDescent="0.25">
      <c r="B113" s="313" t="s">
        <v>2698</v>
      </c>
      <c r="C113">
        <v>46</v>
      </c>
      <c r="D113" s="134" t="e">
        <f t="shared" si="1"/>
        <v>#N/A</v>
      </c>
      <c r="E113" s="310">
        <f>Bal!B113</f>
        <v>0</v>
      </c>
      <c r="F113" s="311">
        <f>Bal!C113</f>
        <v>0</v>
      </c>
      <c r="G113" s="311">
        <f>Bal!D113</f>
        <v>0</v>
      </c>
      <c r="H113" s="311">
        <f>Bal!E113</f>
        <v>0</v>
      </c>
      <c r="I113" s="311">
        <f>Bal!F113</f>
        <v>0</v>
      </c>
      <c r="J113" s="311">
        <f>Bal!G113</f>
        <v>0</v>
      </c>
      <c r="K113" s="311">
        <f>Bal!H113</f>
        <v>0</v>
      </c>
      <c r="L113" s="311">
        <f>Bal!I113</f>
        <v>0</v>
      </c>
      <c r="M113" s="311">
        <f>Bal!J113</f>
        <v>0</v>
      </c>
      <c r="N113" s="311">
        <f>Bal!K113</f>
        <v>0</v>
      </c>
    </row>
    <row r="114" spans="2:14" ht="12.75" customHeight="1" x14ac:dyDescent="0.25">
      <c r="B114" s="134"/>
      <c r="D114" s="134" t="e">
        <f t="shared" si="1"/>
        <v>#N/A</v>
      </c>
      <c r="E114" s="310">
        <f>Bal!B114</f>
        <v>0</v>
      </c>
      <c r="F114" s="311">
        <f>Bal!C114</f>
        <v>0</v>
      </c>
      <c r="G114" s="311">
        <f>Bal!D114</f>
        <v>0</v>
      </c>
      <c r="H114" s="311">
        <f>Bal!E114</f>
        <v>0</v>
      </c>
      <c r="I114" s="311">
        <f>Bal!F114</f>
        <v>0</v>
      </c>
      <c r="J114" s="311">
        <f>Bal!G114</f>
        <v>0</v>
      </c>
      <c r="K114" s="311">
        <f>Bal!H114</f>
        <v>0</v>
      </c>
      <c r="L114" s="311">
        <f>Bal!I114</f>
        <v>0</v>
      </c>
      <c r="M114" s="311">
        <f>Bal!J114</f>
        <v>0</v>
      </c>
      <c r="N114" s="311">
        <f>Bal!K114</f>
        <v>0</v>
      </c>
    </row>
    <row r="115" spans="2:14" ht="12.75" customHeight="1" x14ac:dyDescent="0.25">
      <c r="B115" s="134"/>
      <c r="D115" s="134" t="e">
        <f t="shared" si="1"/>
        <v>#N/A</v>
      </c>
      <c r="E115" s="310">
        <f>Bal!B115</f>
        <v>0</v>
      </c>
      <c r="F115" s="311">
        <f>Bal!C115</f>
        <v>0</v>
      </c>
      <c r="G115" s="311">
        <f>Bal!D115</f>
        <v>0</v>
      </c>
      <c r="H115" s="311">
        <f>Bal!E115</f>
        <v>0</v>
      </c>
      <c r="I115" s="311">
        <f>Bal!F115</f>
        <v>0</v>
      </c>
      <c r="J115" s="311">
        <f>Bal!G115</f>
        <v>0</v>
      </c>
      <c r="K115" s="311">
        <f>Bal!H115</f>
        <v>0</v>
      </c>
      <c r="L115" s="311">
        <f>Bal!I115</f>
        <v>0</v>
      </c>
      <c r="M115" s="311">
        <f>Bal!J115</f>
        <v>0</v>
      </c>
      <c r="N115" s="311">
        <f>Bal!K115</f>
        <v>0</v>
      </c>
    </row>
    <row r="116" spans="2:14" ht="12.75" customHeight="1" x14ac:dyDescent="0.25">
      <c r="B116" s="134"/>
      <c r="D116" s="134" t="e">
        <f t="shared" si="1"/>
        <v>#N/A</v>
      </c>
      <c r="E116" s="310">
        <f>Bal!B116</f>
        <v>0</v>
      </c>
      <c r="F116" s="311">
        <f>Bal!C116</f>
        <v>0</v>
      </c>
      <c r="G116" s="311">
        <f>Bal!D116</f>
        <v>0</v>
      </c>
      <c r="H116" s="311">
        <f>Bal!E116</f>
        <v>0</v>
      </c>
      <c r="I116" s="311">
        <f>Bal!F116</f>
        <v>0</v>
      </c>
      <c r="J116" s="311">
        <f>Bal!G116</f>
        <v>0</v>
      </c>
      <c r="K116" s="311">
        <f>Bal!H116</f>
        <v>0</v>
      </c>
      <c r="L116" s="311">
        <f>Bal!I116</f>
        <v>0</v>
      </c>
      <c r="M116" s="311">
        <f>Bal!J116</f>
        <v>0</v>
      </c>
      <c r="N116" s="311">
        <f>Bal!K116</f>
        <v>0</v>
      </c>
    </row>
    <row r="117" spans="2:14" ht="12.75" customHeight="1" x14ac:dyDescent="0.25">
      <c r="B117" s="313" t="s">
        <v>2699</v>
      </c>
      <c r="C117">
        <v>47</v>
      </c>
      <c r="D117" s="134" t="e">
        <f t="shared" si="1"/>
        <v>#N/A</v>
      </c>
      <c r="E117" s="310">
        <f>Bal!B117</f>
        <v>0</v>
      </c>
      <c r="F117" s="311">
        <f>Bal!C117</f>
        <v>0</v>
      </c>
      <c r="G117" s="311">
        <f>Bal!D117</f>
        <v>0</v>
      </c>
      <c r="H117" s="311">
        <f>Bal!E117</f>
        <v>0</v>
      </c>
      <c r="I117" s="311">
        <f>Bal!F117</f>
        <v>0</v>
      </c>
      <c r="J117" s="311">
        <f>Bal!G117</f>
        <v>0</v>
      </c>
      <c r="K117" s="311">
        <f>Bal!H117</f>
        <v>0</v>
      </c>
      <c r="L117" s="311">
        <f>Bal!I117</f>
        <v>0</v>
      </c>
      <c r="M117" s="311">
        <f>Bal!J117</f>
        <v>0</v>
      </c>
      <c r="N117" s="311">
        <f>Bal!K117</f>
        <v>0</v>
      </c>
    </row>
    <row r="118" spans="2:14" ht="12.75" customHeight="1" x14ac:dyDescent="0.25">
      <c r="B118" s="313" t="s">
        <v>43</v>
      </c>
      <c r="C118">
        <v>48</v>
      </c>
      <c r="D118" s="134" t="e">
        <f t="shared" si="1"/>
        <v>#N/A</v>
      </c>
      <c r="E118" s="310">
        <f>Bal!B118</f>
        <v>0</v>
      </c>
      <c r="F118" s="311">
        <f>Bal!C118</f>
        <v>0</v>
      </c>
      <c r="G118" s="311">
        <f>Bal!D118</f>
        <v>0</v>
      </c>
      <c r="H118" s="311">
        <f>Bal!E118</f>
        <v>0</v>
      </c>
      <c r="I118" s="311">
        <f>Bal!F118</f>
        <v>0</v>
      </c>
      <c r="J118" s="311">
        <f>Bal!G118</f>
        <v>0</v>
      </c>
      <c r="K118" s="311">
        <f>Bal!H118</f>
        <v>0</v>
      </c>
      <c r="L118" s="311">
        <f>Bal!I118</f>
        <v>0</v>
      </c>
      <c r="M118" s="311">
        <f>Bal!J118</f>
        <v>0</v>
      </c>
      <c r="N118" s="311">
        <f>Bal!K118</f>
        <v>0</v>
      </c>
    </row>
    <row r="119" spans="2:14" ht="12.75" customHeight="1" x14ac:dyDescent="0.25">
      <c r="B119" s="313" t="s">
        <v>2700</v>
      </c>
      <c r="C119">
        <v>49</v>
      </c>
      <c r="D119" s="134" t="e">
        <f t="shared" si="1"/>
        <v>#N/A</v>
      </c>
      <c r="E119" s="310">
        <f>Bal!B119</f>
        <v>0</v>
      </c>
      <c r="F119" s="311">
        <f>Bal!C119</f>
        <v>0</v>
      </c>
      <c r="G119" s="311">
        <f>Bal!D119</f>
        <v>0</v>
      </c>
      <c r="H119" s="311">
        <f>Bal!E119</f>
        <v>0</v>
      </c>
      <c r="I119" s="311">
        <f>Bal!F119</f>
        <v>0</v>
      </c>
      <c r="J119" s="311">
        <f>Bal!G119</f>
        <v>0</v>
      </c>
      <c r="K119" s="311">
        <f>Bal!H119</f>
        <v>0</v>
      </c>
      <c r="L119" s="311">
        <f>Bal!I119</f>
        <v>0</v>
      </c>
      <c r="M119" s="311">
        <f>Bal!J119</f>
        <v>0</v>
      </c>
      <c r="N119" s="311">
        <f>Bal!K119</f>
        <v>0</v>
      </c>
    </row>
    <row r="120" spans="2:14" ht="12.75" customHeight="1" x14ac:dyDescent="0.25">
      <c r="B120" s="134"/>
      <c r="D120" s="134" t="e">
        <f t="shared" si="1"/>
        <v>#N/A</v>
      </c>
      <c r="E120" s="310">
        <f>Bal!B120</f>
        <v>0</v>
      </c>
      <c r="F120" s="311">
        <f>Bal!C120</f>
        <v>0</v>
      </c>
      <c r="G120" s="311">
        <f>Bal!D120</f>
        <v>0</v>
      </c>
      <c r="H120" s="311">
        <f>Bal!E120</f>
        <v>0</v>
      </c>
      <c r="I120" s="311">
        <f>Bal!F120</f>
        <v>0</v>
      </c>
      <c r="J120" s="311">
        <f>Bal!G120</f>
        <v>0</v>
      </c>
      <c r="K120" s="311">
        <f>Bal!H120</f>
        <v>0</v>
      </c>
      <c r="L120" s="311">
        <f>Bal!I120</f>
        <v>0</v>
      </c>
      <c r="M120" s="311">
        <f>Bal!J120</f>
        <v>0</v>
      </c>
      <c r="N120" s="311">
        <f>Bal!K120</f>
        <v>0</v>
      </c>
    </row>
    <row r="121" spans="2:14" ht="12.75" customHeight="1" x14ac:dyDescent="0.25">
      <c r="B121" s="134"/>
      <c r="D121" s="134" t="e">
        <f t="shared" si="1"/>
        <v>#N/A</v>
      </c>
      <c r="E121" s="310">
        <f>Bal!B121</f>
        <v>0</v>
      </c>
      <c r="F121" s="311">
        <f>Bal!C121</f>
        <v>0</v>
      </c>
      <c r="G121" s="311">
        <f>Bal!D121</f>
        <v>0</v>
      </c>
      <c r="H121" s="311">
        <f>Bal!E121</f>
        <v>0</v>
      </c>
      <c r="I121" s="311">
        <f>Bal!F121</f>
        <v>0</v>
      </c>
      <c r="J121" s="311">
        <f>Bal!G121</f>
        <v>0</v>
      </c>
      <c r="K121" s="311">
        <f>Bal!H121</f>
        <v>0</v>
      </c>
      <c r="L121" s="311">
        <f>Bal!I121</f>
        <v>0</v>
      </c>
      <c r="M121" s="311">
        <f>Bal!J121</f>
        <v>0</v>
      </c>
      <c r="N121" s="311">
        <f>Bal!K121</f>
        <v>0</v>
      </c>
    </row>
    <row r="122" spans="2:14" ht="12.75" customHeight="1" x14ac:dyDescent="0.25">
      <c r="B122" s="134"/>
      <c r="D122" s="134" t="e">
        <f t="shared" si="1"/>
        <v>#N/A</v>
      </c>
      <c r="E122" s="310">
        <f>Bal!B122</f>
        <v>0</v>
      </c>
      <c r="F122" s="311">
        <f>Bal!C122</f>
        <v>0</v>
      </c>
      <c r="G122" s="311">
        <f>Bal!D122</f>
        <v>0</v>
      </c>
      <c r="H122" s="311">
        <f>Bal!E122</f>
        <v>0</v>
      </c>
      <c r="I122" s="311">
        <f>Bal!F122</f>
        <v>0</v>
      </c>
      <c r="J122" s="311">
        <f>Bal!G122</f>
        <v>0</v>
      </c>
      <c r="K122" s="311">
        <f>Bal!H122</f>
        <v>0</v>
      </c>
      <c r="L122" s="311">
        <f>Bal!I122</f>
        <v>0</v>
      </c>
      <c r="M122" s="311">
        <f>Bal!J122</f>
        <v>0</v>
      </c>
      <c r="N122" s="311">
        <f>Bal!K122</f>
        <v>0</v>
      </c>
    </row>
    <row r="123" spans="2:14" ht="12.75" customHeight="1" x14ac:dyDescent="0.25">
      <c r="B123" s="134"/>
      <c r="D123" s="134" t="e">
        <f t="shared" si="1"/>
        <v>#N/A</v>
      </c>
      <c r="E123" s="310">
        <f>Bal!B123</f>
        <v>0</v>
      </c>
      <c r="F123" s="311">
        <f>Bal!C123</f>
        <v>0</v>
      </c>
      <c r="G123" s="311">
        <f>Bal!D123</f>
        <v>0</v>
      </c>
      <c r="H123" s="311">
        <f>Bal!E123</f>
        <v>0</v>
      </c>
      <c r="I123" s="311">
        <f>Bal!F123</f>
        <v>0</v>
      </c>
      <c r="J123" s="311">
        <f>Bal!G123</f>
        <v>0</v>
      </c>
      <c r="K123" s="311">
        <f>Bal!H123</f>
        <v>0</v>
      </c>
      <c r="L123" s="311">
        <f>Bal!I123</f>
        <v>0</v>
      </c>
      <c r="M123" s="311">
        <f>Bal!J123</f>
        <v>0</v>
      </c>
      <c r="N123" s="311">
        <f>Bal!K123</f>
        <v>0</v>
      </c>
    </row>
    <row r="124" spans="2:14" ht="12.75" customHeight="1" x14ac:dyDescent="0.25">
      <c r="B124" s="134"/>
      <c r="D124" s="134" t="e">
        <f t="shared" si="1"/>
        <v>#N/A</v>
      </c>
      <c r="E124" s="310">
        <f>Bal!B124</f>
        <v>0</v>
      </c>
      <c r="F124" s="311">
        <f>Bal!C124</f>
        <v>0</v>
      </c>
      <c r="G124" s="311">
        <f>Bal!D124</f>
        <v>0</v>
      </c>
      <c r="H124" s="311">
        <f>Bal!E124</f>
        <v>0</v>
      </c>
      <c r="I124" s="311">
        <f>Bal!F124</f>
        <v>0</v>
      </c>
      <c r="J124" s="311">
        <f>Bal!G124</f>
        <v>0</v>
      </c>
      <c r="K124" s="311">
        <f>Bal!H124</f>
        <v>0</v>
      </c>
      <c r="L124" s="311">
        <f>Bal!I124</f>
        <v>0</v>
      </c>
      <c r="M124" s="311">
        <f>Bal!J124</f>
        <v>0</v>
      </c>
      <c r="N124" s="311">
        <f>Bal!K124</f>
        <v>0</v>
      </c>
    </row>
    <row r="125" spans="2:14" ht="12.75" customHeight="1" x14ac:dyDescent="0.25">
      <c r="B125" s="313" t="s">
        <v>2701</v>
      </c>
      <c r="C125">
        <v>50</v>
      </c>
      <c r="D125" s="134" t="e">
        <f t="shared" si="1"/>
        <v>#N/A</v>
      </c>
      <c r="E125" s="310">
        <f>Bal!B125</f>
        <v>0</v>
      </c>
      <c r="F125" s="311">
        <f>Bal!C125</f>
        <v>0</v>
      </c>
      <c r="G125" s="311">
        <f>Bal!D125</f>
        <v>0</v>
      </c>
      <c r="H125" s="311">
        <f>Bal!E125</f>
        <v>0</v>
      </c>
      <c r="I125" s="311">
        <f>Bal!F125</f>
        <v>0</v>
      </c>
      <c r="J125" s="311">
        <f>Bal!G125</f>
        <v>0</v>
      </c>
      <c r="K125" s="311">
        <f>Bal!H125</f>
        <v>0</v>
      </c>
      <c r="L125" s="311">
        <f>Bal!I125</f>
        <v>0</v>
      </c>
      <c r="M125" s="311">
        <f>Bal!J125</f>
        <v>0</v>
      </c>
      <c r="N125" s="311">
        <f>Bal!K125</f>
        <v>0</v>
      </c>
    </row>
    <row r="126" spans="2:14" ht="12.75" customHeight="1" x14ac:dyDescent="0.25">
      <c r="B126" s="313" t="s">
        <v>45</v>
      </c>
      <c r="C126">
        <v>51</v>
      </c>
      <c r="D126" s="134" t="e">
        <f t="shared" si="1"/>
        <v>#N/A</v>
      </c>
      <c r="E126" s="310">
        <f>Bal!B126</f>
        <v>0</v>
      </c>
      <c r="F126" s="311">
        <f>Bal!C126</f>
        <v>0</v>
      </c>
      <c r="G126" s="311">
        <f>Bal!D126</f>
        <v>0</v>
      </c>
      <c r="H126" s="311">
        <f>Bal!E126</f>
        <v>0</v>
      </c>
      <c r="I126" s="311">
        <f>Bal!F126</f>
        <v>0</v>
      </c>
      <c r="J126" s="311">
        <f>Bal!G126</f>
        <v>0</v>
      </c>
      <c r="K126" s="311">
        <f>Bal!H126</f>
        <v>0</v>
      </c>
      <c r="L126" s="311">
        <f>Bal!I126</f>
        <v>0</v>
      </c>
      <c r="M126" s="311">
        <f>Bal!J126</f>
        <v>0</v>
      </c>
      <c r="N126" s="311">
        <f>Bal!K126</f>
        <v>0</v>
      </c>
    </row>
    <row r="127" spans="2:14" ht="12.75" customHeight="1" x14ac:dyDescent="0.25">
      <c r="B127" s="313" t="s">
        <v>2702</v>
      </c>
      <c r="C127">
        <v>52</v>
      </c>
      <c r="D127" s="134" t="e">
        <f t="shared" si="1"/>
        <v>#N/A</v>
      </c>
      <c r="E127" s="310">
        <f>Bal!B127</f>
        <v>0</v>
      </c>
      <c r="F127" s="311">
        <f>Bal!C127</f>
        <v>0</v>
      </c>
      <c r="G127" s="311">
        <f>Bal!D127</f>
        <v>0</v>
      </c>
      <c r="H127" s="311">
        <f>Bal!E127</f>
        <v>0</v>
      </c>
      <c r="I127" s="311">
        <f>Bal!F127</f>
        <v>0</v>
      </c>
      <c r="J127" s="311">
        <f>Bal!G127</f>
        <v>0</v>
      </c>
      <c r="K127" s="311">
        <f>Bal!H127</f>
        <v>0</v>
      </c>
      <c r="L127" s="311">
        <f>Bal!I127</f>
        <v>0</v>
      </c>
      <c r="M127" s="311">
        <f>Bal!J127</f>
        <v>0</v>
      </c>
      <c r="N127" s="311">
        <f>Bal!K127</f>
        <v>0</v>
      </c>
    </row>
    <row r="128" spans="2:14" ht="12.75" customHeight="1" x14ac:dyDescent="0.25">
      <c r="B128" s="313" t="s">
        <v>2703</v>
      </c>
      <c r="C128">
        <v>53</v>
      </c>
      <c r="D128" s="134" t="e">
        <f t="shared" si="1"/>
        <v>#N/A</v>
      </c>
      <c r="E128" s="310">
        <f>Bal!B128</f>
        <v>0</v>
      </c>
      <c r="F128" s="311">
        <f>Bal!C128</f>
        <v>0</v>
      </c>
      <c r="G128" s="311">
        <f>Bal!D128</f>
        <v>0</v>
      </c>
      <c r="H128" s="311">
        <f>Bal!E128</f>
        <v>0</v>
      </c>
      <c r="I128" s="311">
        <f>Bal!F128</f>
        <v>0</v>
      </c>
      <c r="J128" s="311">
        <f>Bal!G128</f>
        <v>0</v>
      </c>
      <c r="K128" s="311">
        <f>Bal!H128</f>
        <v>0</v>
      </c>
      <c r="L128" s="311">
        <f>Bal!I128</f>
        <v>0</v>
      </c>
      <c r="M128" s="311">
        <f>Bal!J128</f>
        <v>0</v>
      </c>
      <c r="N128" s="311">
        <f>Bal!K128</f>
        <v>0</v>
      </c>
    </row>
    <row r="129" spans="2:14" ht="12.75" customHeight="1" x14ac:dyDescent="0.25">
      <c r="B129" s="134"/>
      <c r="D129" s="134" t="e">
        <f t="shared" si="1"/>
        <v>#N/A</v>
      </c>
      <c r="E129" s="310">
        <f>Bal!B129</f>
        <v>0</v>
      </c>
      <c r="F129" s="311">
        <f>Bal!C129</f>
        <v>0</v>
      </c>
      <c r="G129" s="311">
        <f>Bal!D129</f>
        <v>0</v>
      </c>
      <c r="H129" s="311">
        <f>Bal!E129</f>
        <v>0</v>
      </c>
      <c r="I129" s="311">
        <f>Bal!F129</f>
        <v>0</v>
      </c>
      <c r="J129" s="311">
        <f>Bal!G129</f>
        <v>0</v>
      </c>
      <c r="K129" s="311">
        <f>Bal!H129</f>
        <v>0</v>
      </c>
      <c r="L129" s="311">
        <f>Bal!I129</f>
        <v>0</v>
      </c>
      <c r="M129" s="311">
        <f>Bal!J129</f>
        <v>0</v>
      </c>
      <c r="N129" s="311">
        <f>Bal!K129</f>
        <v>0</v>
      </c>
    </row>
    <row r="130" spans="2:14" ht="12.75" customHeight="1" x14ac:dyDescent="0.25">
      <c r="B130" s="134"/>
      <c r="D130" s="134" t="e">
        <f t="shared" si="1"/>
        <v>#N/A</v>
      </c>
      <c r="E130" s="310">
        <f>Bal!B130</f>
        <v>0</v>
      </c>
      <c r="F130" s="311">
        <f>Bal!C130</f>
        <v>0</v>
      </c>
      <c r="G130" s="311">
        <f>Bal!D130</f>
        <v>0</v>
      </c>
      <c r="H130" s="311">
        <f>Bal!E130</f>
        <v>0</v>
      </c>
      <c r="I130" s="311">
        <f>Bal!F130</f>
        <v>0</v>
      </c>
      <c r="J130" s="311">
        <f>Bal!G130</f>
        <v>0</v>
      </c>
      <c r="K130" s="311">
        <f>Bal!H130</f>
        <v>0</v>
      </c>
      <c r="L130" s="311">
        <f>Bal!I130</f>
        <v>0</v>
      </c>
      <c r="M130" s="311">
        <f>Bal!J130</f>
        <v>0</v>
      </c>
      <c r="N130" s="311">
        <f>Bal!K130</f>
        <v>0</v>
      </c>
    </row>
    <row r="131" spans="2:14" ht="12.75" customHeight="1" x14ac:dyDescent="0.25">
      <c r="B131" s="313" t="s">
        <v>46</v>
      </c>
      <c r="C131">
        <v>54</v>
      </c>
      <c r="D131" s="134" t="e">
        <f t="shared" si="1"/>
        <v>#N/A</v>
      </c>
      <c r="E131" s="310">
        <f>Bal!B131</f>
        <v>0</v>
      </c>
      <c r="F131" s="311">
        <f>Bal!C131</f>
        <v>0</v>
      </c>
      <c r="G131" s="311">
        <f>Bal!D131</f>
        <v>0</v>
      </c>
      <c r="H131" s="311">
        <f>Bal!E131</f>
        <v>0</v>
      </c>
      <c r="I131" s="311">
        <f>Bal!F131</f>
        <v>0</v>
      </c>
      <c r="J131" s="311">
        <f>Bal!G131</f>
        <v>0</v>
      </c>
      <c r="K131" s="311">
        <f>Bal!H131</f>
        <v>0</v>
      </c>
      <c r="L131" s="311">
        <f>Bal!I131</f>
        <v>0</v>
      </c>
      <c r="M131" s="311">
        <f>Bal!J131</f>
        <v>0</v>
      </c>
      <c r="N131" s="311">
        <f>Bal!K131</f>
        <v>0</v>
      </c>
    </row>
    <row r="132" spans="2:14" ht="12.75" customHeight="1" x14ac:dyDescent="0.25">
      <c r="B132" s="313" t="s">
        <v>2695</v>
      </c>
      <c r="C132">
        <v>55</v>
      </c>
      <c r="D132" s="134" t="e">
        <f t="shared" si="1"/>
        <v>#N/A</v>
      </c>
      <c r="E132" s="310">
        <f>Bal!B132</f>
        <v>0</v>
      </c>
      <c r="F132" s="311">
        <f>Bal!C132</f>
        <v>0</v>
      </c>
      <c r="G132" s="311">
        <f>Bal!D132</f>
        <v>0</v>
      </c>
      <c r="H132" s="311">
        <f>Bal!E132</f>
        <v>0</v>
      </c>
      <c r="I132" s="311">
        <f>Bal!F132</f>
        <v>0</v>
      </c>
      <c r="J132" s="311">
        <f>Bal!G132</f>
        <v>0</v>
      </c>
      <c r="K132" s="311">
        <f>Bal!H132</f>
        <v>0</v>
      </c>
      <c r="L132" s="311">
        <f>Bal!I132</f>
        <v>0</v>
      </c>
      <c r="M132" s="311">
        <f>Bal!J132</f>
        <v>0</v>
      </c>
      <c r="N132" s="311">
        <f>Bal!K132</f>
        <v>0</v>
      </c>
    </row>
    <row r="133" spans="2:14" ht="12.75" customHeight="1" x14ac:dyDescent="0.25">
      <c r="B133" s="313" t="s">
        <v>2704</v>
      </c>
      <c r="C133">
        <v>56</v>
      </c>
      <c r="D133" s="134" t="e">
        <f t="shared" si="1"/>
        <v>#N/A</v>
      </c>
      <c r="E133" s="310">
        <f>Bal!B133</f>
        <v>0</v>
      </c>
      <c r="F133" s="311">
        <f>Bal!C133</f>
        <v>0</v>
      </c>
      <c r="G133" s="311">
        <f>Bal!D133</f>
        <v>0</v>
      </c>
      <c r="H133" s="311">
        <f>Bal!E133</f>
        <v>0</v>
      </c>
      <c r="I133" s="311">
        <f>Bal!F133</f>
        <v>0</v>
      </c>
      <c r="J133" s="311">
        <f>Bal!G133</f>
        <v>0</v>
      </c>
      <c r="K133" s="311">
        <f>Bal!H133</f>
        <v>0</v>
      </c>
      <c r="L133" s="311">
        <f>Bal!I133</f>
        <v>0</v>
      </c>
      <c r="M133" s="311">
        <f>Bal!J133</f>
        <v>0</v>
      </c>
      <c r="N133" s="311">
        <f>Bal!K133</f>
        <v>0</v>
      </c>
    </row>
    <row r="134" spans="2:14" ht="12.75" customHeight="1" x14ac:dyDescent="0.25">
      <c r="B134" s="313" t="s">
        <v>2705</v>
      </c>
      <c r="C134">
        <v>57</v>
      </c>
      <c r="D134" s="134" t="e">
        <f t="shared" si="1"/>
        <v>#N/A</v>
      </c>
      <c r="E134" s="310">
        <f>Bal!B134</f>
        <v>0</v>
      </c>
      <c r="F134" s="311">
        <f>Bal!C134</f>
        <v>0</v>
      </c>
      <c r="G134" s="311">
        <f>Bal!D134</f>
        <v>0</v>
      </c>
      <c r="H134" s="311">
        <f>Bal!E134</f>
        <v>0</v>
      </c>
      <c r="I134" s="311">
        <f>Bal!F134</f>
        <v>0</v>
      </c>
      <c r="J134" s="311">
        <f>Bal!G134</f>
        <v>0</v>
      </c>
      <c r="K134" s="311">
        <f>Bal!H134</f>
        <v>0</v>
      </c>
      <c r="L134" s="311">
        <f>Bal!I134</f>
        <v>0</v>
      </c>
      <c r="M134" s="311">
        <f>Bal!J134</f>
        <v>0</v>
      </c>
      <c r="N134" s="311">
        <f>Bal!K134</f>
        <v>0</v>
      </c>
    </row>
    <row r="135" spans="2:14" ht="12.75" customHeight="1" x14ac:dyDescent="0.25">
      <c r="B135" s="313" t="s">
        <v>2706</v>
      </c>
      <c r="C135">
        <v>58</v>
      </c>
      <c r="D135" s="134" t="e">
        <f t="shared" si="1"/>
        <v>#N/A</v>
      </c>
      <c r="E135" s="310">
        <f>Bal!B135</f>
        <v>0</v>
      </c>
      <c r="F135" s="311">
        <f>Bal!C135</f>
        <v>0</v>
      </c>
      <c r="G135" s="311">
        <f>Bal!D135</f>
        <v>0</v>
      </c>
      <c r="H135" s="311">
        <f>Bal!E135</f>
        <v>0</v>
      </c>
      <c r="I135" s="311">
        <f>Bal!F135</f>
        <v>0</v>
      </c>
      <c r="J135" s="311">
        <f>Bal!G135</f>
        <v>0</v>
      </c>
      <c r="K135" s="311">
        <f>Bal!H135</f>
        <v>0</v>
      </c>
      <c r="L135" s="311">
        <f>Bal!I135</f>
        <v>0</v>
      </c>
      <c r="M135" s="311">
        <f>Bal!J135</f>
        <v>0</v>
      </c>
      <c r="N135" s="311">
        <f>Bal!K135</f>
        <v>0</v>
      </c>
    </row>
    <row r="136" spans="2:14" ht="12.75" customHeight="1" x14ac:dyDescent="0.25">
      <c r="B136" s="313" t="s">
        <v>2707</v>
      </c>
      <c r="C136">
        <v>59</v>
      </c>
      <c r="D136" s="134" t="e">
        <f t="shared" si="1"/>
        <v>#N/A</v>
      </c>
      <c r="E136" s="310">
        <f>Bal!B136</f>
        <v>0</v>
      </c>
      <c r="F136" s="311">
        <f>Bal!C136</f>
        <v>0</v>
      </c>
      <c r="G136" s="311">
        <f>Bal!D136</f>
        <v>0</v>
      </c>
      <c r="H136" s="311">
        <f>Bal!E136</f>
        <v>0</v>
      </c>
      <c r="I136" s="311">
        <f>Bal!F136</f>
        <v>0</v>
      </c>
      <c r="J136" s="311">
        <f>Bal!G136</f>
        <v>0</v>
      </c>
      <c r="K136" s="311">
        <f>Bal!H136</f>
        <v>0</v>
      </c>
      <c r="L136" s="311">
        <f>Bal!I136</f>
        <v>0</v>
      </c>
      <c r="M136" s="311">
        <f>Bal!J136</f>
        <v>0</v>
      </c>
      <c r="N136" s="311">
        <f>Bal!K136</f>
        <v>0</v>
      </c>
    </row>
    <row r="137" spans="2:14" ht="12.75" customHeight="1" x14ac:dyDescent="0.25">
      <c r="B137" s="134"/>
      <c r="D137" s="134" t="e">
        <f t="shared" si="1"/>
        <v>#N/A</v>
      </c>
      <c r="E137" s="310">
        <f>Bal!B137</f>
        <v>0</v>
      </c>
      <c r="F137" s="311">
        <f>Bal!C137</f>
        <v>0</v>
      </c>
      <c r="G137" s="311">
        <f>Bal!D137</f>
        <v>0</v>
      </c>
      <c r="H137" s="311">
        <f>Bal!E137</f>
        <v>0</v>
      </c>
      <c r="I137" s="311">
        <f>Bal!F137</f>
        <v>0</v>
      </c>
      <c r="J137" s="311">
        <f>Bal!G137</f>
        <v>0</v>
      </c>
      <c r="K137" s="311">
        <f>Bal!H137</f>
        <v>0</v>
      </c>
      <c r="L137" s="311">
        <f>Bal!I137</f>
        <v>0</v>
      </c>
      <c r="M137" s="311">
        <f>Bal!J137</f>
        <v>0</v>
      </c>
      <c r="N137" s="311">
        <f>Bal!K137</f>
        <v>0</v>
      </c>
    </row>
    <row r="138" spans="2:14" ht="12.75" customHeight="1" x14ac:dyDescent="0.25">
      <c r="B138" s="134"/>
      <c r="D138" s="134" t="e">
        <f t="shared" si="1"/>
        <v>#N/A</v>
      </c>
      <c r="E138" s="310">
        <f>Bal!B138</f>
        <v>0</v>
      </c>
      <c r="F138" s="311">
        <f>Bal!C138</f>
        <v>0</v>
      </c>
      <c r="G138" s="311">
        <f>Bal!D138</f>
        <v>0</v>
      </c>
      <c r="H138" s="311">
        <f>Bal!E138</f>
        <v>0</v>
      </c>
      <c r="I138" s="311">
        <f>Bal!F138</f>
        <v>0</v>
      </c>
      <c r="J138" s="311">
        <f>Bal!G138</f>
        <v>0</v>
      </c>
      <c r="K138" s="311">
        <f>Bal!H138</f>
        <v>0</v>
      </c>
      <c r="L138" s="311">
        <f>Bal!I138</f>
        <v>0</v>
      </c>
      <c r="M138" s="311">
        <f>Bal!J138</f>
        <v>0</v>
      </c>
      <c r="N138" s="311">
        <f>Bal!K138</f>
        <v>0</v>
      </c>
    </row>
    <row r="139" spans="2:14" ht="12.75" customHeight="1" x14ac:dyDescent="0.25">
      <c r="B139" s="134"/>
      <c r="D139" s="134" t="e">
        <f t="shared" ref="D139:D202" si="2">HLOOKUP(E139,$S$3:$EN$4,2,0)</f>
        <v>#N/A</v>
      </c>
      <c r="E139" s="310">
        <f>Bal!B139</f>
        <v>0</v>
      </c>
      <c r="F139" s="311">
        <f>Bal!C139</f>
        <v>0</v>
      </c>
      <c r="G139" s="311">
        <f>Bal!D139</f>
        <v>0</v>
      </c>
      <c r="H139" s="311">
        <f>Bal!E139</f>
        <v>0</v>
      </c>
      <c r="I139" s="311">
        <f>Bal!F139</f>
        <v>0</v>
      </c>
      <c r="J139" s="311">
        <f>Bal!G139</f>
        <v>0</v>
      </c>
      <c r="K139" s="311">
        <f>Bal!H139</f>
        <v>0</v>
      </c>
      <c r="L139" s="311">
        <f>Bal!I139</f>
        <v>0</v>
      </c>
      <c r="M139" s="311">
        <f>Bal!J139</f>
        <v>0</v>
      </c>
      <c r="N139" s="311">
        <f>Bal!K139</f>
        <v>0</v>
      </c>
    </row>
    <row r="140" spans="2:14" ht="12.75" customHeight="1" x14ac:dyDescent="0.25">
      <c r="B140" s="313" t="s">
        <v>47</v>
      </c>
      <c r="C140">
        <v>60</v>
      </c>
      <c r="D140" s="134" t="e">
        <f t="shared" si="2"/>
        <v>#N/A</v>
      </c>
      <c r="E140" s="310">
        <f>Bal!B140</f>
        <v>0</v>
      </c>
      <c r="F140" s="311">
        <f>Bal!C140</f>
        <v>0</v>
      </c>
      <c r="G140" s="311">
        <f>Bal!D140</f>
        <v>0</v>
      </c>
      <c r="H140" s="311">
        <f>Bal!E140</f>
        <v>0</v>
      </c>
      <c r="I140" s="311">
        <f>Bal!F140</f>
        <v>0</v>
      </c>
      <c r="J140" s="311">
        <f>Bal!G140</f>
        <v>0</v>
      </c>
      <c r="K140" s="311">
        <f>Bal!H140</f>
        <v>0</v>
      </c>
      <c r="L140" s="311">
        <f>Bal!I140</f>
        <v>0</v>
      </c>
      <c r="M140" s="311">
        <f>Bal!J140</f>
        <v>0</v>
      </c>
      <c r="N140" s="311">
        <f>Bal!K140</f>
        <v>0</v>
      </c>
    </row>
    <row r="141" spans="2:14" ht="12.75" customHeight="1" x14ac:dyDescent="0.25">
      <c r="B141" s="134"/>
      <c r="D141" s="134" t="e">
        <f t="shared" si="2"/>
        <v>#N/A</v>
      </c>
      <c r="E141" s="310">
        <f>Bal!B141</f>
        <v>0</v>
      </c>
      <c r="F141" s="311">
        <f>Bal!C141</f>
        <v>0</v>
      </c>
      <c r="G141" s="311">
        <f>Bal!D141</f>
        <v>0</v>
      </c>
      <c r="H141" s="311">
        <f>Bal!E141</f>
        <v>0</v>
      </c>
      <c r="I141" s="311">
        <f>Bal!F141</f>
        <v>0</v>
      </c>
      <c r="J141" s="311">
        <f>Bal!G141</f>
        <v>0</v>
      </c>
      <c r="K141" s="311">
        <f>Bal!H141</f>
        <v>0</v>
      </c>
      <c r="L141" s="311">
        <f>Bal!I141</f>
        <v>0</v>
      </c>
      <c r="M141" s="311">
        <f>Bal!J141</f>
        <v>0</v>
      </c>
      <c r="N141" s="311">
        <f>Bal!K141</f>
        <v>0</v>
      </c>
    </row>
    <row r="142" spans="2:14" ht="12.75" customHeight="1" x14ac:dyDescent="0.25">
      <c r="B142" s="134"/>
      <c r="D142" s="134" t="e">
        <f t="shared" si="2"/>
        <v>#N/A</v>
      </c>
      <c r="E142" s="310">
        <f>Bal!B142</f>
        <v>0</v>
      </c>
      <c r="F142" s="311">
        <f>Bal!C142</f>
        <v>0</v>
      </c>
      <c r="G142" s="311">
        <f>Bal!D142</f>
        <v>0</v>
      </c>
      <c r="H142" s="311">
        <f>Bal!E142</f>
        <v>0</v>
      </c>
      <c r="I142" s="311">
        <f>Bal!F142</f>
        <v>0</v>
      </c>
      <c r="J142" s="311">
        <f>Bal!G142</f>
        <v>0</v>
      </c>
      <c r="K142" s="311">
        <f>Bal!H142</f>
        <v>0</v>
      </c>
      <c r="L142" s="311">
        <f>Bal!I142</f>
        <v>0</v>
      </c>
      <c r="M142" s="311">
        <f>Bal!J142</f>
        <v>0</v>
      </c>
      <c r="N142" s="311">
        <f>Bal!K142</f>
        <v>0</v>
      </c>
    </row>
    <row r="143" spans="2:14" ht="12.75" customHeight="1" x14ac:dyDescent="0.25">
      <c r="B143" s="134"/>
      <c r="D143" s="134" t="e">
        <f t="shared" si="2"/>
        <v>#N/A</v>
      </c>
      <c r="E143" s="310">
        <f>Bal!B143</f>
        <v>0</v>
      </c>
      <c r="F143" s="311">
        <f>Bal!C143</f>
        <v>0</v>
      </c>
      <c r="G143" s="311">
        <f>Bal!D143</f>
        <v>0</v>
      </c>
      <c r="H143" s="311">
        <f>Bal!E143</f>
        <v>0</v>
      </c>
      <c r="I143" s="311">
        <f>Bal!F143</f>
        <v>0</v>
      </c>
      <c r="J143" s="311">
        <f>Bal!G143</f>
        <v>0</v>
      </c>
      <c r="K143" s="311">
        <f>Bal!H143</f>
        <v>0</v>
      </c>
      <c r="L143" s="311">
        <f>Bal!I143</f>
        <v>0</v>
      </c>
      <c r="M143" s="311">
        <f>Bal!J143</f>
        <v>0</v>
      </c>
      <c r="N143" s="311">
        <f>Bal!K143</f>
        <v>0</v>
      </c>
    </row>
    <row r="144" spans="2:14" ht="12.75" customHeight="1" x14ac:dyDescent="0.25">
      <c r="B144" s="80"/>
      <c r="D144" s="134" t="e">
        <f t="shared" si="2"/>
        <v>#N/A</v>
      </c>
      <c r="E144" s="310">
        <f>Bal!B144</f>
        <v>0</v>
      </c>
      <c r="F144" s="311">
        <f>Bal!C144</f>
        <v>0</v>
      </c>
      <c r="G144" s="311">
        <f>Bal!D144</f>
        <v>0</v>
      </c>
      <c r="H144" s="311">
        <f>Bal!E144</f>
        <v>0</v>
      </c>
      <c r="I144" s="311">
        <f>Bal!F144</f>
        <v>0</v>
      </c>
      <c r="J144" s="311">
        <f>Bal!G144</f>
        <v>0</v>
      </c>
      <c r="K144" s="311">
        <f>Bal!H144</f>
        <v>0</v>
      </c>
      <c r="L144" s="311">
        <f>Bal!I144</f>
        <v>0</v>
      </c>
      <c r="M144" s="311">
        <f>Bal!J144</f>
        <v>0</v>
      </c>
      <c r="N144" s="311">
        <f>Bal!K144</f>
        <v>0</v>
      </c>
    </row>
    <row r="145" spans="2:14" ht="12.75" customHeight="1" x14ac:dyDescent="0.25">
      <c r="B145" s="75"/>
      <c r="D145" s="134" t="e">
        <f t="shared" si="2"/>
        <v>#N/A</v>
      </c>
      <c r="E145" s="310">
        <f>Bal!B145</f>
        <v>0</v>
      </c>
      <c r="F145" s="311">
        <f>Bal!C145</f>
        <v>0</v>
      </c>
      <c r="G145" s="311">
        <f>Bal!D145</f>
        <v>0</v>
      </c>
      <c r="H145" s="311">
        <f>Bal!E145</f>
        <v>0</v>
      </c>
      <c r="I145" s="311">
        <f>Bal!F145</f>
        <v>0</v>
      </c>
      <c r="J145" s="311">
        <f>Bal!G145</f>
        <v>0</v>
      </c>
      <c r="K145" s="311">
        <f>Bal!H145</f>
        <v>0</v>
      </c>
      <c r="L145" s="311">
        <f>Bal!I145</f>
        <v>0</v>
      </c>
      <c r="M145" s="311">
        <f>Bal!J145</f>
        <v>0</v>
      </c>
      <c r="N145" s="311">
        <f>Bal!K145</f>
        <v>0</v>
      </c>
    </row>
    <row r="146" spans="2:14" ht="12.75" customHeight="1" x14ac:dyDescent="0.25">
      <c r="B146" s="134"/>
      <c r="D146" s="134" t="e">
        <f t="shared" si="2"/>
        <v>#N/A</v>
      </c>
      <c r="E146" s="310">
        <f>Bal!B146</f>
        <v>0</v>
      </c>
      <c r="F146" s="311">
        <f>Bal!C146</f>
        <v>0</v>
      </c>
      <c r="G146" s="311">
        <f>Bal!D146</f>
        <v>0</v>
      </c>
      <c r="H146" s="311">
        <f>Bal!E146</f>
        <v>0</v>
      </c>
      <c r="I146" s="311">
        <f>Bal!F146</f>
        <v>0</v>
      </c>
      <c r="J146" s="311">
        <f>Bal!G146</f>
        <v>0</v>
      </c>
      <c r="K146" s="311">
        <f>Bal!H146</f>
        <v>0</v>
      </c>
      <c r="L146" s="311">
        <f>Bal!I146</f>
        <v>0</v>
      </c>
      <c r="M146" s="311">
        <f>Bal!J146</f>
        <v>0</v>
      </c>
      <c r="N146" s="311">
        <f>Bal!K146</f>
        <v>0</v>
      </c>
    </row>
    <row r="147" spans="2:14" ht="12.75" customHeight="1" x14ac:dyDescent="0.25">
      <c r="B147" s="172"/>
      <c r="D147" s="134" t="e">
        <f t="shared" si="2"/>
        <v>#N/A</v>
      </c>
      <c r="E147" s="310">
        <f>Bal!B147</f>
        <v>0</v>
      </c>
      <c r="F147" s="311">
        <f>Bal!C147</f>
        <v>0</v>
      </c>
      <c r="G147" s="311">
        <f>Bal!D147</f>
        <v>0</v>
      </c>
      <c r="H147" s="311">
        <f>Bal!E147</f>
        <v>0</v>
      </c>
      <c r="I147" s="311">
        <f>Bal!F147</f>
        <v>0</v>
      </c>
      <c r="J147" s="311">
        <f>Bal!G147</f>
        <v>0</v>
      </c>
      <c r="K147" s="311">
        <f>Bal!H147</f>
        <v>0</v>
      </c>
      <c r="L147" s="311">
        <f>Bal!I147</f>
        <v>0</v>
      </c>
      <c r="M147" s="311">
        <f>Bal!J147</f>
        <v>0</v>
      </c>
      <c r="N147" s="311">
        <f>Bal!K147</f>
        <v>0</v>
      </c>
    </row>
    <row r="148" spans="2:14" ht="12.75" customHeight="1" x14ac:dyDescent="0.25">
      <c r="B148" s="75"/>
      <c r="D148" s="134" t="e">
        <f t="shared" si="2"/>
        <v>#N/A</v>
      </c>
      <c r="E148" s="310">
        <f>Bal!B148</f>
        <v>0</v>
      </c>
      <c r="F148" s="311">
        <f>Bal!C148</f>
        <v>0</v>
      </c>
      <c r="G148" s="311">
        <f>Bal!D148</f>
        <v>0</v>
      </c>
      <c r="H148" s="311">
        <f>Bal!E148</f>
        <v>0</v>
      </c>
      <c r="I148" s="311">
        <f>Bal!F148</f>
        <v>0</v>
      </c>
      <c r="J148" s="311">
        <f>Bal!G148</f>
        <v>0</v>
      </c>
      <c r="K148" s="311">
        <f>Bal!H148</f>
        <v>0</v>
      </c>
      <c r="L148" s="311">
        <f>Bal!I148</f>
        <v>0</v>
      </c>
      <c r="M148" s="311">
        <f>Bal!J148</f>
        <v>0</v>
      </c>
      <c r="N148" s="311">
        <f>Bal!K148</f>
        <v>0</v>
      </c>
    </row>
    <row r="149" spans="2:14" ht="12.75" customHeight="1" x14ac:dyDescent="0.25">
      <c r="B149" s="134"/>
      <c r="D149" s="134" t="e">
        <f t="shared" si="2"/>
        <v>#N/A</v>
      </c>
      <c r="E149" s="310">
        <f>Bal!B149</f>
        <v>0</v>
      </c>
      <c r="F149" s="311">
        <f>Bal!C149</f>
        <v>0</v>
      </c>
      <c r="G149" s="311">
        <f>Bal!D149</f>
        <v>0</v>
      </c>
      <c r="H149" s="311">
        <f>Bal!E149</f>
        <v>0</v>
      </c>
      <c r="I149" s="311">
        <f>Bal!F149</f>
        <v>0</v>
      </c>
      <c r="J149" s="311">
        <f>Bal!G149</f>
        <v>0</v>
      </c>
      <c r="K149" s="311">
        <f>Bal!H149</f>
        <v>0</v>
      </c>
      <c r="L149" s="311">
        <f>Bal!I149</f>
        <v>0</v>
      </c>
      <c r="M149" s="311">
        <f>Bal!J149</f>
        <v>0</v>
      </c>
      <c r="N149" s="311">
        <f>Bal!K149</f>
        <v>0</v>
      </c>
    </row>
    <row r="150" spans="2:14" ht="12.75" customHeight="1" x14ac:dyDescent="0.25">
      <c r="B150" s="134"/>
      <c r="D150" s="134" t="e">
        <f t="shared" si="2"/>
        <v>#N/A</v>
      </c>
      <c r="E150" s="310">
        <f>Bal!B150</f>
        <v>0</v>
      </c>
      <c r="F150" s="311">
        <f>Bal!C150</f>
        <v>0</v>
      </c>
      <c r="G150" s="311">
        <f>Bal!D150</f>
        <v>0</v>
      </c>
      <c r="H150" s="311">
        <f>Bal!E150</f>
        <v>0</v>
      </c>
      <c r="I150" s="311">
        <f>Bal!F150</f>
        <v>0</v>
      </c>
      <c r="J150" s="311">
        <f>Bal!G150</f>
        <v>0</v>
      </c>
      <c r="K150" s="311">
        <f>Bal!H150</f>
        <v>0</v>
      </c>
      <c r="L150" s="311">
        <f>Bal!I150</f>
        <v>0</v>
      </c>
      <c r="M150" s="311">
        <f>Bal!J150</f>
        <v>0</v>
      </c>
      <c r="N150" s="311">
        <f>Bal!K150</f>
        <v>0</v>
      </c>
    </row>
    <row r="151" spans="2:14" ht="12.75" customHeight="1" x14ac:dyDescent="0.25">
      <c r="B151" s="134"/>
      <c r="D151" s="134" t="e">
        <f t="shared" si="2"/>
        <v>#N/A</v>
      </c>
      <c r="E151" s="310">
        <f>Bal!B151</f>
        <v>0</v>
      </c>
      <c r="F151" s="311">
        <f>Bal!C151</f>
        <v>0</v>
      </c>
      <c r="G151" s="311">
        <f>Bal!D151</f>
        <v>0</v>
      </c>
      <c r="H151" s="311">
        <f>Bal!E151</f>
        <v>0</v>
      </c>
      <c r="I151" s="311">
        <f>Bal!F151</f>
        <v>0</v>
      </c>
      <c r="J151" s="311">
        <f>Bal!G151</f>
        <v>0</v>
      </c>
      <c r="K151" s="311">
        <f>Bal!H151</f>
        <v>0</v>
      </c>
      <c r="L151" s="311">
        <f>Bal!I151</f>
        <v>0</v>
      </c>
      <c r="M151" s="311">
        <f>Bal!J151</f>
        <v>0</v>
      </c>
      <c r="N151" s="311">
        <f>Bal!K151</f>
        <v>0</v>
      </c>
    </row>
    <row r="152" spans="2:14" ht="12.75" customHeight="1" x14ac:dyDescent="0.25">
      <c r="B152" s="134"/>
      <c r="D152" s="134" t="e">
        <f t="shared" si="2"/>
        <v>#N/A</v>
      </c>
      <c r="E152" s="310">
        <f>Bal!B152</f>
        <v>0</v>
      </c>
      <c r="F152" s="311">
        <f>Bal!C152</f>
        <v>0</v>
      </c>
      <c r="G152" s="311">
        <f>Bal!D152</f>
        <v>0</v>
      </c>
      <c r="H152" s="311">
        <f>Bal!E152</f>
        <v>0</v>
      </c>
      <c r="I152" s="311">
        <f>Bal!F152</f>
        <v>0</v>
      </c>
      <c r="J152" s="311">
        <f>Bal!G152</f>
        <v>0</v>
      </c>
      <c r="K152" s="311">
        <f>Bal!H152</f>
        <v>0</v>
      </c>
      <c r="L152" s="311">
        <f>Bal!I152</f>
        <v>0</v>
      </c>
      <c r="M152" s="311">
        <f>Bal!J152</f>
        <v>0</v>
      </c>
      <c r="N152" s="311">
        <f>Bal!K152</f>
        <v>0</v>
      </c>
    </row>
    <row r="153" spans="2:14" ht="12.75" customHeight="1" x14ac:dyDescent="0.25">
      <c r="B153" s="134"/>
      <c r="D153" s="134" t="e">
        <f t="shared" si="2"/>
        <v>#N/A</v>
      </c>
      <c r="E153" s="310">
        <f>Bal!B153</f>
        <v>0</v>
      </c>
      <c r="F153" s="311">
        <f>Bal!C153</f>
        <v>0</v>
      </c>
      <c r="G153" s="311">
        <f>Bal!D153</f>
        <v>0</v>
      </c>
      <c r="H153" s="311">
        <f>Bal!E153</f>
        <v>0</v>
      </c>
      <c r="I153" s="311">
        <f>Bal!F153</f>
        <v>0</v>
      </c>
      <c r="J153" s="311">
        <f>Bal!G153</f>
        <v>0</v>
      </c>
      <c r="K153" s="311">
        <f>Bal!H153</f>
        <v>0</v>
      </c>
      <c r="L153" s="311">
        <f>Bal!I153</f>
        <v>0</v>
      </c>
      <c r="M153" s="311">
        <f>Bal!J153</f>
        <v>0</v>
      </c>
      <c r="N153" s="311">
        <f>Bal!K153</f>
        <v>0</v>
      </c>
    </row>
    <row r="154" spans="2:14" ht="12.75" customHeight="1" x14ac:dyDescent="0.25">
      <c r="B154" s="134"/>
      <c r="D154" s="134" t="e">
        <f t="shared" si="2"/>
        <v>#N/A</v>
      </c>
      <c r="E154" s="310">
        <f>Bal!B154</f>
        <v>0</v>
      </c>
      <c r="F154" s="311">
        <f>Bal!C154</f>
        <v>0</v>
      </c>
      <c r="G154" s="311">
        <f>Bal!D154</f>
        <v>0</v>
      </c>
      <c r="H154" s="311">
        <f>Bal!E154</f>
        <v>0</v>
      </c>
      <c r="I154" s="311">
        <f>Bal!F154</f>
        <v>0</v>
      </c>
      <c r="J154" s="311">
        <f>Bal!G154</f>
        <v>0</v>
      </c>
      <c r="K154" s="311">
        <f>Bal!H154</f>
        <v>0</v>
      </c>
      <c r="L154" s="311">
        <f>Bal!I154</f>
        <v>0</v>
      </c>
      <c r="M154" s="311">
        <f>Bal!J154</f>
        <v>0</v>
      </c>
      <c r="N154" s="311">
        <f>Bal!K154</f>
        <v>0</v>
      </c>
    </row>
    <row r="155" spans="2:14" ht="12.75" customHeight="1" x14ac:dyDescent="0.25">
      <c r="B155" s="134"/>
      <c r="D155" s="134" t="e">
        <f t="shared" si="2"/>
        <v>#N/A</v>
      </c>
      <c r="E155" s="310">
        <f>Bal!B155</f>
        <v>0</v>
      </c>
      <c r="F155" s="311">
        <f>Bal!C155</f>
        <v>0</v>
      </c>
      <c r="G155" s="311">
        <f>Bal!D155</f>
        <v>0</v>
      </c>
      <c r="H155" s="311">
        <f>Bal!E155</f>
        <v>0</v>
      </c>
      <c r="I155" s="311">
        <f>Bal!F155</f>
        <v>0</v>
      </c>
      <c r="J155" s="311">
        <f>Bal!G155</f>
        <v>0</v>
      </c>
      <c r="K155" s="311">
        <f>Bal!H155</f>
        <v>0</v>
      </c>
      <c r="L155" s="311">
        <f>Bal!I155</f>
        <v>0</v>
      </c>
      <c r="M155" s="311">
        <f>Bal!J155</f>
        <v>0</v>
      </c>
      <c r="N155" s="311">
        <f>Bal!K155</f>
        <v>0</v>
      </c>
    </row>
    <row r="156" spans="2:14" ht="12.75" customHeight="1" x14ac:dyDescent="0.25">
      <c r="B156" s="134"/>
      <c r="D156" s="134" t="e">
        <f t="shared" si="2"/>
        <v>#N/A</v>
      </c>
      <c r="E156" s="310">
        <f>Bal!B156</f>
        <v>0</v>
      </c>
      <c r="F156" s="311">
        <f>Bal!C156</f>
        <v>0</v>
      </c>
      <c r="G156" s="311">
        <f>Bal!D156</f>
        <v>0</v>
      </c>
      <c r="H156" s="311">
        <f>Bal!E156</f>
        <v>0</v>
      </c>
      <c r="I156" s="311">
        <f>Bal!F156</f>
        <v>0</v>
      </c>
      <c r="J156" s="311">
        <f>Bal!G156</f>
        <v>0</v>
      </c>
      <c r="K156" s="311">
        <f>Bal!H156</f>
        <v>0</v>
      </c>
      <c r="L156" s="311">
        <f>Bal!I156</f>
        <v>0</v>
      </c>
      <c r="M156" s="311">
        <f>Bal!J156</f>
        <v>0</v>
      </c>
      <c r="N156" s="311">
        <f>Bal!K156</f>
        <v>0</v>
      </c>
    </row>
    <row r="157" spans="2:14" ht="12.75" customHeight="1" x14ac:dyDescent="0.25">
      <c r="B157" s="134"/>
      <c r="D157" s="134" t="e">
        <f t="shared" si="2"/>
        <v>#N/A</v>
      </c>
      <c r="E157" s="310">
        <f>Bal!B157</f>
        <v>0</v>
      </c>
      <c r="F157" s="311">
        <f>Bal!C157</f>
        <v>0</v>
      </c>
      <c r="G157" s="311">
        <f>Bal!D157</f>
        <v>0</v>
      </c>
      <c r="H157" s="311">
        <f>Bal!E157</f>
        <v>0</v>
      </c>
      <c r="I157" s="311">
        <f>Bal!F157</f>
        <v>0</v>
      </c>
      <c r="J157" s="311">
        <f>Bal!G157</f>
        <v>0</v>
      </c>
      <c r="K157" s="311">
        <f>Bal!H157</f>
        <v>0</v>
      </c>
      <c r="L157" s="311">
        <f>Bal!I157</f>
        <v>0</v>
      </c>
      <c r="M157" s="311">
        <f>Bal!J157</f>
        <v>0</v>
      </c>
      <c r="N157" s="311">
        <f>Bal!K157</f>
        <v>0</v>
      </c>
    </row>
    <row r="158" spans="2:14" ht="12.75" customHeight="1" x14ac:dyDescent="0.25">
      <c r="B158" s="134"/>
      <c r="D158" s="134" t="e">
        <f t="shared" si="2"/>
        <v>#N/A</v>
      </c>
      <c r="E158" s="310">
        <f>Bal!B158</f>
        <v>0</v>
      </c>
      <c r="F158" s="311">
        <f>Bal!C158</f>
        <v>0</v>
      </c>
      <c r="G158" s="311">
        <f>Bal!D158</f>
        <v>0</v>
      </c>
      <c r="H158" s="311">
        <f>Bal!E158</f>
        <v>0</v>
      </c>
      <c r="I158" s="311">
        <f>Bal!F158</f>
        <v>0</v>
      </c>
      <c r="J158" s="311">
        <f>Bal!G158</f>
        <v>0</v>
      </c>
      <c r="K158" s="311">
        <f>Bal!H158</f>
        <v>0</v>
      </c>
      <c r="L158" s="311">
        <f>Bal!I158</f>
        <v>0</v>
      </c>
      <c r="M158" s="311">
        <f>Bal!J158</f>
        <v>0</v>
      </c>
      <c r="N158" s="311">
        <f>Bal!K158</f>
        <v>0</v>
      </c>
    </row>
    <row r="159" spans="2:14" ht="12.75" customHeight="1" x14ac:dyDescent="0.25">
      <c r="B159" s="134"/>
      <c r="D159" s="134" t="e">
        <f t="shared" si="2"/>
        <v>#N/A</v>
      </c>
      <c r="E159" s="310">
        <f>Bal!B159</f>
        <v>0</v>
      </c>
      <c r="F159" s="311">
        <f>Bal!C159</f>
        <v>0</v>
      </c>
      <c r="G159" s="311">
        <f>Bal!D159</f>
        <v>0</v>
      </c>
      <c r="H159" s="311">
        <f>Bal!E159</f>
        <v>0</v>
      </c>
      <c r="I159" s="311">
        <f>Bal!F159</f>
        <v>0</v>
      </c>
      <c r="J159" s="311">
        <f>Bal!G159</f>
        <v>0</v>
      </c>
      <c r="K159" s="311">
        <f>Bal!H159</f>
        <v>0</v>
      </c>
      <c r="L159" s="311">
        <f>Bal!I159</f>
        <v>0</v>
      </c>
      <c r="M159" s="311">
        <f>Bal!J159</f>
        <v>0</v>
      </c>
      <c r="N159" s="311">
        <f>Bal!K159</f>
        <v>0</v>
      </c>
    </row>
    <row r="160" spans="2:14" ht="12.75" customHeight="1" x14ac:dyDescent="0.25">
      <c r="B160" s="134"/>
      <c r="D160" s="134" t="e">
        <f t="shared" si="2"/>
        <v>#N/A</v>
      </c>
      <c r="E160" s="310">
        <f>Bal!B160</f>
        <v>0</v>
      </c>
      <c r="F160" s="311">
        <f>Bal!C160</f>
        <v>0</v>
      </c>
      <c r="G160" s="311">
        <f>Bal!D160</f>
        <v>0</v>
      </c>
      <c r="H160" s="311">
        <f>Bal!E160</f>
        <v>0</v>
      </c>
      <c r="I160" s="311">
        <f>Bal!F160</f>
        <v>0</v>
      </c>
      <c r="J160" s="311">
        <f>Bal!G160</f>
        <v>0</v>
      </c>
      <c r="K160" s="311">
        <f>Bal!H160</f>
        <v>0</v>
      </c>
      <c r="L160" s="311">
        <f>Bal!I160</f>
        <v>0</v>
      </c>
      <c r="M160" s="311">
        <f>Bal!J160</f>
        <v>0</v>
      </c>
      <c r="N160" s="311">
        <f>Bal!K160</f>
        <v>0</v>
      </c>
    </row>
    <row r="161" spans="2:14" ht="12.75" customHeight="1" x14ac:dyDescent="0.25">
      <c r="B161" s="134"/>
      <c r="D161" s="134" t="e">
        <f t="shared" si="2"/>
        <v>#N/A</v>
      </c>
      <c r="E161" s="310">
        <f>Bal!B161</f>
        <v>0</v>
      </c>
      <c r="F161" s="311">
        <f>Bal!C161</f>
        <v>0</v>
      </c>
      <c r="G161" s="311">
        <f>Bal!D161</f>
        <v>0</v>
      </c>
      <c r="H161" s="311">
        <f>Bal!E161</f>
        <v>0</v>
      </c>
      <c r="I161" s="311">
        <f>Bal!F161</f>
        <v>0</v>
      </c>
      <c r="J161" s="311">
        <f>Bal!G161</f>
        <v>0</v>
      </c>
      <c r="K161" s="311">
        <f>Bal!H161</f>
        <v>0</v>
      </c>
      <c r="L161" s="311">
        <f>Bal!I161</f>
        <v>0</v>
      </c>
      <c r="M161" s="311">
        <f>Bal!J161</f>
        <v>0</v>
      </c>
      <c r="N161" s="311">
        <f>Bal!K161</f>
        <v>0</v>
      </c>
    </row>
    <row r="162" spans="2:14" ht="12.75" customHeight="1" x14ac:dyDescent="0.25">
      <c r="B162" s="134"/>
      <c r="D162" s="134" t="e">
        <f t="shared" si="2"/>
        <v>#N/A</v>
      </c>
      <c r="E162" s="310">
        <f>Bal!B162</f>
        <v>0</v>
      </c>
      <c r="F162" s="311">
        <f>Bal!C162</f>
        <v>0</v>
      </c>
      <c r="G162" s="311">
        <f>Bal!D162</f>
        <v>0</v>
      </c>
      <c r="H162" s="311">
        <f>Bal!E162</f>
        <v>0</v>
      </c>
      <c r="I162" s="311">
        <f>Bal!F162</f>
        <v>0</v>
      </c>
      <c r="J162" s="311">
        <f>Bal!G162</f>
        <v>0</v>
      </c>
      <c r="K162" s="311">
        <f>Bal!H162</f>
        <v>0</v>
      </c>
      <c r="L162" s="311">
        <f>Bal!I162</f>
        <v>0</v>
      </c>
      <c r="M162" s="311">
        <f>Bal!J162</f>
        <v>0</v>
      </c>
      <c r="N162" s="311">
        <f>Bal!K162</f>
        <v>0</v>
      </c>
    </row>
    <row r="163" spans="2:14" ht="12.75" customHeight="1" x14ac:dyDescent="0.25">
      <c r="B163" s="134"/>
      <c r="D163" s="134" t="e">
        <f t="shared" si="2"/>
        <v>#N/A</v>
      </c>
      <c r="E163" s="310">
        <f>Bal!B163</f>
        <v>0</v>
      </c>
      <c r="F163" s="311">
        <f>Bal!C163</f>
        <v>0</v>
      </c>
      <c r="G163" s="311">
        <f>Bal!D163</f>
        <v>0</v>
      </c>
      <c r="H163" s="311">
        <f>Bal!E163</f>
        <v>0</v>
      </c>
      <c r="I163" s="311">
        <f>Bal!F163</f>
        <v>0</v>
      </c>
      <c r="J163" s="311">
        <f>Bal!G163</f>
        <v>0</v>
      </c>
      <c r="K163" s="311">
        <f>Bal!H163</f>
        <v>0</v>
      </c>
      <c r="L163" s="311">
        <f>Bal!I163</f>
        <v>0</v>
      </c>
      <c r="M163" s="311">
        <f>Bal!J163</f>
        <v>0</v>
      </c>
      <c r="N163" s="311">
        <f>Bal!K163</f>
        <v>0</v>
      </c>
    </row>
    <row r="164" spans="2:14" ht="12.75" customHeight="1" x14ac:dyDescent="0.25">
      <c r="B164" s="134"/>
      <c r="D164" s="134" t="e">
        <f t="shared" si="2"/>
        <v>#N/A</v>
      </c>
      <c r="E164" s="310">
        <f>Bal!B164</f>
        <v>0</v>
      </c>
      <c r="F164" s="311">
        <f>Bal!C164</f>
        <v>0</v>
      </c>
      <c r="G164" s="311">
        <f>Bal!D164</f>
        <v>0</v>
      </c>
      <c r="H164" s="311">
        <f>Bal!E164</f>
        <v>0</v>
      </c>
      <c r="I164" s="311">
        <f>Bal!F164</f>
        <v>0</v>
      </c>
      <c r="J164" s="311">
        <f>Bal!G164</f>
        <v>0</v>
      </c>
      <c r="K164" s="311">
        <f>Bal!H164</f>
        <v>0</v>
      </c>
      <c r="L164" s="311">
        <f>Bal!I164</f>
        <v>0</v>
      </c>
      <c r="M164" s="311">
        <f>Bal!J164</f>
        <v>0</v>
      </c>
      <c r="N164" s="311">
        <f>Bal!K164</f>
        <v>0</v>
      </c>
    </row>
    <row r="165" spans="2:14" ht="12.75" customHeight="1" x14ac:dyDescent="0.25">
      <c r="B165" s="134"/>
      <c r="D165" s="134" t="e">
        <f t="shared" si="2"/>
        <v>#N/A</v>
      </c>
      <c r="E165" s="310">
        <f>Bal!B165</f>
        <v>0</v>
      </c>
      <c r="F165" s="311">
        <f>Bal!C165</f>
        <v>0</v>
      </c>
      <c r="G165" s="311">
        <f>Bal!D165</f>
        <v>0</v>
      </c>
      <c r="H165" s="311">
        <f>Bal!E165</f>
        <v>0</v>
      </c>
      <c r="I165" s="311">
        <f>Bal!F165</f>
        <v>0</v>
      </c>
      <c r="J165" s="311">
        <f>Bal!G165</f>
        <v>0</v>
      </c>
      <c r="K165" s="311">
        <f>Bal!H165</f>
        <v>0</v>
      </c>
      <c r="L165" s="311">
        <f>Bal!I165</f>
        <v>0</v>
      </c>
      <c r="M165" s="311">
        <f>Bal!J165</f>
        <v>0</v>
      </c>
      <c r="N165" s="311">
        <f>Bal!K165</f>
        <v>0</v>
      </c>
    </row>
    <row r="166" spans="2:14" ht="12.75" customHeight="1" x14ac:dyDescent="0.25">
      <c r="B166" s="134"/>
      <c r="D166" s="134" t="e">
        <f t="shared" si="2"/>
        <v>#N/A</v>
      </c>
      <c r="E166" s="310">
        <f>Bal!B166</f>
        <v>0</v>
      </c>
      <c r="F166" s="311">
        <f>Bal!C166</f>
        <v>0</v>
      </c>
      <c r="G166" s="311">
        <f>Bal!D166</f>
        <v>0</v>
      </c>
      <c r="H166" s="311">
        <f>Bal!E166</f>
        <v>0</v>
      </c>
      <c r="I166" s="311">
        <f>Bal!F166</f>
        <v>0</v>
      </c>
      <c r="J166" s="311">
        <f>Bal!G166</f>
        <v>0</v>
      </c>
      <c r="K166" s="311">
        <f>Bal!H166</f>
        <v>0</v>
      </c>
      <c r="L166" s="311">
        <f>Bal!I166</f>
        <v>0</v>
      </c>
      <c r="M166" s="311">
        <f>Bal!J166</f>
        <v>0</v>
      </c>
      <c r="N166" s="311">
        <f>Bal!K166</f>
        <v>0</v>
      </c>
    </row>
    <row r="167" spans="2:14" ht="12.75" customHeight="1" x14ac:dyDescent="0.25">
      <c r="B167" s="134"/>
      <c r="D167" s="134" t="e">
        <f t="shared" si="2"/>
        <v>#N/A</v>
      </c>
      <c r="E167" s="310">
        <f>Bal!B167</f>
        <v>0</v>
      </c>
      <c r="F167" s="311">
        <f>Bal!C167</f>
        <v>0</v>
      </c>
      <c r="G167" s="311">
        <f>Bal!D167</f>
        <v>0</v>
      </c>
      <c r="H167" s="311">
        <f>Bal!E167</f>
        <v>0</v>
      </c>
      <c r="I167" s="311">
        <f>Bal!F167</f>
        <v>0</v>
      </c>
      <c r="J167" s="311">
        <f>Bal!G167</f>
        <v>0</v>
      </c>
      <c r="K167" s="311">
        <f>Bal!H167</f>
        <v>0</v>
      </c>
      <c r="L167" s="311">
        <f>Bal!I167</f>
        <v>0</v>
      </c>
      <c r="M167" s="311">
        <f>Bal!J167</f>
        <v>0</v>
      </c>
      <c r="N167" s="311">
        <f>Bal!K167</f>
        <v>0</v>
      </c>
    </row>
    <row r="168" spans="2:14" ht="12.75" customHeight="1" x14ac:dyDescent="0.25">
      <c r="B168" s="134"/>
      <c r="D168" s="134" t="e">
        <f t="shared" si="2"/>
        <v>#N/A</v>
      </c>
      <c r="E168" s="310">
        <f>Bal!B168</f>
        <v>0</v>
      </c>
      <c r="F168" s="311">
        <f>Bal!C168</f>
        <v>0</v>
      </c>
      <c r="G168" s="311">
        <f>Bal!D168</f>
        <v>0</v>
      </c>
      <c r="H168" s="311">
        <f>Bal!E168</f>
        <v>0</v>
      </c>
      <c r="I168" s="311">
        <f>Bal!F168</f>
        <v>0</v>
      </c>
      <c r="J168" s="311">
        <f>Bal!G168</f>
        <v>0</v>
      </c>
      <c r="K168" s="311">
        <f>Bal!H168</f>
        <v>0</v>
      </c>
      <c r="L168" s="311">
        <f>Bal!I168</f>
        <v>0</v>
      </c>
      <c r="M168" s="311">
        <f>Bal!J168</f>
        <v>0</v>
      </c>
      <c r="N168" s="311">
        <f>Bal!K168</f>
        <v>0</v>
      </c>
    </row>
    <row r="169" spans="2:14" ht="12.75" customHeight="1" x14ac:dyDescent="0.25">
      <c r="B169" s="134"/>
      <c r="D169" s="134" t="e">
        <f t="shared" si="2"/>
        <v>#N/A</v>
      </c>
      <c r="E169" s="310">
        <f>Bal!B169</f>
        <v>0</v>
      </c>
      <c r="F169" s="311">
        <f>Bal!C169</f>
        <v>0</v>
      </c>
      <c r="G169" s="311">
        <f>Bal!D169</f>
        <v>0</v>
      </c>
      <c r="H169" s="311">
        <f>Bal!E169</f>
        <v>0</v>
      </c>
      <c r="I169" s="311">
        <f>Bal!F169</f>
        <v>0</v>
      </c>
      <c r="J169" s="311">
        <f>Bal!G169</f>
        <v>0</v>
      </c>
      <c r="K169" s="311">
        <f>Bal!H169</f>
        <v>0</v>
      </c>
      <c r="L169" s="311">
        <f>Bal!I169</f>
        <v>0</v>
      </c>
      <c r="M169" s="311">
        <f>Bal!J169</f>
        <v>0</v>
      </c>
      <c r="N169" s="311">
        <f>Bal!K169</f>
        <v>0</v>
      </c>
    </row>
    <row r="170" spans="2:14" ht="12.75" customHeight="1" x14ac:dyDescent="0.25">
      <c r="B170" s="134"/>
      <c r="D170" s="134" t="e">
        <f t="shared" si="2"/>
        <v>#N/A</v>
      </c>
      <c r="E170" s="310">
        <f>Bal!B170</f>
        <v>0</v>
      </c>
      <c r="F170" s="311">
        <f>Bal!C170</f>
        <v>0</v>
      </c>
      <c r="G170" s="311">
        <f>Bal!D170</f>
        <v>0</v>
      </c>
      <c r="H170" s="311">
        <f>Bal!E170</f>
        <v>0</v>
      </c>
      <c r="I170" s="311">
        <f>Bal!F170</f>
        <v>0</v>
      </c>
      <c r="J170" s="311">
        <f>Bal!G170</f>
        <v>0</v>
      </c>
      <c r="K170" s="311">
        <f>Bal!H170</f>
        <v>0</v>
      </c>
      <c r="L170" s="311">
        <f>Bal!I170</f>
        <v>0</v>
      </c>
      <c r="M170" s="311">
        <f>Bal!J170</f>
        <v>0</v>
      </c>
      <c r="N170" s="311">
        <f>Bal!K170</f>
        <v>0</v>
      </c>
    </row>
    <row r="171" spans="2:14" ht="12.75" customHeight="1" x14ac:dyDescent="0.25">
      <c r="B171" s="134"/>
      <c r="D171" s="134" t="e">
        <f t="shared" si="2"/>
        <v>#N/A</v>
      </c>
      <c r="E171" s="310">
        <f>Bal!B171</f>
        <v>0</v>
      </c>
      <c r="F171" s="311">
        <f>Bal!C171</f>
        <v>0</v>
      </c>
      <c r="G171" s="311">
        <f>Bal!D171</f>
        <v>0</v>
      </c>
      <c r="H171" s="311">
        <f>Bal!E171</f>
        <v>0</v>
      </c>
      <c r="I171" s="311">
        <f>Bal!F171</f>
        <v>0</v>
      </c>
      <c r="J171" s="311">
        <f>Bal!G171</f>
        <v>0</v>
      </c>
      <c r="K171" s="311">
        <f>Bal!H171</f>
        <v>0</v>
      </c>
      <c r="L171" s="311">
        <f>Bal!I171</f>
        <v>0</v>
      </c>
      <c r="M171" s="311">
        <f>Bal!J171</f>
        <v>0</v>
      </c>
      <c r="N171" s="311">
        <f>Bal!K171</f>
        <v>0</v>
      </c>
    </row>
    <row r="172" spans="2:14" ht="12.75" customHeight="1" x14ac:dyDescent="0.25">
      <c r="B172" s="134"/>
      <c r="D172" s="134" t="e">
        <f t="shared" si="2"/>
        <v>#N/A</v>
      </c>
      <c r="E172" s="310">
        <f>Bal!B172</f>
        <v>0</v>
      </c>
      <c r="F172" s="311">
        <f>Bal!C172</f>
        <v>0</v>
      </c>
      <c r="G172" s="311">
        <f>Bal!D172</f>
        <v>0</v>
      </c>
      <c r="H172" s="311">
        <f>Bal!E172</f>
        <v>0</v>
      </c>
      <c r="I172" s="311">
        <f>Bal!F172</f>
        <v>0</v>
      </c>
      <c r="J172" s="311">
        <f>Bal!G172</f>
        <v>0</v>
      </c>
      <c r="K172" s="311">
        <f>Bal!H172</f>
        <v>0</v>
      </c>
      <c r="L172" s="311">
        <f>Bal!I172</f>
        <v>0</v>
      </c>
      <c r="M172" s="311">
        <f>Bal!J172</f>
        <v>0</v>
      </c>
      <c r="N172" s="311">
        <f>Bal!K172</f>
        <v>0</v>
      </c>
    </row>
    <row r="173" spans="2:14" ht="12.75" customHeight="1" x14ac:dyDescent="0.25">
      <c r="B173" s="134"/>
      <c r="D173" s="134" t="e">
        <f t="shared" si="2"/>
        <v>#N/A</v>
      </c>
      <c r="E173" s="310">
        <f>Bal!B173</f>
        <v>0</v>
      </c>
      <c r="F173" s="311">
        <f>Bal!C173</f>
        <v>0</v>
      </c>
      <c r="G173" s="311">
        <f>Bal!D173</f>
        <v>0</v>
      </c>
      <c r="H173" s="311">
        <f>Bal!E173</f>
        <v>0</v>
      </c>
      <c r="I173" s="311">
        <f>Bal!F173</f>
        <v>0</v>
      </c>
      <c r="J173" s="311">
        <f>Bal!G173</f>
        <v>0</v>
      </c>
      <c r="K173" s="311">
        <f>Bal!H173</f>
        <v>0</v>
      </c>
      <c r="L173" s="311">
        <f>Bal!I173</f>
        <v>0</v>
      </c>
      <c r="M173" s="311">
        <f>Bal!J173</f>
        <v>0</v>
      </c>
      <c r="N173" s="311">
        <f>Bal!K173</f>
        <v>0</v>
      </c>
    </row>
    <row r="174" spans="2:14" ht="12.75" customHeight="1" x14ac:dyDescent="0.25">
      <c r="B174" s="134"/>
      <c r="D174" s="134" t="e">
        <f t="shared" si="2"/>
        <v>#N/A</v>
      </c>
      <c r="E174" s="310">
        <f>Bal!B174</f>
        <v>0</v>
      </c>
      <c r="F174" s="311">
        <f>Bal!C174</f>
        <v>0</v>
      </c>
      <c r="G174" s="311">
        <f>Bal!D174</f>
        <v>0</v>
      </c>
      <c r="H174" s="311">
        <f>Bal!E174</f>
        <v>0</v>
      </c>
      <c r="I174" s="311">
        <f>Bal!F174</f>
        <v>0</v>
      </c>
      <c r="J174" s="311">
        <f>Bal!G174</f>
        <v>0</v>
      </c>
      <c r="K174" s="311">
        <f>Bal!H174</f>
        <v>0</v>
      </c>
      <c r="L174" s="311">
        <f>Bal!I174</f>
        <v>0</v>
      </c>
      <c r="M174" s="311">
        <f>Bal!J174</f>
        <v>0</v>
      </c>
      <c r="N174" s="311">
        <f>Bal!K174</f>
        <v>0</v>
      </c>
    </row>
    <row r="175" spans="2:14" ht="12.75" customHeight="1" x14ac:dyDescent="0.25">
      <c r="B175" s="134"/>
      <c r="D175" s="134" t="e">
        <f t="shared" si="2"/>
        <v>#N/A</v>
      </c>
      <c r="E175" s="310">
        <f>Bal!B175</f>
        <v>0</v>
      </c>
      <c r="F175" s="311">
        <f>Bal!C175</f>
        <v>0</v>
      </c>
      <c r="G175" s="311">
        <f>Bal!D175</f>
        <v>0</v>
      </c>
      <c r="H175" s="311">
        <f>Bal!E175</f>
        <v>0</v>
      </c>
      <c r="I175" s="311">
        <f>Bal!F175</f>
        <v>0</v>
      </c>
      <c r="J175" s="311">
        <f>Bal!G175</f>
        <v>0</v>
      </c>
      <c r="K175" s="311">
        <f>Bal!H175</f>
        <v>0</v>
      </c>
      <c r="L175" s="311">
        <f>Bal!I175</f>
        <v>0</v>
      </c>
      <c r="M175" s="311">
        <f>Bal!J175</f>
        <v>0</v>
      </c>
      <c r="N175" s="311">
        <f>Bal!K175</f>
        <v>0</v>
      </c>
    </row>
    <row r="176" spans="2:14" ht="12.75" customHeight="1" x14ac:dyDescent="0.25">
      <c r="B176" s="134"/>
      <c r="D176" s="134" t="e">
        <f t="shared" si="2"/>
        <v>#N/A</v>
      </c>
      <c r="E176" s="310">
        <f>Bal!B176</f>
        <v>0</v>
      </c>
      <c r="F176" s="311">
        <f>Bal!C176</f>
        <v>0</v>
      </c>
      <c r="G176" s="311">
        <f>Bal!D176</f>
        <v>0</v>
      </c>
      <c r="H176" s="311">
        <f>Bal!E176</f>
        <v>0</v>
      </c>
      <c r="I176" s="311">
        <f>Bal!F176</f>
        <v>0</v>
      </c>
      <c r="J176" s="311">
        <f>Bal!G176</f>
        <v>0</v>
      </c>
      <c r="K176" s="311">
        <f>Bal!H176</f>
        <v>0</v>
      </c>
      <c r="L176" s="311">
        <f>Bal!I176</f>
        <v>0</v>
      </c>
      <c r="M176" s="311">
        <f>Bal!J176</f>
        <v>0</v>
      </c>
      <c r="N176" s="311">
        <f>Bal!K176</f>
        <v>0</v>
      </c>
    </row>
    <row r="177" spans="2:14" ht="12.75" customHeight="1" x14ac:dyDescent="0.25">
      <c r="B177" s="134"/>
      <c r="D177" s="134" t="e">
        <f t="shared" si="2"/>
        <v>#N/A</v>
      </c>
      <c r="E177" s="310">
        <f>Bal!B177</f>
        <v>0</v>
      </c>
      <c r="F177" s="311">
        <f>Bal!C177</f>
        <v>0</v>
      </c>
      <c r="G177" s="311">
        <f>Bal!D177</f>
        <v>0</v>
      </c>
      <c r="H177" s="311">
        <f>Bal!E177</f>
        <v>0</v>
      </c>
      <c r="I177" s="311">
        <f>Bal!F177</f>
        <v>0</v>
      </c>
      <c r="J177" s="311">
        <f>Bal!G177</f>
        <v>0</v>
      </c>
      <c r="K177" s="311">
        <f>Bal!H177</f>
        <v>0</v>
      </c>
      <c r="L177" s="311">
        <f>Bal!I177</f>
        <v>0</v>
      </c>
      <c r="M177" s="311">
        <f>Bal!J177</f>
        <v>0</v>
      </c>
      <c r="N177" s="311">
        <f>Bal!K177</f>
        <v>0</v>
      </c>
    </row>
    <row r="178" spans="2:14" ht="12.75" customHeight="1" x14ac:dyDescent="0.25">
      <c r="B178" s="134"/>
      <c r="D178" s="134" t="e">
        <f t="shared" si="2"/>
        <v>#N/A</v>
      </c>
      <c r="E178" s="310">
        <f>Bal!B178</f>
        <v>0</v>
      </c>
      <c r="F178" s="311">
        <f>Bal!C178</f>
        <v>0</v>
      </c>
      <c r="G178" s="311">
        <f>Bal!D178</f>
        <v>0</v>
      </c>
      <c r="H178" s="311">
        <f>Bal!E178</f>
        <v>0</v>
      </c>
      <c r="I178" s="311">
        <f>Bal!F178</f>
        <v>0</v>
      </c>
      <c r="J178" s="311">
        <f>Bal!G178</f>
        <v>0</v>
      </c>
      <c r="K178" s="311">
        <f>Bal!H178</f>
        <v>0</v>
      </c>
      <c r="L178" s="311">
        <f>Bal!I178</f>
        <v>0</v>
      </c>
      <c r="M178" s="311">
        <f>Bal!J178</f>
        <v>0</v>
      </c>
      <c r="N178" s="311">
        <f>Bal!K178</f>
        <v>0</v>
      </c>
    </row>
    <row r="179" spans="2:14" ht="12.75" customHeight="1" x14ac:dyDescent="0.25">
      <c r="B179" s="134"/>
      <c r="D179" s="134" t="e">
        <f t="shared" si="2"/>
        <v>#N/A</v>
      </c>
      <c r="E179" s="310">
        <f>Bal!B179</f>
        <v>0</v>
      </c>
      <c r="F179" s="311">
        <f>Bal!C179</f>
        <v>0</v>
      </c>
      <c r="G179" s="311">
        <f>Bal!D179</f>
        <v>0</v>
      </c>
      <c r="H179" s="311">
        <f>Bal!E179</f>
        <v>0</v>
      </c>
      <c r="I179" s="311">
        <f>Bal!F179</f>
        <v>0</v>
      </c>
      <c r="J179" s="311">
        <f>Bal!G179</f>
        <v>0</v>
      </c>
      <c r="K179" s="311">
        <f>Bal!H179</f>
        <v>0</v>
      </c>
      <c r="L179" s="311">
        <f>Bal!I179</f>
        <v>0</v>
      </c>
      <c r="M179" s="311">
        <f>Bal!J179</f>
        <v>0</v>
      </c>
      <c r="N179" s="311">
        <f>Bal!K179</f>
        <v>0</v>
      </c>
    </row>
    <row r="180" spans="2:14" ht="12.75" customHeight="1" x14ac:dyDescent="0.25">
      <c r="B180" s="134"/>
      <c r="D180" s="134" t="e">
        <f t="shared" si="2"/>
        <v>#N/A</v>
      </c>
      <c r="E180" s="310">
        <f>Bal!B180</f>
        <v>0</v>
      </c>
      <c r="F180" s="311">
        <f>Bal!C180</f>
        <v>0</v>
      </c>
      <c r="G180" s="311">
        <f>Bal!D180</f>
        <v>0</v>
      </c>
      <c r="H180" s="311">
        <f>Bal!E180</f>
        <v>0</v>
      </c>
      <c r="I180" s="311">
        <f>Bal!F180</f>
        <v>0</v>
      </c>
      <c r="J180" s="311">
        <f>Bal!G180</f>
        <v>0</v>
      </c>
      <c r="K180" s="311">
        <f>Bal!H180</f>
        <v>0</v>
      </c>
      <c r="L180" s="311">
        <f>Bal!I180</f>
        <v>0</v>
      </c>
      <c r="M180" s="311">
        <f>Bal!J180</f>
        <v>0</v>
      </c>
      <c r="N180" s="311">
        <f>Bal!K180</f>
        <v>0</v>
      </c>
    </row>
    <row r="181" spans="2:14" ht="12.75" customHeight="1" x14ac:dyDescent="0.25">
      <c r="B181" s="134"/>
      <c r="D181" s="134" t="e">
        <f t="shared" si="2"/>
        <v>#N/A</v>
      </c>
      <c r="E181" s="310">
        <f>Bal!B181</f>
        <v>0</v>
      </c>
      <c r="F181" s="311">
        <f>Bal!C181</f>
        <v>0</v>
      </c>
      <c r="G181" s="311">
        <f>Bal!D181</f>
        <v>0</v>
      </c>
      <c r="H181" s="311">
        <f>Bal!E181</f>
        <v>0</v>
      </c>
      <c r="I181" s="311">
        <f>Bal!F181</f>
        <v>0</v>
      </c>
      <c r="J181" s="311">
        <f>Bal!G181</f>
        <v>0</v>
      </c>
      <c r="K181" s="311">
        <f>Bal!H181</f>
        <v>0</v>
      </c>
      <c r="L181" s="311">
        <f>Bal!I181</f>
        <v>0</v>
      </c>
      <c r="M181" s="311">
        <f>Bal!J181</f>
        <v>0</v>
      </c>
      <c r="N181" s="311">
        <f>Bal!K181</f>
        <v>0</v>
      </c>
    </row>
    <row r="182" spans="2:14" ht="12.75" customHeight="1" x14ac:dyDescent="0.25">
      <c r="B182" s="134"/>
      <c r="D182" s="134" t="e">
        <f t="shared" si="2"/>
        <v>#N/A</v>
      </c>
      <c r="E182" s="310">
        <f>Bal!B182</f>
        <v>0</v>
      </c>
      <c r="F182" s="311">
        <f>Bal!C182</f>
        <v>0</v>
      </c>
      <c r="G182" s="311">
        <f>Bal!D182</f>
        <v>0</v>
      </c>
      <c r="H182" s="311">
        <f>Bal!E182</f>
        <v>0</v>
      </c>
      <c r="I182" s="311">
        <f>Bal!F182</f>
        <v>0</v>
      </c>
      <c r="J182" s="311">
        <f>Bal!G182</f>
        <v>0</v>
      </c>
      <c r="K182" s="311">
        <f>Bal!H182</f>
        <v>0</v>
      </c>
      <c r="L182" s="311">
        <f>Bal!I182</f>
        <v>0</v>
      </c>
      <c r="M182" s="311">
        <f>Bal!J182</f>
        <v>0</v>
      </c>
      <c r="N182" s="311">
        <f>Bal!K182</f>
        <v>0</v>
      </c>
    </row>
    <row r="183" spans="2:14" ht="12.75" customHeight="1" x14ac:dyDescent="0.25">
      <c r="B183" s="134"/>
      <c r="D183" s="134" t="e">
        <f t="shared" si="2"/>
        <v>#N/A</v>
      </c>
      <c r="E183" s="310">
        <f>Bal!B183</f>
        <v>0</v>
      </c>
      <c r="F183" s="311">
        <f>Bal!C183</f>
        <v>0</v>
      </c>
      <c r="G183" s="311">
        <f>Bal!D183</f>
        <v>0</v>
      </c>
      <c r="H183" s="311">
        <f>Bal!E183</f>
        <v>0</v>
      </c>
      <c r="I183" s="311">
        <f>Bal!F183</f>
        <v>0</v>
      </c>
      <c r="J183" s="311">
        <f>Bal!G183</f>
        <v>0</v>
      </c>
      <c r="K183" s="311">
        <f>Bal!H183</f>
        <v>0</v>
      </c>
      <c r="L183" s="311">
        <f>Bal!I183</f>
        <v>0</v>
      </c>
      <c r="M183" s="311">
        <f>Bal!J183</f>
        <v>0</v>
      </c>
      <c r="N183" s="311">
        <f>Bal!K183</f>
        <v>0</v>
      </c>
    </row>
    <row r="184" spans="2:14" ht="12.75" customHeight="1" x14ac:dyDescent="0.25">
      <c r="B184" s="134"/>
      <c r="D184" s="134" t="e">
        <f t="shared" si="2"/>
        <v>#N/A</v>
      </c>
      <c r="E184" s="310">
        <f>Bal!B184</f>
        <v>0</v>
      </c>
      <c r="F184" s="311">
        <f>Bal!C184</f>
        <v>0</v>
      </c>
      <c r="G184" s="311">
        <f>Bal!D184</f>
        <v>0</v>
      </c>
      <c r="H184" s="311">
        <f>Bal!E184</f>
        <v>0</v>
      </c>
      <c r="I184" s="311">
        <f>Bal!F184</f>
        <v>0</v>
      </c>
      <c r="J184" s="311">
        <f>Bal!G184</f>
        <v>0</v>
      </c>
      <c r="K184" s="311">
        <f>Bal!H184</f>
        <v>0</v>
      </c>
      <c r="L184" s="311">
        <f>Bal!I184</f>
        <v>0</v>
      </c>
      <c r="M184" s="311">
        <f>Bal!J184</f>
        <v>0</v>
      </c>
      <c r="N184" s="311">
        <f>Bal!K184</f>
        <v>0</v>
      </c>
    </row>
    <row r="185" spans="2:14" ht="12.75" customHeight="1" x14ac:dyDescent="0.25">
      <c r="B185" s="134"/>
      <c r="D185" s="134" t="e">
        <f t="shared" si="2"/>
        <v>#N/A</v>
      </c>
      <c r="E185" s="310">
        <f>Bal!B185</f>
        <v>0</v>
      </c>
      <c r="F185" s="311">
        <f>Bal!C185</f>
        <v>0</v>
      </c>
      <c r="G185" s="311">
        <f>Bal!D185</f>
        <v>0</v>
      </c>
      <c r="H185" s="311">
        <f>Bal!E185</f>
        <v>0</v>
      </c>
      <c r="I185" s="311">
        <f>Bal!F185</f>
        <v>0</v>
      </c>
      <c r="J185" s="311">
        <f>Bal!G185</f>
        <v>0</v>
      </c>
      <c r="K185" s="311">
        <f>Bal!H185</f>
        <v>0</v>
      </c>
      <c r="L185" s="311">
        <f>Bal!I185</f>
        <v>0</v>
      </c>
      <c r="M185" s="311">
        <f>Bal!J185</f>
        <v>0</v>
      </c>
      <c r="N185" s="311">
        <f>Bal!K185</f>
        <v>0</v>
      </c>
    </row>
    <row r="186" spans="2:14" ht="12.75" customHeight="1" x14ac:dyDescent="0.25">
      <c r="B186" s="134"/>
      <c r="D186" s="134" t="e">
        <f t="shared" si="2"/>
        <v>#N/A</v>
      </c>
      <c r="E186" s="310">
        <f>Bal!B186</f>
        <v>0</v>
      </c>
      <c r="F186" s="311">
        <f>Bal!C186</f>
        <v>0</v>
      </c>
      <c r="G186" s="311">
        <f>Bal!D186</f>
        <v>0</v>
      </c>
      <c r="H186" s="311">
        <f>Bal!E186</f>
        <v>0</v>
      </c>
      <c r="I186" s="311">
        <f>Bal!F186</f>
        <v>0</v>
      </c>
      <c r="J186" s="311">
        <f>Bal!G186</f>
        <v>0</v>
      </c>
      <c r="K186" s="311">
        <f>Bal!H186</f>
        <v>0</v>
      </c>
      <c r="L186" s="311">
        <f>Bal!I186</f>
        <v>0</v>
      </c>
      <c r="M186" s="311">
        <f>Bal!J186</f>
        <v>0</v>
      </c>
      <c r="N186" s="311">
        <f>Bal!K186</f>
        <v>0</v>
      </c>
    </row>
    <row r="187" spans="2:14" ht="12.75" customHeight="1" x14ac:dyDescent="0.25">
      <c r="B187" s="134"/>
      <c r="D187" s="134" t="e">
        <f t="shared" si="2"/>
        <v>#N/A</v>
      </c>
      <c r="E187" s="310">
        <f>Bal!B187</f>
        <v>0</v>
      </c>
      <c r="F187" s="311">
        <f>Bal!C187</f>
        <v>0</v>
      </c>
      <c r="G187" s="311">
        <f>Bal!D187</f>
        <v>0</v>
      </c>
      <c r="H187" s="311">
        <f>Bal!E187</f>
        <v>0</v>
      </c>
      <c r="I187" s="311">
        <f>Bal!F187</f>
        <v>0</v>
      </c>
      <c r="J187" s="311">
        <f>Bal!G187</f>
        <v>0</v>
      </c>
      <c r="K187" s="311">
        <f>Bal!H187</f>
        <v>0</v>
      </c>
      <c r="L187" s="311">
        <f>Bal!I187</f>
        <v>0</v>
      </c>
      <c r="M187" s="311">
        <f>Bal!J187</f>
        <v>0</v>
      </c>
      <c r="N187" s="311">
        <f>Bal!K187</f>
        <v>0</v>
      </c>
    </row>
    <row r="188" spans="2:14" ht="12.75" customHeight="1" x14ac:dyDescent="0.25">
      <c r="B188" s="134"/>
      <c r="D188" s="134" t="e">
        <f t="shared" si="2"/>
        <v>#N/A</v>
      </c>
      <c r="E188" s="310">
        <f>Bal!B188</f>
        <v>0</v>
      </c>
      <c r="F188" s="311">
        <f>Bal!C188</f>
        <v>0</v>
      </c>
      <c r="G188" s="311">
        <f>Bal!D188</f>
        <v>0</v>
      </c>
      <c r="H188" s="311">
        <f>Bal!E188</f>
        <v>0</v>
      </c>
      <c r="I188" s="311">
        <f>Bal!F188</f>
        <v>0</v>
      </c>
      <c r="J188" s="311">
        <f>Bal!G188</f>
        <v>0</v>
      </c>
      <c r="K188" s="311">
        <f>Bal!H188</f>
        <v>0</v>
      </c>
      <c r="L188" s="311">
        <f>Bal!I188</f>
        <v>0</v>
      </c>
      <c r="M188" s="311">
        <f>Bal!J188</f>
        <v>0</v>
      </c>
      <c r="N188" s="311">
        <f>Bal!K188</f>
        <v>0</v>
      </c>
    </row>
    <row r="189" spans="2:14" ht="12.75" customHeight="1" x14ac:dyDescent="0.25">
      <c r="B189" s="80"/>
      <c r="D189" s="134" t="e">
        <f t="shared" si="2"/>
        <v>#N/A</v>
      </c>
      <c r="E189" s="310">
        <f>Bal!B189</f>
        <v>0</v>
      </c>
      <c r="F189" s="311">
        <f>Bal!C189</f>
        <v>0</v>
      </c>
      <c r="G189" s="311">
        <f>Bal!D189</f>
        <v>0</v>
      </c>
      <c r="H189" s="311">
        <f>Bal!E189</f>
        <v>0</v>
      </c>
      <c r="I189" s="311">
        <f>Bal!F189</f>
        <v>0</v>
      </c>
      <c r="J189" s="311">
        <f>Bal!G189</f>
        <v>0</v>
      </c>
      <c r="K189" s="311">
        <f>Bal!H189</f>
        <v>0</v>
      </c>
      <c r="L189" s="311">
        <f>Bal!I189</f>
        <v>0</v>
      </c>
      <c r="M189" s="311">
        <f>Bal!J189</f>
        <v>0</v>
      </c>
      <c r="N189" s="311">
        <f>Bal!K189</f>
        <v>0</v>
      </c>
    </row>
    <row r="190" spans="2:14" ht="12.75" customHeight="1" x14ac:dyDescent="0.25">
      <c r="B190" s="134"/>
      <c r="D190" s="134" t="e">
        <f t="shared" si="2"/>
        <v>#N/A</v>
      </c>
      <c r="E190" s="310">
        <f>Bal!B190</f>
        <v>0</v>
      </c>
      <c r="F190" s="311">
        <f>Bal!C190</f>
        <v>0</v>
      </c>
      <c r="G190" s="311">
        <f>Bal!D190</f>
        <v>0</v>
      </c>
      <c r="H190" s="311">
        <f>Bal!E190</f>
        <v>0</v>
      </c>
      <c r="I190" s="311">
        <f>Bal!F190</f>
        <v>0</v>
      </c>
      <c r="J190" s="311">
        <f>Bal!G190</f>
        <v>0</v>
      </c>
      <c r="K190" s="311">
        <f>Bal!H190</f>
        <v>0</v>
      </c>
      <c r="L190" s="311">
        <f>Bal!I190</f>
        <v>0</v>
      </c>
      <c r="M190" s="311">
        <f>Bal!J190</f>
        <v>0</v>
      </c>
      <c r="N190" s="311">
        <f>Bal!K190</f>
        <v>0</v>
      </c>
    </row>
    <row r="191" spans="2:14" ht="12.75" customHeight="1" x14ac:dyDescent="0.25">
      <c r="B191" s="134"/>
      <c r="D191" s="134" t="e">
        <f t="shared" si="2"/>
        <v>#N/A</v>
      </c>
      <c r="E191" s="310">
        <f>Bal!B191</f>
        <v>0</v>
      </c>
      <c r="F191" s="311">
        <f>Bal!C191</f>
        <v>0</v>
      </c>
      <c r="G191" s="311">
        <f>Bal!D191</f>
        <v>0</v>
      </c>
      <c r="H191" s="311">
        <f>Bal!E191</f>
        <v>0</v>
      </c>
      <c r="I191" s="311">
        <f>Bal!F191</f>
        <v>0</v>
      </c>
      <c r="J191" s="311">
        <f>Bal!G191</f>
        <v>0</v>
      </c>
      <c r="K191" s="311">
        <f>Bal!H191</f>
        <v>0</v>
      </c>
      <c r="L191" s="311">
        <f>Bal!I191</f>
        <v>0</v>
      </c>
      <c r="M191" s="311">
        <f>Bal!J191</f>
        <v>0</v>
      </c>
      <c r="N191" s="311">
        <f>Bal!K191</f>
        <v>0</v>
      </c>
    </row>
    <row r="192" spans="2:14" ht="12.75" customHeight="1" x14ac:dyDescent="0.25">
      <c r="B192" s="134"/>
      <c r="D192" s="134" t="e">
        <f t="shared" si="2"/>
        <v>#N/A</v>
      </c>
      <c r="E192" s="310">
        <f>Bal!B192</f>
        <v>0</v>
      </c>
      <c r="F192" s="311">
        <f>Bal!C192</f>
        <v>0</v>
      </c>
      <c r="G192" s="311">
        <f>Bal!D192</f>
        <v>0</v>
      </c>
      <c r="H192" s="311">
        <f>Bal!E192</f>
        <v>0</v>
      </c>
      <c r="I192" s="311">
        <f>Bal!F192</f>
        <v>0</v>
      </c>
      <c r="J192" s="311">
        <f>Bal!G192</f>
        <v>0</v>
      </c>
      <c r="K192" s="311">
        <f>Bal!H192</f>
        <v>0</v>
      </c>
      <c r="L192" s="311">
        <f>Bal!I192</f>
        <v>0</v>
      </c>
      <c r="M192" s="311">
        <f>Bal!J192</f>
        <v>0</v>
      </c>
      <c r="N192" s="311">
        <f>Bal!K192</f>
        <v>0</v>
      </c>
    </row>
    <row r="193" spans="2:14" ht="12.75" customHeight="1" x14ac:dyDescent="0.25">
      <c r="B193" s="134"/>
      <c r="D193" s="134" t="e">
        <f t="shared" si="2"/>
        <v>#N/A</v>
      </c>
      <c r="E193" s="310">
        <f>Bal!B193</f>
        <v>0</v>
      </c>
      <c r="F193" s="311">
        <f>Bal!C193</f>
        <v>0</v>
      </c>
      <c r="G193" s="311">
        <f>Bal!D193</f>
        <v>0</v>
      </c>
      <c r="H193" s="311">
        <f>Bal!E193</f>
        <v>0</v>
      </c>
      <c r="I193" s="311">
        <f>Bal!F193</f>
        <v>0</v>
      </c>
      <c r="J193" s="311">
        <f>Bal!G193</f>
        <v>0</v>
      </c>
      <c r="K193" s="311">
        <f>Bal!H193</f>
        <v>0</v>
      </c>
      <c r="L193" s="311">
        <f>Bal!I193</f>
        <v>0</v>
      </c>
      <c r="M193" s="311">
        <f>Bal!J193</f>
        <v>0</v>
      </c>
      <c r="N193" s="311">
        <f>Bal!K193</f>
        <v>0</v>
      </c>
    </row>
    <row r="194" spans="2:14" ht="12.75" customHeight="1" x14ac:dyDescent="0.25">
      <c r="B194" s="134"/>
      <c r="D194" s="134" t="e">
        <f t="shared" si="2"/>
        <v>#N/A</v>
      </c>
      <c r="E194" s="310">
        <f>Bal!B194</f>
        <v>0</v>
      </c>
      <c r="F194" s="311">
        <f>Bal!C194</f>
        <v>0</v>
      </c>
      <c r="G194" s="311">
        <f>Bal!D194</f>
        <v>0</v>
      </c>
      <c r="H194" s="311">
        <f>Bal!E194</f>
        <v>0</v>
      </c>
      <c r="I194" s="311">
        <f>Bal!F194</f>
        <v>0</v>
      </c>
      <c r="J194" s="311">
        <f>Bal!G194</f>
        <v>0</v>
      </c>
      <c r="K194" s="311">
        <f>Bal!H194</f>
        <v>0</v>
      </c>
      <c r="L194" s="311">
        <f>Bal!I194</f>
        <v>0</v>
      </c>
      <c r="M194" s="311">
        <f>Bal!J194</f>
        <v>0</v>
      </c>
      <c r="N194" s="311">
        <f>Bal!K194</f>
        <v>0</v>
      </c>
    </row>
    <row r="195" spans="2:14" ht="12.75" customHeight="1" x14ac:dyDescent="0.25">
      <c r="B195" s="134"/>
      <c r="D195" s="134" t="e">
        <f t="shared" si="2"/>
        <v>#N/A</v>
      </c>
      <c r="E195" s="310">
        <f>Bal!B195</f>
        <v>0</v>
      </c>
      <c r="F195" s="311">
        <f>Bal!C195</f>
        <v>0</v>
      </c>
      <c r="G195" s="311">
        <f>Bal!D195</f>
        <v>0</v>
      </c>
      <c r="H195" s="311">
        <f>Bal!E195</f>
        <v>0</v>
      </c>
      <c r="I195" s="311">
        <f>Bal!F195</f>
        <v>0</v>
      </c>
      <c r="J195" s="311">
        <f>Bal!G195</f>
        <v>0</v>
      </c>
      <c r="K195" s="311">
        <f>Bal!H195</f>
        <v>0</v>
      </c>
      <c r="L195" s="311">
        <f>Bal!I195</f>
        <v>0</v>
      </c>
      <c r="M195" s="311">
        <f>Bal!J195</f>
        <v>0</v>
      </c>
      <c r="N195" s="311">
        <f>Bal!K195</f>
        <v>0</v>
      </c>
    </row>
    <row r="196" spans="2:14" ht="12.75" customHeight="1" x14ac:dyDescent="0.25">
      <c r="B196" s="172"/>
      <c r="D196" s="134" t="e">
        <f t="shared" si="2"/>
        <v>#N/A</v>
      </c>
      <c r="E196" s="310">
        <f>Bal!B196</f>
        <v>0</v>
      </c>
      <c r="F196" s="311">
        <f>Bal!C196</f>
        <v>0</v>
      </c>
      <c r="G196" s="311">
        <f>Bal!D196</f>
        <v>0</v>
      </c>
      <c r="H196" s="311">
        <f>Bal!E196</f>
        <v>0</v>
      </c>
      <c r="I196" s="311">
        <f>Bal!F196</f>
        <v>0</v>
      </c>
      <c r="J196" s="311">
        <f>Bal!G196</f>
        <v>0</v>
      </c>
      <c r="K196" s="311">
        <f>Bal!H196</f>
        <v>0</v>
      </c>
      <c r="L196" s="311">
        <f>Bal!I196</f>
        <v>0</v>
      </c>
      <c r="M196" s="311">
        <f>Bal!J196</f>
        <v>0</v>
      </c>
      <c r="N196" s="311">
        <f>Bal!K196</f>
        <v>0</v>
      </c>
    </row>
    <row r="197" spans="2:14" ht="12.75" customHeight="1" x14ac:dyDescent="0.25">
      <c r="B197" s="75"/>
      <c r="D197" s="134" t="e">
        <f t="shared" si="2"/>
        <v>#N/A</v>
      </c>
      <c r="E197" s="310">
        <f>Bal!B197</f>
        <v>0</v>
      </c>
      <c r="F197" s="311">
        <f>Bal!C197</f>
        <v>0</v>
      </c>
      <c r="G197" s="311">
        <f>Bal!D197</f>
        <v>0</v>
      </c>
      <c r="H197" s="311">
        <f>Bal!E197</f>
        <v>0</v>
      </c>
      <c r="I197" s="311">
        <f>Bal!F197</f>
        <v>0</v>
      </c>
      <c r="J197" s="311">
        <f>Bal!G197</f>
        <v>0</v>
      </c>
      <c r="K197" s="311">
        <f>Bal!H197</f>
        <v>0</v>
      </c>
      <c r="L197" s="311">
        <f>Bal!I197</f>
        <v>0</v>
      </c>
      <c r="M197" s="311">
        <f>Bal!J197</f>
        <v>0</v>
      </c>
      <c r="N197" s="311">
        <f>Bal!K197</f>
        <v>0</v>
      </c>
    </row>
    <row r="198" spans="2:14" ht="12.75" customHeight="1" x14ac:dyDescent="0.25">
      <c r="B198" s="134"/>
      <c r="D198" s="134" t="e">
        <f t="shared" si="2"/>
        <v>#N/A</v>
      </c>
      <c r="E198" s="310">
        <f>Bal!B198</f>
        <v>0</v>
      </c>
      <c r="F198" s="311">
        <f>Bal!C198</f>
        <v>0</v>
      </c>
      <c r="G198" s="311">
        <f>Bal!D198</f>
        <v>0</v>
      </c>
      <c r="H198" s="311">
        <f>Bal!E198</f>
        <v>0</v>
      </c>
      <c r="I198" s="311">
        <f>Bal!F198</f>
        <v>0</v>
      </c>
      <c r="J198" s="311">
        <f>Bal!G198</f>
        <v>0</v>
      </c>
      <c r="K198" s="311">
        <f>Bal!H198</f>
        <v>0</v>
      </c>
      <c r="L198" s="311">
        <f>Bal!I198</f>
        <v>0</v>
      </c>
      <c r="M198" s="311">
        <f>Bal!J198</f>
        <v>0</v>
      </c>
      <c r="N198" s="311">
        <f>Bal!K198</f>
        <v>0</v>
      </c>
    </row>
    <row r="199" spans="2:14" ht="12.75" customHeight="1" x14ac:dyDescent="0.25">
      <c r="B199" s="134"/>
      <c r="D199" s="134" t="e">
        <f t="shared" si="2"/>
        <v>#N/A</v>
      </c>
      <c r="E199" s="310">
        <f>Bal!B199</f>
        <v>0</v>
      </c>
      <c r="F199" s="311">
        <f>Bal!C199</f>
        <v>0</v>
      </c>
      <c r="G199" s="311">
        <f>Bal!D199</f>
        <v>0</v>
      </c>
      <c r="H199" s="311">
        <f>Bal!E199</f>
        <v>0</v>
      </c>
      <c r="I199" s="311">
        <f>Bal!F199</f>
        <v>0</v>
      </c>
      <c r="J199" s="311">
        <f>Bal!G199</f>
        <v>0</v>
      </c>
      <c r="K199" s="311">
        <f>Bal!H199</f>
        <v>0</v>
      </c>
      <c r="L199" s="311">
        <f>Bal!I199</f>
        <v>0</v>
      </c>
      <c r="M199" s="311">
        <f>Bal!J199</f>
        <v>0</v>
      </c>
      <c r="N199" s="311">
        <f>Bal!K199</f>
        <v>0</v>
      </c>
    </row>
    <row r="200" spans="2:14" ht="12.75" customHeight="1" x14ac:dyDescent="0.25">
      <c r="B200" s="134"/>
      <c r="D200" s="134" t="e">
        <f t="shared" si="2"/>
        <v>#N/A</v>
      </c>
      <c r="E200" s="310">
        <f>Bal!B200</f>
        <v>0</v>
      </c>
      <c r="F200" s="311">
        <f>Bal!C200</f>
        <v>0</v>
      </c>
      <c r="G200" s="311">
        <f>Bal!D200</f>
        <v>0</v>
      </c>
      <c r="H200" s="311">
        <f>Bal!E200</f>
        <v>0</v>
      </c>
      <c r="I200" s="311">
        <f>Bal!F200</f>
        <v>0</v>
      </c>
      <c r="J200" s="311">
        <f>Bal!G200</f>
        <v>0</v>
      </c>
      <c r="K200" s="311">
        <f>Bal!H200</f>
        <v>0</v>
      </c>
      <c r="L200" s="311">
        <f>Bal!I200</f>
        <v>0</v>
      </c>
      <c r="M200" s="311">
        <f>Bal!J200</f>
        <v>0</v>
      </c>
      <c r="N200" s="311">
        <f>Bal!K200</f>
        <v>0</v>
      </c>
    </row>
    <row r="201" spans="2:14" ht="12.75" customHeight="1" x14ac:dyDescent="0.25">
      <c r="B201" s="134"/>
      <c r="D201" s="134" t="e">
        <f t="shared" si="2"/>
        <v>#N/A</v>
      </c>
      <c r="E201" s="310">
        <f>Bal!B201</f>
        <v>0</v>
      </c>
      <c r="F201" s="311">
        <f>Bal!C201</f>
        <v>0</v>
      </c>
      <c r="G201" s="311">
        <f>Bal!D201</f>
        <v>0</v>
      </c>
      <c r="H201" s="311">
        <f>Bal!E201</f>
        <v>0</v>
      </c>
      <c r="I201" s="311">
        <f>Bal!F201</f>
        <v>0</v>
      </c>
      <c r="J201" s="311">
        <f>Bal!G201</f>
        <v>0</v>
      </c>
      <c r="K201" s="311">
        <f>Bal!H201</f>
        <v>0</v>
      </c>
      <c r="L201" s="311">
        <f>Bal!I201</f>
        <v>0</v>
      </c>
      <c r="M201" s="311">
        <f>Bal!J201</f>
        <v>0</v>
      </c>
      <c r="N201" s="311">
        <f>Bal!K201</f>
        <v>0</v>
      </c>
    </row>
    <row r="202" spans="2:14" ht="12.75" customHeight="1" x14ac:dyDescent="0.25">
      <c r="B202" s="134"/>
      <c r="D202" s="134" t="e">
        <f t="shared" si="2"/>
        <v>#N/A</v>
      </c>
      <c r="E202" s="310">
        <f>Bal!B202</f>
        <v>0</v>
      </c>
      <c r="F202" s="311">
        <f>Bal!C202</f>
        <v>0</v>
      </c>
      <c r="G202" s="311">
        <f>Bal!D202</f>
        <v>0</v>
      </c>
      <c r="H202" s="311">
        <f>Bal!E202</f>
        <v>0</v>
      </c>
      <c r="I202" s="311">
        <f>Bal!F202</f>
        <v>0</v>
      </c>
      <c r="J202" s="311">
        <f>Bal!G202</f>
        <v>0</v>
      </c>
      <c r="K202" s="311">
        <f>Bal!H202</f>
        <v>0</v>
      </c>
      <c r="L202" s="311">
        <f>Bal!I202</f>
        <v>0</v>
      </c>
      <c r="M202" s="311">
        <f>Bal!J202</f>
        <v>0</v>
      </c>
      <c r="N202" s="311">
        <f>Bal!K202</f>
        <v>0</v>
      </c>
    </row>
    <row r="203" spans="2:14" ht="12.75" customHeight="1" x14ac:dyDescent="0.25">
      <c r="B203" s="134"/>
      <c r="D203" s="134" t="e">
        <f t="shared" ref="D203:D263" si="3">HLOOKUP(E203,$S$3:$EN$4,2,0)</f>
        <v>#N/A</v>
      </c>
      <c r="E203" s="310">
        <f>Bal!B203</f>
        <v>0</v>
      </c>
      <c r="F203" s="311">
        <f>Bal!C203</f>
        <v>0</v>
      </c>
      <c r="G203" s="311">
        <f>Bal!D203</f>
        <v>0</v>
      </c>
      <c r="H203" s="311">
        <f>Bal!E203</f>
        <v>0</v>
      </c>
      <c r="I203" s="311">
        <f>Bal!F203</f>
        <v>0</v>
      </c>
      <c r="J203" s="311">
        <f>Bal!G203</f>
        <v>0</v>
      </c>
      <c r="K203" s="311">
        <f>Bal!H203</f>
        <v>0</v>
      </c>
      <c r="L203" s="311">
        <f>Bal!I203</f>
        <v>0</v>
      </c>
      <c r="M203" s="311">
        <f>Bal!J203</f>
        <v>0</v>
      </c>
      <c r="N203" s="311">
        <f>Bal!K203</f>
        <v>0</v>
      </c>
    </row>
    <row r="204" spans="2:14" ht="12.75" customHeight="1" x14ac:dyDescent="0.25">
      <c r="B204" s="134"/>
      <c r="D204" s="134" t="e">
        <f t="shared" si="3"/>
        <v>#N/A</v>
      </c>
      <c r="E204" s="310">
        <f>Bal!B204</f>
        <v>0</v>
      </c>
      <c r="F204" s="311">
        <f>Bal!C204</f>
        <v>0</v>
      </c>
      <c r="G204" s="311">
        <f>Bal!D204</f>
        <v>0</v>
      </c>
      <c r="H204" s="311">
        <f>Bal!E204</f>
        <v>0</v>
      </c>
      <c r="I204" s="311">
        <f>Bal!F204</f>
        <v>0</v>
      </c>
      <c r="J204" s="311">
        <f>Bal!G204</f>
        <v>0</v>
      </c>
      <c r="K204" s="311">
        <f>Bal!H204</f>
        <v>0</v>
      </c>
      <c r="L204" s="311">
        <f>Bal!I204</f>
        <v>0</v>
      </c>
      <c r="M204" s="311">
        <f>Bal!J204</f>
        <v>0</v>
      </c>
      <c r="N204" s="311">
        <f>Bal!K204</f>
        <v>0</v>
      </c>
    </row>
    <row r="205" spans="2:14" ht="12.75" customHeight="1" x14ac:dyDescent="0.25">
      <c r="B205" s="134"/>
      <c r="D205" s="134" t="e">
        <f t="shared" si="3"/>
        <v>#N/A</v>
      </c>
      <c r="E205" s="310">
        <f>Bal!B205</f>
        <v>0</v>
      </c>
      <c r="F205" s="311">
        <f>Bal!C205</f>
        <v>0</v>
      </c>
      <c r="G205" s="311">
        <f>Bal!D205</f>
        <v>0</v>
      </c>
      <c r="H205" s="311">
        <f>Bal!E205</f>
        <v>0</v>
      </c>
      <c r="I205" s="311">
        <f>Bal!F205</f>
        <v>0</v>
      </c>
      <c r="J205" s="311">
        <f>Bal!G205</f>
        <v>0</v>
      </c>
      <c r="K205" s="311">
        <f>Bal!H205</f>
        <v>0</v>
      </c>
      <c r="L205" s="311">
        <f>Bal!I205</f>
        <v>0</v>
      </c>
      <c r="M205" s="311">
        <f>Bal!J205</f>
        <v>0</v>
      </c>
      <c r="N205" s="311">
        <f>Bal!K205</f>
        <v>0</v>
      </c>
    </row>
    <row r="206" spans="2:14" ht="12.75" customHeight="1" x14ac:dyDescent="0.25">
      <c r="B206" s="134"/>
      <c r="D206" s="134" t="e">
        <f t="shared" si="3"/>
        <v>#N/A</v>
      </c>
      <c r="E206" s="310">
        <f>Bal!B206</f>
        <v>0</v>
      </c>
      <c r="F206" s="311">
        <f>Bal!C206</f>
        <v>0</v>
      </c>
      <c r="G206" s="311">
        <f>Bal!D206</f>
        <v>0</v>
      </c>
      <c r="H206" s="311">
        <f>Bal!E206</f>
        <v>0</v>
      </c>
      <c r="I206" s="311">
        <f>Bal!F206</f>
        <v>0</v>
      </c>
      <c r="J206" s="311">
        <f>Bal!G206</f>
        <v>0</v>
      </c>
      <c r="K206" s="311">
        <f>Bal!H206</f>
        <v>0</v>
      </c>
      <c r="L206" s="311">
        <f>Bal!I206</f>
        <v>0</v>
      </c>
      <c r="M206" s="311">
        <f>Bal!J206</f>
        <v>0</v>
      </c>
      <c r="N206" s="311">
        <f>Bal!K206</f>
        <v>0</v>
      </c>
    </row>
    <row r="207" spans="2:14" ht="12.75" customHeight="1" x14ac:dyDescent="0.25">
      <c r="B207" s="134"/>
      <c r="D207" s="134" t="e">
        <f t="shared" si="3"/>
        <v>#N/A</v>
      </c>
      <c r="E207" s="310">
        <f>Bal!B207</f>
        <v>0</v>
      </c>
      <c r="F207" s="311">
        <f>Bal!C207</f>
        <v>0</v>
      </c>
      <c r="G207" s="311">
        <f>Bal!D207</f>
        <v>0</v>
      </c>
      <c r="H207" s="311">
        <f>Bal!E207</f>
        <v>0</v>
      </c>
      <c r="I207" s="311">
        <f>Bal!F207</f>
        <v>0</v>
      </c>
      <c r="J207" s="311">
        <f>Bal!G207</f>
        <v>0</v>
      </c>
      <c r="K207" s="311">
        <f>Bal!H207</f>
        <v>0</v>
      </c>
      <c r="L207" s="311">
        <f>Bal!I207</f>
        <v>0</v>
      </c>
      <c r="M207" s="311">
        <f>Bal!J207</f>
        <v>0</v>
      </c>
      <c r="N207" s="311">
        <f>Bal!K207</f>
        <v>0</v>
      </c>
    </row>
    <row r="208" spans="2:14" ht="12.75" customHeight="1" x14ac:dyDescent="0.25">
      <c r="B208" s="134" t="s">
        <v>2708</v>
      </c>
      <c r="D208" s="134" t="e">
        <f t="shared" si="3"/>
        <v>#N/A</v>
      </c>
      <c r="E208" s="310">
        <f>Bal!B208</f>
        <v>0</v>
      </c>
      <c r="F208" s="311">
        <f>Bal!C208</f>
        <v>0</v>
      </c>
      <c r="G208" s="311">
        <f>Bal!D208</f>
        <v>0</v>
      </c>
      <c r="H208" s="311">
        <f>Bal!E208</f>
        <v>0</v>
      </c>
      <c r="I208" s="311">
        <f>Bal!F208</f>
        <v>0</v>
      </c>
      <c r="J208" s="311">
        <f>Bal!G208</f>
        <v>0</v>
      </c>
      <c r="K208" s="311">
        <f>Bal!H208</f>
        <v>0</v>
      </c>
      <c r="L208" s="311">
        <f>Bal!I208</f>
        <v>0</v>
      </c>
      <c r="M208" s="311">
        <f>Bal!J208</f>
        <v>0</v>
      </c>
      <c r="N208" s="311">
        <f>Bal!K208</f>
        <v>0</v>
      </c>
    </row>
    <row r="209" spans="2:14" ht="12.75" customHeight="1" x14ac:dyDescent="0.25">
      <c r="B209" s="134"/>
      <c r="D209" s="134" t="e">
        <f t="shared" si="3"/>
        <v>#N/A</v>
      </c>
      <c r="E209" s="310">
        <f>Bal!B209</f>
        <v>0</v>
      </c>
      <c r="F209" s="311">
        <f>Bal!C209</f>
        <v>0</v>
      </c>
      <c r="G209" s="311">
        <f>Bal!D209</f>
        <v>0</v>
      </c>
      <c r="H209" s="311">
        <f>Bal!E209</f>
        <v>0</v>
      </c>
      <c r="I209" s="311">
        <f>Bal!F209</f>
        <v>0</v>
      </c>
      <c r="J209" s="311">
        <f>Bal!G209</f>
        <v>0</v>
      </c>
      <c r="K209" s="311">
        <f>Bal!H209</f>
        <v>0</v>
      </c>
      <c r="L209" s="311">
        <f>Bal!I209</f>
        <v>0</v>
      </c>
      <c r="M209" s="311">
        <f>Bal!J209</f>
        <v>0</v>
      </c>
      <c r="N209" s="311">
        <f>Bal!K209</f>
        <v>0</v>
      </c>
    </row>
    <row r="210" spans="2:14" ht="12.75" customHeight="1" x14ac:dyDescent="0.25">
      <c r="B210" s="134"/>
      <c r="D210" s="134" t="e">
        <f t="shared" si="3"/>
        <v>#N/A</v>
      </c>
      <c r="E210" s="310">
        <f>Bal!B210</f>
        <v>0</v>
      </c>
      <c r="F210" s="311">
        <f>Bal!C210</f>
        <v>0</v>
      </c>
      <c r="G210" s="311">
        <f>Bal!D210</f>
        <v>0</v>
      </c>
      <c r="H210" s="311">
        <f>Bal!E210</f>
        <v>0</v>
      </c>
      <c r="I210" s="311">
        <f>Bal!F210</f>
        <v>0</v>
      </c>
      <c r="J210" s="311">
        <f>Bal!G210</f>
        <v>0</v>
      </c>
      <c r="K210" s="311">
        <f>Bal!H210</f>
        <v>0</v>
      </c>
      <c r="L210" s="311">
        <f>Bal!I210</f>
        <v>0</v>
      </c>
      <c r="M210" s="311">
        <f>Bal!J210</f>
        <v>0</v>
      </c>
      <c r="N210" s="311">
        <f>Bal!K210</f>
        <v>0</v>
      </c>
    </row>
    <row r="211" spans="2:14" ht="12.75" customHeight="1" x14ac:dyDescent="0.25">
      <c r="B211" s="134"/>
      <c r="D211" s="134" t="e">
        <f t="shared" si="3"/>
        <v>#N/A</v>
      </c>
      <c r="E211" s="310">
        <f>Bal!B211</f>
        <v>0</v>
      </c>
      <c r="F211" s="311">
        <f>Bal!C211</f>
        <v>0</v>
      </c>
      <c r="G211" s="311">
        <f>Bal!D211</f>
        <v>0</v>
      </c>
      <c r="H211" s="311">
        <f>Bal!E211</f>
        <v>0</v>
      </c>
      <c r="I211" s="311">
        <f>Bal!F211</f>
        <v>0</v>
      </c>
      <c r="J211" s="311">
        <f>Bal!G211</f>
        <v>0</v>
      </c>
      <c r="K211" s="311">
        <f>Bal!H211</f>
        <v>0</v>
      </c>
      <c r="L211" s="311">
        <f>Bal!I211</f>
        <v>0</v>
      </c>
      <c r="M211" s="311">
        <f>Bal!J211</f>
        <v>0</v>
      </c>
      <c r="N211" s="311">
        <f>Bal!K211</f>
        <v>0</v>
      </c>
    </row>
    <row r="212" spans="2:14" ht="12.75" customHeight="1" x14ac:dyDescent="0.25">
      <c r="B212" s="134"/>
      <c r="D212" s="134" t="e">
        <f t="shared" si="3"/>
        <v>#N/A</v>
      </c>
      <c r="E212" s="310">
        <f>Bal!B212</f>
        <v>0</v>
      </c>
      <c r="F212" s="311">
        <f>Bal!C212</f>
        <v>0</v>
      </c>
      <c r="G212" s="311">
        <f>Bal!D212</f>
        <v>0</v>
      </c>
      <c r="H212" s="311">
        <f>Bal!E212</f>
        <v>0</v>
      </c>
      <c r="I212" s="311">
        <f>Bal!F212</f>
        <v>0</v>
      </c>
      <c r="J212" s="311">
        <f>Bal!G212</f>
        <v>0</v>
      </c>
      <c r="K212" s="311">
        <f>Bal!H212</f>
        <v>0</v>
      </c>
      <c r="L212" s="311">
        <f>Bal!I212</f>
        <v>0</v>
      </c>
      <c r="M212" s="311">
        <f>Bal!J212</f>
        <v>0</v>
      </c>
      <c r="N212" s="311">
        <f>Bal!K212</f>
        <v>0</v>
      </c>
    </row>
    <row r="213" spans="2:14" ht="12.75" customHeight="1" x14ac:dyDescent="0.25">
      <c r="B213" s="134"/>
      <c r="D213" s="134" t="e">
        <f t="shared" si="3"/>
        <v>#N/A</v>
      </c>
      <c r="E213" s="310">
        <f>Bal!B213</f>
        <v>0</v>
      </c>
      <c r="F213" s="311">
        <f>Bal!C213</f>
        <v>0</v>
      </c>
      <c r="G213" s="311">
        <f>Bal!D213</f>
        <v>0</v>
      </c>
      <c r="H213" s="311">
        <f>Bal!E213</f>
        <v>0</v>
      </c>
      <c r="I213" s="311">
        <f>Bal!F213</f>
        <v>0</v>
      </c>
      <c r="J213" s="311">
        <f>Bal!G213</f>
        <v>0</v>
      </c>
      <c r="K213" s="311">
        <f>Bal!H213</f>
        <v>0</v>
      </c>
      <c r="L213" s="311">
        <f>Bal!I213</f>
        <v>0</v>
      </c>
      <c r="M213" s="311">
        <f>Bal!J213</f>
        <v>0</v>
      </c>
      <c r="N213" s="311">
        <f>Bal!K213</f>
        <v>0</v>
      </c>
    </row>
    <row r="214" spans="2:14" ht="12.75" customHeight="1" x14ac:dyDescent="0.25">
      <c r="B214" s="134"/>
      <c r="D214" s="134" t="e">
        <f t="shared" si="3"/>
        <v>#N/A</v>
      </c>
      <c r="E214" s="310">
        <f>Bal!B214</f>
        <v>0</v>
      </c>
      <c r="F214" s="311">
        <f>Bal!C214</f>
        <v>0</v>
      </c>
      <c r="G214" s="311">
        <f>Bal!D214</f>
        <v>0</v>
      </c>
      <c r="H214" s="311">
        <f>Bal!E214</f>
        <v>0</v>
      </c>
      <c r="I214" s="311">
        <f>Bal!F214</f>
        <v>0</v>
      </c>
      <c r="J214" s="311">
        <f>Bal!G214</f>
        <v>0</v>
      </c>
      <c r="K214" s="311">
        <f>Bal!H214</f>
        <v>0</v>
      </c>
      <c r="L214" s="311">
        <f>Bal!I214</f>
        <v>0</v>
      </c>
      <c r="M214" s="311">
        <f>Bal!J214</f>
        <v>0</v>
      </c>
      <c r="N214" s="311">
        <f>Bal!K214</f>
        <v>0</v>
      </c>
    </row>
    <row r="215" spans="2:14" ht="12.75" customHeight="1" x14ac:dyDescent="0.25">
      <c r="B215" s="134" t="s">
        <v>2709</v>
      </c>
      <c r="D215" s="134" t="e">
        <f t="shared" si="3"/>
        <v>#N/A</v>
      </c>
      <c r="E215" s="310">
        <f>Bal!B215</f>
        <v>0</v>
      </c>
      <c r="F215" s="311">
        <f>Bal!C215</f>
        <v>0</v>
      </c>
      <c r="G215" s="311">
        <f>Bal!D215</f>
        <v>0</v>
      </c>
      <c r="H215" s="311">
        <f>Bal!E215</f>
        <v>0</v>
      </c>
      <c r="I215" s="311">
        <f>Bal!F215</f>
        <v>0</v>
      </c>
      <c r="J215" s="311">
        <f>Bal!G215</f>
        <v>0</v>
      </c>
      <c r="K215" s="311">
        <f>Bal!H215</f>
        <v>0</v>
      </c>
      <c r="L215" s="311">
        <f>Bal!I215</f>
        <v>0</v>
      </c>
      <c r="M215" s="311">
        <f>Bal!J215</f>
        <v>0</v>
      </c>
      <c r="N215" s="311">
        <f>Bal!K215</f>
        <v>0</v>
      </c>
    </row>
    <row r="216" spans="2:14" ht="12.75" customHeight="1" x14ac:dyDescent="0.25">
      <c r="B216" s="134"/>
      <c r="D216" s="134" t="e">
        <f t="shared" si="3"/>
        <v>#N/A</v>
      </c>
      <c r="E216" s="310">
        <f>Bal!B216</f>
        <v>0</v>
      </c>
      <c r="F216" s="311">
        <f>Bal!C216</f>
        <v>0</v>
      </c>
      <c r="G216" s="311">
        <f>Bal!D216</f>
        <v>0</v>
      </c>
      <c r="H216" s="311">
        <f>Bal!E216</f>
        <v>0</v>
      </c>
      <c r="I216" s="311">
        <f>Bal!F216</f>
        <v>0</v>
      </c>
      <c r="J216" s="311">
        <f>Bal!G216</f>
        <v>0</v>
      </c>
      <c r="K216" s="311">
        <f>Bal!H216</f>
        <v>0</v>
      </c>
      <c r="L216" s="311">
        <f>Bal!I216</f>
        <v>0</v>
      </c>
      <c r="M216" s="311">
        <f>Bal!J216</f>
        <v>0</v>
      </c>
      <c r="N216" s="311">
        <f>Bal!K216</f>
        <v>0</v>
      </c>
    </row>
    <row r="217" spans="2:14" ht="12.75" customHeight="1" x14ac:dyDescent="0.25">
      <c r="B217" s="134"/>
      <c r="D217" s="134" t="e">
        <f t="shared" si="3"/>
        <v>#N/A</v>
      </c>
      <c r="E217" s="310">
        <f>Bal!B217</f>
        <v>0</v>
      </c>
      <c r="F217" s="311">
        <f>Bal!C217</f>
        <v>0</v>
      </c>
      <c r="G217" s="311">
        <f>Bal!D217</f>
        <v>0</v>
      </c>
      <c r="H217" s="311">
        <f>Bal!E217</f>
        <v>0</v>
      </c>
      <c r="I217" s="311">
        <f>Bal!F217</f>
        <v>0</v>
      </c>
      <c r="J217" s="311">
        <f>Bal!G217</f>
        <v>0</v>
      </c>
      <c r="K217" s="311">
        <f>Bal!H217</f>
        <v>0</v>
      </c>
      <c r="L217" s="311">
        <f>Bal!I217</f>
        <v>0</v>
      </c>
      <c r="M217" s="311">
        <f>Bal!J217</f>
        <v>0</v>
      </c>
      <c r="N217" s="311">
        <f>Bal!K217</f>
        <v>0</v>
      </c>
    </row>
    <row r="218" spans="2:14" ht="12.75" customHeight="1" x14ac:dyDescent="0.25">
      <c r="B218" s="134"/>
      <c r="D218" s="134" t="e">
        <f t="shared" si="3"/>
        <v>#N/A</v>
      </c>
      <c r="E218" s="310">
        <f>Bal!B218</f>
        <v>0</v>
      </c>
      <c r="F218" s="311">
        <f>Bal!C218</f>
        <v>0</v>
      </c>
      <c r="G218" s="311">
        <f>Bal!D218</f>
        <v>0</v>
      </c>
      <c r="H218" s="311">
        <f>Bal!E218</f>
        <v>0</v>
      </c>
      <c r="I218" s="311">
        <f>Bal!F218</f>
        <v>0</v>
      </c>
      <c r="J218" s="311">
        <f>Bal!G218</f>
        <v>0</v>
      </c>
      <c r="K218" s="311">
        <f>Bal!H218</f>
        <v>0</v>
      </c>
      <c r="L218" s="311">
        <f>Bal!I218</f>
        <v>0</v>
      </c>
      <c r="M218" s="311">
        <f>Bal!J218</f>
        <v>0</v>
      </c>
      <c r="N218" s="311">
        <f>Bal!K218</f>
        <v>0</v>
      </c>
    </row>
    <row r="219" spans="2:14" ht="12.75" customHeight="1" x14ac:dyDescent="0.25">
      <c r="B219" s="134"/>
      <c r="D219" s="134" t="e">
        <f t="shared" si="3"/>
        <v>#N/A</v>
      </c>
      <c r="E219" s="310">
        <f>Bal!B219</f>
        <v>0</v>
      </c>
      <c r="F219" s="311">
        <f>Bal!C219</f>
        <v>0</v>
      </c>
      <c r="G219" s="311">
        <f>Bal!D219</f>
        <v>0</v>
      </c>
      <c r="H219" s="311">
        <f>Bal!E219</f>
        <v>0</v>
      </c>
      <c r="I219" s="311">
        <f>Bal!F219</f>
        <v>0</v>
      </c>
      <c r="J219" s="311">
        <f>Bal!G219</f>
        <v>0</v>
      </c>
      <c r="K219" s="311">
        <f>Bal!H219</f>
        <v>0</v>
      </c>
      <c r="L219" s="311">
        <f>Bal!I219</f>
        <v>0</v>
      </c>
      <c r="M219" s="311">
        <f>Bal!J219</f>
        <v>0</v>
      </c>
      <c r="N219" s="311">
        <f>Bal!K219</f>
        <v>0</v>
      </c>
    </row>
    <row r="220" spans="2:14" ht="12.75" customHeight="1" x14ac:dyDescent="0.25">
      <c r="B220" s="134"/>
      <c r="D220" s="134" t="e">
        <f t="shared" si="3"/>
        <v>#N/A</v>
      </c>
      <c r="E220" s="310">
        <f>Bal!B220</f>
        <v>0</v>
      </c>
      <c r="F220" s="311">
        <f>Bal!C220</f>
        <v>0</v>
      </c>
      <c r="G220" s="311">
        <f>Bal!D220</f>
        <v>0</v>
      </c>
      <c r="H220" s="311">
        <f>Bal!E220</f>
        <v>0</v>
      </c>
      <c r="I220" s="311">
        <f>Bal!F220</f>
        <v>0</v>
      </c>
      <c r="J220" s="311">
        <f>Bal!G220</f>
        <v>0</v>
      </c>
      <c r="K220" s="311">
        <f>Bal!H220</f>
        <v>0</v>
      </c>
      <c r="L220" s="311">
        <f>Bal!I220</f>
        <v>0</v>
      </c>
      <c r="M220" s="311">
        <f>Bal!J220</f>
        <v>0</v>
      </c>
      <c r="N220" s="311">
        <f>Bal!K220</f>
        <v>0</v>
      </c>
    </row>
    <row r="221" spans="2:14" ht="12.75" customHeight="1" x14ac:dyDescent="0.25">
      <c r="B221" s="134"/>
      <c r="D221" s="134" t="e">
        <f t="shared" si="3"/>
        <v>#N/A</v>
      </c>
      <c r="E221" s="310">
        <f>Bal!B221</f>
        <v>0</v>
      </c>
      <c r="F221" s="311">
        <f>Bal!C221</f>
        <v>0</v>
      </c>
      <c r="G221" s="311">
        <f>Bal!D221</f>
        <v>0</v>
      </c>
      <c r="H221" s="311">
        <f>Bal!E221</f>
        <v>0</v>
      </c>
      <c r="I221" s="311">
        <f>Bal!F221</f>
        <v>0</v>
      </c>
      <c r="J221" s="311">
        <f>Bal!G221</f>
        <v>0</v>
      </c>
      <c r="K221" s="311">
        <f>Bal!H221</f>
        <v>0</v>
      </c>
      <c r="L221" s="311">
        <f>Bal!I221</f>
        <v>0</v>
      </c>
      <c r="M221" s="311">
        <f>Bal!J221</f>
        <v>0</v>
      </c>
      <c r="N221" s="311">
        <f>Bal!K221</f>
        <v>0</v>
      </c>
    </row>
    <row r="222" spans="2:14" ht="12.75" customHeight="1" x14ac:dyDescent="0.25">
      <c r="B222" s="134" t="s">
        <v>2710</v>
      </c>
      <c r="D222" s="134" t="e">
        <f t="shared" si="3"/>
        <v>#N/A</v>
      </c>
      <c r="E222" s="310">
        <f>Bal!B222</f>
        <v>0</v>
      </c>
      <c r="F222" s="311">
        <f>Bal!C222</f>
        <v>0</v>
      </c>
      <c r="G222" s="311">
        <f>Bal!D222</f>
        <v>0</v>
      </c>
      <c r="H222" s="311">
        <f>Bal!E222</f>
        <v>0</v>
      </c>
      <c r="I222" s="311">
        <f>Bal!F222</f>
        <v>0</v>
      </c>
      <c r="J222" s="311">
        <f>Bal!G222</f>
        <v>0</v>
      </c>
      <c r="K222" s="311">
        <f>Bal!H222</f>
        <v>0</v>
      </c>
      <c r="L222" s="311">
        <f>Bal!I222</f>
        <v>0</v>
      </c>
      <c r="M222" s="311">
        <f>Bal!J222</f>
        <v>0</v>
      </c>
      <c r="N222" s="311">
        <f>Bal!K222</f>
        <v>0</v>
      </c>
    </row>
    <row r="223" spans="2:14" ht="12.75" customHeight="1" x14ac:dyDescent="0.25">
      <c r="B223" s="134"/>
      <c r="D223" s="134" t="e">
        <f t="shared" si="3"/>
        <v>#N/A</v>
      </c>
      <c r="E223" s="310">
        <f>Bal!B223</f>
        <v>0</v>
      </c>
      <c r="F223" s="311">
        <f>Bal!C223</f>
        <v>0</v>
      </c>
      <c r="G223" s="311">
        <f>Bal!D223</f>
        <v>0</v>
      </c>
      <c r="H223" s="311">
        <f>Bal!E223</f>
        <v>0</v>
      </c>
      <c r="I223" s="311">
        <f>Bal!F223</f>
        <v>0</v>
      </c>
      <c r="J223" s="311">
        <f>Bal!G223</f>
        <v>0</v>
      </c>
      <c r="K223" s="311">
        <f>Bal!H223</f>
        <v>0</v>
      </c>
      <c r="L223" s="311">
        <f>Bal!I223</f>
        <v>0</v>
      </c>
      <c r="M223" s="311">
        <f>Bal!J223</f>
        <v>0</v>
      </c>
      <c r="N223" s="311">
        <f>Bal!K223</f>
        <v>0</v>
      </c>
    </row>
    <row r="224" spans="2:14" ht="12.75" customHeight="1" x14ac:dyDescent="0.25">
      <c r="B224" s="134"/>
      <c r="D224" s="134" t="e">
        <f t="shared" si="3"/>
        <v>#N/A</v>
      </c>
      <c r="E224" s="310">
        <f>Bal!B224</f>
        <v>0</v>
      </c>
      <c r="F224" s="311">
        <f>Bal!C224</f>
        <v>0</v>
      </c>
      <c r="G224" s="311">
        <f>Bal!D224</f>
        <v>0</v>
      </c>
      <c r="H224" s="311">
        <f>Bal!E224</f>
        <v>0</v>
      </c>
      <c r="I224" s="311">
        <f>Bal!F224</f>
        <v>0</v>
      </c>
      <c r="J224" s="311">
        <f>Bal!G224</f>
        <v>0</v>
      </c>
      <c r="K224" s="311">
        <f>Bal!H224</f>
        <v>0</v>
      </c>
      <c r="L224" s="311">
        <f>Bal!I224</f>
        <v>0</v>
      </c>
      <c r="M224" s="311">
        <f>Bal!J224</f>
        <v>0</v>
      </c>
      <c r="N224" s="311">
        <f>Bal!K224</f>
        <v>0</v>
      </c>
    </row>
    <row r="225" spans="2:14" ht="12.75" customHeight="1" x14ac:dyDescent="0.25">
      <c r="B225" s="134"/>
      <c r="D225" s="134" t="e">
        <f t="shared" si="3"/>
        <v>#N/A</v>
      </c>
      <c r="E225" s="310">
        <f>Bal!B225</f>
        <v>0</v>
      </c>
      <c r="F225" s="311">
        <f>Bal!C225</f>
        <v>0</v>
      </c>
      <c r="G225" s="311">
        <f>Bal!D225</f>
        <v>0</v>
      </c>
      <c r="H225" s="311">
        <f>Bal!E225</f>
        <v>0</v>
      </c>
      <c r="I225" s="311">
        <f>Bal!F225</f>
        <v>0</v>
      </c>
      <c r="J225" s="311">
        <f>Bal!G225</f>
        <v>0</v>
      </c>
      <c r="K225" s="311">
        <f>Bal!H225</f>
        <v>0</v>
      </c>
      <c r="L225" s="311">
        <f>Bal!I225</f>
        <v>0</v>
      </c>
      <c r="M225" s="311">
        <f>Bal!J225</f>
        <v>0</v>
      </c>
      <c r="N225" s="311">
        <f>Bal!K225</f>
        <v>0</v>
      </c>
    </row>
    <row r="226" spans="2:14" ht="12.75" customHeight="1" x14ac:dyDescent="0.25">
      <c r="B226" s="134"/>
      <c r="D226" s="134" t="e">
        <f t="shared" si="3"/>
        <v>#N/A</v>
      </c>
      <c r="E226" s="310">
        <f>Bal!B226</f>
        <v>0</v>
      </c>
      <c r="F226" s="311">
        <f>Bal!C226</f>
        <v>0</v>
      </c>
      <c r="G226" s="311">
        <f>Bal!D226</f>
        <v>0</v>
      </c>
      <c r="H226" s="311">
        <f>Bal!E226</f>
        <v>0</v>
      </c>
      <c r="I226" s="311">
        <f>Bal!F226</f>
        <v>0</v>
      </c>
      <c r="J226" s="311">
        <f>Bal!G226</f>
        <v>0</v>
      </c>
      <c r="K226" s="311">
        <f>Bal!H226</f>
        <v>0</v>
      </c>
      <c r="L226" s="311">
        <f>Bal!I226</f>
        <v>0</v>
      </c>
      <c r="M226" s="311">
        <f>Bal!J226</f>
        <v>0</v>
      </c>
      <c r="N226" s="311">
        <f>Bal!K226</f>
        <v>0</v>
      </c>
    </row>
    <row r="227" spans="2:14" ht="12.75" customHeight="1" x14ac:dyDescent="0.25">
      <c r="B227" s="134"/>
      <c r="D227" s="134" t="e">
        <f t="shared" si="3"/>
        <v>#N/A</v>
      </c>
      <c r="E227" s="310">
        <f>Bal!B227</f>
        <v>0</v>
      </c>
      <c r="F227" s="311">
        <f>Bal!C227</f>
        <v>0</v>
      </c>
      <c r="G227" s="311">
        <f>Bal!D227</f>
        <v>0</v>
      </c>
      <c r="H227" s="311">
        <f>Bal!E227</f>
        <v>0</v>
      </c>
      <c r="I227" s="311">
        <f>Bal!F227</f>
        <v>0</v>
      </c>
      <c r="J227" s="311">
        <f>Bal!G227</f>
        <v>0</v>
      </c>
      <c r="K227" s="311">
        <f>Bal!H227</f>
        <v>0</v>
      </c>
      <c r="L227" s="311">
        <f>Bal!I227</f>
        <v>0</v>
      </c>
      <c r="M227" s="311">
        <f>Bal!J227</f>
        <v>0</v>
      </c>
      <c r="N227" s="311">
        <f>Bal!K227</f>
        <v>0</v>
      </c>
    </row>
    <row r="228" spans="2:14" ht="12.75" customHeight="1" x14ac:dyDescent="0.25">
      <c r="B228" s="134"/>
      <c r="D228" s="134" t="e">
        <f t="shared" si="3"/>
        <v>#N/A</v>
      </c>
      <c r="E228" s="310">
        <f>Bal!B228</f>
        <v>0</v>
      </c>
      <c r="F228" s="311">
        <f>Bal!C228</f>
        <v>0</v>
      </c>
      <c r="G228" s="311">
        <f>Bal!D228</f>
        <v>0</v>
      </c>
      <c r="H228" s="311">
        <f>Bal!E228</f>
        <v>0</v>
      </c>
      <c r="I228" s="311">
        <f>Bal!F228</f>
        <v>0</v>
      </c>
      <c r="J228" s="311">
        <f>Bal!G228</f>
        <v>0</v>
      </c>
      <c r="K228" s="311">
        <f>Bal!H228</f>
        <v>0</v>
      </c>
      <c r="L228" s="311">
        <f>Bal!I228</f>
        <v>0</v>
      </c>
      <c r="M228" s="311">
        <f>Bal!J228</f>
        <v>0</v>
      </c>
      <c r="N228" s="311">
        <f>Bal!K228</f>
        <v>0</v>
      </c>
    </row>
    <row r="229" spans="2:14" ht="12.75" customHeight="1" x14ac:dyDescent="0.25">
      <c r="B229" s="134"/>
      <c r="D229" s="134" t="e">
        <f t="shared" si="3"/>
        <v>#N/A</v>
      </c>
      <c r="E229" s="310">
        <f>Bal!B229</f>
        <v>0</v>
      </c>
      <c r="F229" s="311">
        <f>Bal!C229</f>
        <v>0</v>
      </c>
      <c r="G229" s="311">
        <f>Bal!D229</f>
        <v>0</v>
      </c>
      <c r="H229" s="311">
        <f>Bal!E229</f>
        <v>0</v>
      </c>
      <c r="I229" s="311">
        <f>Bal!F229</f>
        <v>0</v>
      </c>
      <c r="J229" s="311">
        <f>Bal!G229</f>
        <v>0</v>
      </c>
      <c r="K229" s="311">
        <f>Bal!H229</f>
        <v>0</v>
      </c>
      <c r="L229" s="311">
        <f>Bal!I229</f>
        <v>0</v>
      </c>
      <c r="M229" s="311">
        <f>Bal!J229</f>
        <v>0</v>
      </c>
      <c r="N229" s="311">
        <f>Bal!K229</f>
        <v>0</v>
      </c>
    </row>
    <row r="230" spans="2:14" ht="12.75" customHeight="1" x14ac:dyDescent="0.25">
      <c r="B230" s="134"/>
      <c r="D230" s="134" t="e">
        <f t="shared" si="3"/>
        <v>#N/A</v>
      </c>
      <c r="E230" s="310">
        <f>Bal!B230</f>
        <v>0</v>
      </c>
      <c r="F230" s="311">
        <f>Bal!C230</f>
        <v>0</v>
      </c>
      <c r="G230" s="311">
        <f>Bal!D230</f>
        <v>0</v>
      </c>
      <c r="H230" s="311">
        <f>Bal!E230</f>
        <v>0</v>
      </c>
      <c r="I230" s="311">
        <f>Bal!F230</f>
        <v>0</v>
      </c>
      <c r="J230" s="311">
        <f>Bal!G230</f>
        <v>0</v>
      </c>
      <c r="K230" s="311">
        <f>Bal!H230</f>
        <v>0</v>
      </c>
      <c r="L230" s="311">
        <f>Bal!I230</f>
        <v>0</v>
      </c>
      <c r="M230" s="311">
        <f>Bal!J230</f>
        <v>0</v>
      </c>
      <c r="N230" s="311">
        <f>Bal!K230</f>
        <v>0</v>
      </c>
    </row>
    <row r="231" spans="2:14" ht="12.75" customHeight="1" x14ac:dyDescent="0.25">
      <c r="B231" s="134"/>
      <c r="D231" s="134" t="e">
        <f t="shared" si="3"/>
        <v>#N/A</v>
      </c>
      <c r="E231" s="310">
        <f>Bal!B231</f>
        <v>0</v>
      </c>
      <c r="F231" s="311">
        <f>Bal!C231</f>
        <v>0</v>
      </c>
      <c r="G231" s="311">
        <f>Bal!D231</f>
        <v>0</v>
      </c>
      <c r="H231" s="311">
        <f>Bal!E231</f>
        <v>0</v>
      </c>
      <c r="I231" s="311">
        <f>Bal!F231</f>
        <v>0</v>
      </c>
      <c r="J231" s="311">
        <f>Bal!G231</f>
        <v>0</v>
      </c>
      <c r="K231" s="311">
        <f>Bal!H231</f>
        <v>0</v>
      </c>
      <c r="L231" s="311">
        <f>Bal!I231</f>
        <v>0</v>
      </c>
      <c r="M231" s="311">
        <f>Bal!J231</f>
        <v>0</v>
      </c>
      <c r="N231" s="311">
        <f>Bal!K231</f>
        <v>0</v>
      </c>
    </row>
    <row r="232" spans="2:14" ht="12.75" customHeight="1" x14ac:dyDescent="0.25">
      <c r="B232" s="134"/>
      <c r="D232" s="134" t="e">
        <f t="shared" si="3"/>
        <v>#N/A</v>
      </c>
      <c r="E232" s="310">
        <f>Bal!B232</f>
        <v>0</v>
      </c>
      <c r="F232" s="311">
        <f>Bal!C232</f>
        <v>0</v>
      </c>
      <c r="G232" s="311">
        <f>Bal!D232</f>
        <v>0</v>
      </c>
      <c r="H232" s="311">
        <f>Bal!E232</f>
        <v>0</v>
      </c>
      <c r="I232" s="311">
        <f>Bal!F232</f>
        <v>0</v>
      </c>
      <c r="J232" s="311">
        <f>Bal!G232</f>
        <v>0</v>
      </c>
      <c r="K232" s="311">
        <f>Bal!H232</f>
        <v>0</v>
      </c>
      <c r="L232" s="311">
        <f>Bal!I232</f>
        <v>0</v>
      </c>
      <c r="M232" s="311">
        <f>Bal!J232</f>
        <v>0</v>
      </c>
      <c r="N232" s="311">
        <f>Bal!K232</f>
        <v>0</v>
      </c>
    </row>
    <row r="233" spans="2:14" ht="12.75" customHeight="1" x14ac:dyDescent="0.25">
      <c r="B233" s="134"/>
      <c r="D233" s="134" t="e">
        <f t="shared" si="3"/>
        <v>#N/A</v>
      </c>
      <c r="E233" s="310">
        <f>Bal!B233</f>
        <v>0</v>
      </c>
      <c r="F233" s="311">
        <f>Bal!C233</f>
        <v>0</v>
      </c>
      <c r="G233" s="311">
        <f>Bal!D233</f>
        <v>0</v>
      </c>
      <c r="H233" s="311">
        <f>Bal!E233</f>
        <v>0</v>
      </c>
      <c r="I233" s="311">
        <f>Bal!F233</f>
        <v>0</v>
      </c>
      <c r="J233" s="311">
        <f>Bal!G233</f>
        <v>0</v>
      </c>
      <c r="K233" s="311">
        <f>Bal!H233</f>
        <v>0</v>
      </c>
      <c r="L233" s="311">
        <f>Bal!I233</f>
        <v>0</v>
      </c>
      <c r="M233" s="311">
        <f>Bal!J233</f>
        <v>0</v>
      </c>
      <c r="N233" s="311">
        <f>Bal!K233</f>
        <v>0</v>
      </c>
    </row>
    <row r="234" spans="2:14" ht="12.75" customHeight="1" x14ac:dyDescent="0.25">
      <c r="B234" s="134"/>
      <c r="D234" s="134" t="e">
        <f t="shared" si="3"/>
        <v>#N/A</v>
      </c>
      <c r="E234" s="310">
        <f>Bal!B234</f>
        <v>0</v>
      </c>
      <c r="F234" s="311">
        <f>Bal!C234</f>
        <v>0</v>
      </c>
      <c r="G234" s="311">
        <f>Bal!D234</f>
        <v>0</v>
      </c>
      <c r="H234" s="311">
        <f>Bal!E234</f>
        <v>0</v>
      </c>
      <c r="I234" s="311">
        <f>Bal!F234</f>
        <v>0</v>
      </c>
      <c r="J234" s="311">
        <f>Bal!G234</f>
        <v>0</v>
      </c>
      <c r="K234" s="311">
        <f>Bal!H234</f>
        <v>0</v>
      </c>
      <c r="L234" s="311">
        <f>Bal!I234</f>
        <v>0</v>
      </c>
      <c r="M234" s="311">
        <f>Bal!J234</f>
        <v>0</v>
      </c>
      <c r="N234" s="311">
        <f>Bal!K234</f>
        <v>0</v>
      </c>
    </row>
    <row r="235" spans="2:14" ht="12.75" customHeight="1" x14ac:dyDescent="0.25">
      <c r="B235" s="134" t="s">
        <v>2711</v>
      </c>
      <c r="D235" s="134" t="e">
        <f t="shared" si="3"/>
        <v>#N/A</v>
      </c>
      <c r="E235" s="310">
        <f>Bal!B235</f>
        <v>0</v>
      </c>
      <c r="F235" s="311">
        <f>Bal!C235</f>
        <v>0</v>
      </c>
      <c r="G235" s="311">
        <f>Bal!D235</f>
        <v>0</v>
      </c>
      <c r="H235" s="311">
        <f>Bal!E235</f>
        <v>0</v>
      </c>
      <c r="I235" s="311">
        <f>Bal!F235</f>
        <v>0</v>
      </c>
      <c r="J235" s="311">
        <f>Bal!G235</f>
        <v>0</v>
      </c>
      <c r="K235" s="311">
        <f>Bal!H235</f>
        <v>0</v>
      </c>
      <c r="L235" s="311">
        <f>Bal!I235</f>
        <v>0</v>
      </c>
      <c r="M235" s="311">
        <f>Bal!J235</f>
        <v>0</v>
      </c>
      <c r="N235" s="311">
        <f>Bal!K235</f>
        <v>0</v>
      </c>
    </row>
    <row r="236" spans="2:14" ht="12.75" customHeight="1" x14ac:dyDescent="0.25">
      <c r="B236" s="134"/>
      <c r="D236" s="134" t="e">
        <f t="shared" si="3"/>
        <v>#N/A</v>
      </c>
      <c r="E236" s="310">
        <f>Bal!B236</f>
        <v>0</v>
      </c>
      <c r="F236" s="311">
        <f>Bal!C236</f>
        <v>0</v>
      </c>
      <c r="G236" s="311">
        <f>Bal!D236</f>
        <v>0</v>
      </c>
      <c r="H236" s="311">
        <f>Bal!E236</f>
        <v>0</v>
      </c>
      <c r="I236" s="311">
        <f>Bal!F236</f>
        <v>0</v>
      </c>
      <c r="J236" s="311">
        <f>Bal!G236</f>
        <v>0</v>
      </c>
      <c r="K236" s="311">
        <f>Bal!H236</f>
        <v>0</v>
      </c>
      <c r="L236" s="311">
        <f>Bal!I236</f>
        <v>0</v>
      </c>
      <c r="M236" s="311">
        <f>Bal!J236</f>
        <v>0</v>
      </c>
      <c r="N236" s="311">
        <f>Bal!K236</f>
        <v>0</v>
      </c>
    </row>
    <row r="237" spans="2:14" ht="12.75" customHeight="1" x14ac:dyDescent="0.25">
      <c r="B237" s="134"/>
      <c r="D237" s="134" t="e">
        <f t="shared" si="3"/>
        <v>#N/A</v>
      </c>
      <c r="E237" s="310">
        <f>Bal!B237</f>
        <v>0</v>
      </c>
      <c r="F237" s="311">
        <f>Bal!C237</f>
        <v>0</v>
      </c>
      <c r="G237" s="311">
        <f>Bal!D237</f>
        <v>0</v>
      </c>
      <c r="H237" s="311">
        <f>Bal!E237</f>
        <v>0</v>
      </c>
      <c r="I237" s="311">
        <f>Bal!F237</f>
        <v>0</v>
      </c>
      <c r="J237" s="311">
        <f>Bal!G237</f>
        <v>0</v>
      </c>
      <c r="K237" s="311">
        <f>Bal!H237</f>
        <v>0</v>
      </c>
      <c r="L237" s="311">
        <f>Bal!I237</f>
        <v>0</v>
      </c>
      <c r="M237" s="311">
        <f>Bal!J237</f>
        <v>0</v>
      </c>
      <c r="N237" s="311">
        <f>Bal!K237</f>
        <v>0</v>
      </c>
    </row>
    <row r="238" spans="2:14" ht="12.75" customHeight="1" x14ac:dyDescent="0.25">
      <c r="B238" s="134"/>
      <c r="D238" s="134" t="e">
        <f t="shared" si="3"/>
        <v>#N/A</v>
      </c>
      <c r="E238" s="310">
        <f>Bal!B238</f>
        <v>0</v>
      </c>
      <c r="F238" s="311">
        <f>Bal!C238</f>
        <v>0</v>
      </c>
      <c r="G238" s="311">
        <f>Bal!D238</f>
        <v>0</v>
      </c>
      <c r="H238" s="311">
        <f>Bal!E238</f>
        <v>0</v>
      </c>
      <c r="I238" s="311">
        <f>Bal!F238</f>
        <v>0</v>
      </c>
      <c r="J238" s="311">
        <f>Bal!G238</f>
        <v>0</v>
      </c>
      <c r="K238" s="311">
        <f>Bal!H238</f>
        <v>0</v>
      </c>
      <c r="L238" s="311">
        <f>Bal!I238</f>
        <v>0</v>
      </c>
      <c r="M238" s="311">
        <f>Bal!J238</f>
        <v>0</v>
      </c>
      <c r="N238" s="311">
        <f>Bal!K238</f>
        <v>0</v>
      </c>
    </row>
    <row r="239" spans="2:14" ht="12.75" customHeight="1" x14ac:dyDescent="0.25">
      <c r="B239" s="134"/>
      <c r="D239" s="134" t="e">
        <f t="shared" si="3"/>
        <v>#N/A</v>
      </c>
      <c r="E239" s="310">
        <f>Bal!B239</f>
        <v>0</v>
      </c>
      <c r="F239" s="311">
        <f>Bal!C239</f>
        <v>0</v>
      </c>
      <c r="G239" s="311">
        <f>Bal!D239</f>
        <v>0</v>
      </c>
      <c r="H239" s="311">
        <f>Bal!E239</f>
        <v>0</v>
      </c>
      <c r="I239" s="311">
        <f>Bal!F239</f>
        <v>0</v>
      </c>
      <c r="J239" s="311">
        <f>Bal!G239</f>
        <v>0</v>
      </c>
      <c r="K239" s="311">
        <f>Bal!H239</f>
        <v>0</v>
      </c>
      <c r="L239" s="311">
        <f>Bal!I239</f>
        <v>0</v>
      </c>
      <c r="M239" s="311">
        <f>Bal!J239</f>
        <v>0</v>
      </c>
      <c r="N239" s="311">
        <f>Bal!K239</f>
        <v>0</v>
      </c>
    </row>
    <row r="240" spans="2:14" ht="12.75" customHeight="1" x14ac:dyDescent="0.25">
      <c r="B240" s="134"/>
      <c r="D240" s="134" t="e">
        <f t="shared" si="3"/>
        <v>#N/A</v>
      </c>
      <c r="E240" s="310">
        <f>Bal!B240</f>
        <v>0</v>
      </c>
      <c r="F240" s="311">
        <f>Bal!C240</f>
        <v>0</v>
      </c>
      <c r="G240" s="311">
        <f>Bal!D240</f>
        <v>0</v>
      </c>
      <c r="H240" s="311">
        <f>Bal!E240</f>
        <v>0</v>
      </c>
      <c r="I240" s="311">
        <f>Bal!F240</f>
        <v>0</v>
      </c>
      <c r="J240" s="311">
        <f>Bal!G240</f>
        <v>0</v>
      </c>
      <c r="K240" s="311">
        <f>Bal!H240</f>
        <v>0</v>
      </c>
      <c r="L240" s="311">
        <f>Bal!I240</f>
        <v>0</v>
      </c>
      <c r="M240" s="311">
        <f>Bal!J240</f>
        <v>0</v>
      </c>
      <c r="N240" s="311">
        <f>Bal!K240</f>
        <v>0</v>
      </c>
    </row>
    <row r="241" spans="2:14" ht="12.75" customHeight="1" x14ac:dyDescent="0.25">
      <c r="B241" s="134"/>
      <c r="D241" s="134" t="e">
        <f t="shared" si="3"/>
        <v>#N/A</v>
      </c>
      <c r="E241" s="310">
        <f>Bal!B241</f>
        <v>0</v>
      </c>
      <c r="F241" s="311">
        <f>Bal!C241</f>
        <v>0</v>
      </c>
      <c r="G241" s="311">
        <f>Bal!D241</f>
        <v>0</v>
      </c>
      <c r="H241" s="311">
        <f>Bal!E241</f>
        <v>0</v>
      </c>
      <c r="I241" s="311">
        <f>Bal!F241</f>
        <v>0</v>
      </c>
      <c r="J241" s="311">
        <f>Bal!G241</f>
        <v>0</v>
      </c>
      <c r="K241" s="311">
        <f>Bal!H241</f>
        <v>0</v>
      </c>
      <c r="L241" s="311">
        <f>Bal!I241</f>
        <v>0</v>
      </c>
      <c r="M241" s="311">
        <f>Bal!J241</f>
        <v>0</v>
      </c>
      <c r="N241" s="311">
        <f>Bal!K241</f>
        <v>0</v>
      </c>
    </row>
    <row r="242" spans="2:14" ht="12.75" customHeight="1" x14ac:dyDescent="0.25">
      <c r="B242" s="134"/>
      <c r="D242" s="134" t="e">
        <f t="shared" si="3"/>
        <v>#N/A</v>
      </c>
      <c r="E242" s="310">
        <f>Bal!B242</f>
        <v>0</v>
      </c>
      <c r="F242" s="311">
        <f>Bal!C242</f>
        <v>0</v>
      </c>
      <c r="G242" s="311">
        <f>Bal!D242</f>
        <v>0</v>
      </c>
      <c r="H242" s="311">
        <f>Bal!E242</f>
        <v>0</v>
      </c>
      <c r="I242" s="311">
        <f>Bal!F242</f>
        <v>0</v>
      </c>
      <c r="J242" s="311">
        <f>Bal!G242</f>
        <v>0</v>
      </c>
      <c r="K242" s="311">
        <f>Bal!H242</f>
        <v>0</v>
      </c>
      <c r="L242" s="311">
        <f>Bal!I242</f>
        <v>0</v>
      </c>
      <c r="M242" s="311">
        <f>Bal!J242</f>
        <v>0</v>
      </c>
      <c r="N242" s="311">
        <f>Bal!K242</f>
        <v>0</v>
      </c>
    </row>
    <row r="243" spans="2:14" ht="12.75" customHeight="1" x14ac:dyDescent="0.25">
      <c r="B243" s="134"/>
      <c r="D243" s="134" t="e">
        <f t="shared" si="3"/>
        <v>#N/A</v>
      </c>
      <c r="E243" s="310">
        <f>Bal!B243</f>
        <v>0</v>
      </c>
      <c r="F243" s="311">
        <f>Bal!C243</f>
        <v>0</v>
      </c>
      <c r="G243" s="311">
        <f>Bal!D243</f>
        <v>0</v>
      </c>
      <c r="H243" s="311">
        <f>Bal!E243</f>
        <v>0</v>
      </c>
      <c r="I243" s="311">
        <f>Bal!F243</f>
        <v>0</v>
      </c>
      <c r="J243" s="311">
        <f>Bal!G243</f>
        <v>0</v>
      </c>
      <c r="K243" s="311">
        <f>Bal!H243</f>
        <v>0</v>
      </c>
      <c r="L243" s="311">
        <f>Bal!I243</f>
        <v>0</v>
      </c>
      <c r="M243" s="311">
        <f>Bal!J243</f>
        <v>0</v>
      </c>
      <c r="N243" s="311">
        <f>Bal!K243</f>
        <v>0</v>
      </c>
    </row>
    <row r="244" spans="2:14" ht="12.75" customHeight="1" x14ac:dyDescent="0.25">
      <c r="B244" s="134"/>
      <c r="D244" s="134" t="e">
        <f t="shared" si="3"/>
        <v>#N/A</v>
      </c>
      <c r="E244" s="310">
        <f>Bal!B244</f>
        <v>0</v>
      </c>
      <c r="F244" s="311">
        <f>Bal!C244</f>
        <v>0</v>
      </c>
      <c r="G244" s="311">
        <f>Bal!D244</f>
        <v>0</v>
      </c>
      <c r="H244" s="311">
        <f>Bal!E244</f>
        <v>0</v>
      </c>
      <c r="I244" s="311">
        <f>Bal!F244</f>
        <v>0</v>
      </c>
      <c r="J244" s="311">
        <f>Bal!G244</f>
        <v>0</v>
      </c>
      <c r="K244" s="311">
        <f>Bal!H244</f>
        <v>0</v>
      </c>
      <c r="L244" s="311">
        <f>Bal!I244</f>
        <v>0</v>
      </c>
      <c r="M244" s="311">
        <f>Bal!J244</f>
        <v>0</v>
      </c>
      <c r="N244" s="311">
        <f>Bal!K244</f>
        <v>0</v>
      </c>
    </row>
    <row r="245" spans="2:14" ht="12.75" customHeight="1" x14ac:dyDescent="0.25">
      <c r="B245" s="134"/>
      <c r="D245" s="134" t="e">
        <f t="shared" si="3"/>
        <v>#N/A</v>
      </c>
      <c r="E245" s="310">
        <f>Bal!B245</f>
        <v>0</v>
      </c>
      <c r="F245" s="311">
        <f>Bal!C245</f>
        <v>0</v>
      </c>
      <c r="G245" s="311">
        <f>Bal!D245</f>
        <v>0</v>
      </c>
      <c r="H245" s="311">
        <f>Bal!E245</f>
        <v>0</v>
      </c>
      <c r="I245" s="311">
        <f>Bal!F245</f>
        <v>0</v>
      </c>
      <c r="J245" s="311">
        <f>Bal!G245</f>
        <v>0</v>
      </c>
      <c r="K245" s="311">
        <f>Bal!H245</f>
        <v>0</v>
      </c>
      <c r="L245" s="311">
        <f>Bal!I245</f>
        <v>0</v>
      </c>
      <c r="M245" s="311">
        <f>Bal!J245</f>
        <v>0</v>
      </c>
      <c r="N245" s="311">
        <f>Bal!K245</f>
        <v>0</v>
      </c>
    </row>
    <row r="246" spans="2:14" ht="12.75" customHeight="1" x14ac:dyDescent="0.25">
      <c r="B246" s="134" t="s">
        <v>2712</v>
      </c>
      <c r="D246" s="134" t="e">
        <f t="shared" si="3"/>
        <v>#N/A</v>
      </c>
      <c r="E246" s="310">
        <f>Bal!B246</f>
        <v>0</v>
      </c>
      <c r="F246" s="311">
        <f>Bal!C246</f>
        <v>0</v>
      </c>
      <c r="G246" s="311">
        <f>Bal!D246</f>
        <v>0</v>
      </c>
      <c r="H246" s="311">
        <f>Bal!E246</f>
        <v>0</v>
      </c>
      <c r="I246" s="311">
        <f>Bal!F246</f>
        <v>0</v>
      </c>
      <c r="J246" s="311">
        <f>Bal!G246</f>
        <v>0</v>
      </c>
      <c r="K246" s="311">
        <f>Bal!H246</f>
        <v>0</v>
      </c>
      <c r="L246" s="311">
        <f>Bal!I246</f>
        <v>0</v>
      </c>
      <c r="M246" s="311">
        <f>Bal!J246</f>
        <v>0</v>
      </c>
      <c r="N246" s="311">
        <f>Bal!K246</f>
        <v>0</v>
      </c>
    </row>
    <row r="247" spans="2:14" ht="12.75" customHeight="1" x14ac:dyDescent="0.25">
      <c r="B247" s="134"/>
      <c r="D247" s="134" t="e">
        <f t="shared" si="3"/>
        <v>#N/A</v>
      </c>
      <c r="E247" s="310">
        <f>Bal!B247</f>
        <v>0</v>
      </c>
      <c r="F247" s="311">
        <f>Bal!C247</f>
        <v>0</v>
      </c>
      <c r="G247" s="311">
        <f>Bal!D247</f>
        <v>0</v>
      </c>
      <c r="H247" s="311">
        <f>Bal!E247</f>
        <v>0</v>
      </c>
      <c r="I247" s="311">
        <f>Bal!F247</f>
        <v>0</v>
      </c>
      <c r="J247" s="311">
        <f>Bal!G247</f>
        <v>0</v>
      </c>
      <c r="K247" s="311">
        <f>Bal!H247</f>
        <v>0</v>
      </c>
      <c r="L247" s="311">
        <f>Bal!I247</f>
        <v>0</v>
      </c>
      <c r="M247" s="311">
        <f>Bal!J247</f>
        <v>0</v>
      </c>
      <c r="N247" s="311">
        <f>Bal!K247</f>
        <v>0</v>
      </c>
    </row>
    <row r="248" spans="2:14" ht="12.75" customHeight="1" x14ac:dyDescent="0.25">
      <c r="B248" s="134"/>
      <c r="D248" s="134" t="e">
        <f t="shared" si="3"/>
        <v>#N/A</v>
      </c>
      <c r="E248" s="310">
        <f>Bal!B248</f>
        <v>0</v>
      </c>
      <c r="F248" s="311">
        <f>Bal!C248</f>
        <v>0</v>
      </c>
      <c r="G248" s="311">
        <f>Bal!D248</f>
        <v>0</v>
      </c>
      <c r="H248" s="311">
        <f>Bal!E248</f>
        <v>0</v>
      </c>
      <c r="I248" s="311">
        <f>Bal!F248</f>
        <v>0</v>
      </c>
      <c r="J248" s="311">
        <f>Bal!G248</f>
        <v>0</v>
      </c>
      <c r="K248" s="311">
        <f>Bal!H248</f>
        <v>0</v>
      </c>
      <c r="L248" s="311">
        <f>Bal!I248</f>
        <v>0</v>
      </c>
      <c r="M248" s="311">
        <f>Bal!J248</f>
        <v>0</v>
      </c>
      <c r="N248" s="311">
        <f>Bal!K248</f>
        <v>0</v>
      </c>
    </row>
    <row r="249" spans="2:14" ht="12.75" customHeight="1" x14ac:dyDescent="0.25">
      <c r="B249" s="134"/>
      <c r="D249" s="134" t="e">
        <f t="shared" si="3"/>
        <v>#N/A</v>
      </c>
      <c r="E249" s="310">
        <f>Bal!B249</f>
        <v>0</v>
      </c>
      <c r="F249" s="311">
        <f>Bal!C249</f>
        <v>0</v>
      </c>
      <c r="G249" s="311">
        <f>Bal!D249</f>
        <v>0</v>
      </c>
      <c r="H249" s="311">
        <f>Bal!E249</f>
        <v>0</v>
      </c>
      <c r="I249" s="311">
        <f>Bal!F249</f>
        <v>0</v>
      </c>
      <c r="J249" s="311">
        <f>Bal!G249</f>
        <v>0</v>
      </c>
      <c r="K249" s="311">
        <f>Bal!H249</f>
        <v>0</v>
      </c>
      <c r="L249" s="311">
        <f>Bal!I249</f>
        <v>0</v>
      </c>
      <c r="M249" s="311">
        <f>Bal!J249</f>
        <v>0</v>
      </c>
      <c r="N249" s="311">
        <f>Bal!K249</f>
        <v>0</v>
      </c>
    </row>
    <row r="250" spans="2:14" ht="12.75" customHeight="1" x14ac:dyDescent="0.25">
      <c r="B250" s="134"/>
      <c r="D250" s="134" t="e">
        <f t="shared" si="3"/>
        <v>#N/A</v>
      </c>
      <c r="E250" s="310">
        <f>Bal!B250</f>
        <v>0</v>
      </c>
      <c r="F250" s="311">
        <f>Bal!C250</f>
        <v>0</v>
      </c>
      <c r="G250" s="311">
        <f>Bal!D250</f>
        <v>0</v>
      </c>
      <c r="H250" s="311">
        <f>Bal!E250</f>
        <v>0</v>
      </c>
      <c r="I250" s="311">
        <f>Bal!F250</f>
        <v>0</v>
      </c>
      <c r="J250" s="311">
        <f>Bal!G250</f>
        <v>0</v>
      </c>
      <c r="K250" s="311">
        <f>Bal!H250</f>
        <v>0</v>
      </c>
      <c r="L250" s="311">
        <f>Bal!I250</f>
        <v>0</v>
      </c>
      <c r="M250" s="311">
        <f>Bal!J250</f>
        <v>0</v>
      </c>
      <c r="N250" s="311">
        <f>Bal!K250</f>
        <v>0</v>
      </c>
    </row>
    <row r="251" spans="2:14" ht="12.75" customHeight="1" x14ac:dyDescent="0.25">
      <c r="B251" s="134"/>
      <c r="D251" s="134" t="e">
        <f t="shared" si="3"/>
        <v>#N/A</v>
      </c>
      <c r="E251" s="310">
        <f>Bal!B251</f>
        <v>0</v>
      </c>
      <c r="F251" s="311">
        <f>Bal!C251</f>
        <v>0</v>
      </c>
      <c r="G251" s="311">
        <f>Bal!D251</f>
        <v>0</v>
      </c>
      <c r="H251" s="311">
        <f>Bal!E251</f>
        <v>0</v>
      </c>
      <c r="I251" s="311">
        <f>Bal!F251</f>
        <v>0</v>
      </c>
      <c r="J251" s="311">
        <f>Bal!G251</f>
        <v>0</v>
      </c>
      <c r="K251" s="311">
        <f>Bal!H251</f>
        <v>0</v>
      </c>
      <c r="L251" s="311">
        <f>Bal!I251</f>
        <v>0</v>
      </c>
      <c r="M251" s="311">
        <f>Bal!J251</f>
        <v>0</v>
      </c>
      <c r="N251" s="311">
        <f>Bal!K251</f>
        <v>0</v>
      </c>
    </row>
    <row r="252" spans="2:14" ht="12.75" customHeight="1" x14ac:dyDescent="0.25">
      <c r="B252" s="134"/>
      <c r="D252" s="134" t="e">
        <f t="shared" si="3"/>
        <v>#N/A</v>
      </c>
      <c r="E252" s="310">
        <f>Bal!B252</f>
        <v>0</v>
      </c>
      <c r="F252" s="311">
        <f>Bal!C252</f>
        <v>0</v>
      </c>
      <c r="G252" s="311">
        <f>Bal!D252</f>
        <v>0</v>
      </c>
      <c r="H252" s="311">
        <f>Bal!E252</f>
        <v>0</v>
      </c>
      <c r="I252" s="311">
        <f>Bal!F252</f>
        <v>0</v>
      </c>
      <c r="J252" s="311">
        <f>Bal!G252</f>
        <v>0</v>
      </c>
      <c r="K252" s="311">
        <f>Bal!H252</f>
        <v>0</v>
      </c>
      <c r="L252" s="311">
        <f>Bal!I252</f>
        <v>0</v>
      </c>
      <c r="M252" s="311">
        <f>Bal!J252</f>
        <v>0</v>
      </c>
      <c r="N252" s="311">
        <f>Bal!K252</f>
        <v>0</v>
      </c>
    </row>
    <row r="253" spans="2:14" ht="12.75" customHeight="1" x14ac:dyDescent="0.25">
      <c r="B253" s="134"/>
      <c r="D253" s="134" t="e">
        <f t="shared" si="3"/>
        <v>#N/A</v>
      </c>
      <c r="E253" s="310">
        <f>Bal!B253</f>
        <v>0</v>
      </c>
      <c r="F253" s="311">
        <f>Bal!C253</f>
        <v>0</v>
      </c>
      <c r="G253" s="311">
        <f>Bal!D253</f>
        <v>0</v>
      </c>
      <c r="H253" s="311">
        <f>Bal!E253</f>
        <v>0</v>
      </c>
      <c r="I253" s="311">
        <f>Bal!F253</f>
        <v>0</v>
      </c>
      <c r="J253" s="311">
        <f>Bal!G253</f>
        <v>0</v>
      </c>
      <c r="K253" s="311">
        <f>Bal!H253</f>
        <v>0</v>
      </c>
      <c r="L253" s="311">
        <f>Bal!I253</f>
        <v>0</v>
      </c>
      <c r="M253" s="311">
        <f>Bal!J253</f>
        <v>0</v>
      </c>
      <c r="N253" s="311">
        <f>Bal!K253</f>
        <v>0</v>
      </c>
    </row>
    <row r="254" spans="2:14" ht="12.75" customHeight="1" x14ac:dyDescent="0.25">
      <c r="B254" s="134"/>
      <c r="D254" s="134" t="e">
        <f t="shared" si="3"/>
        <v>#N/A</v>
      </c>
      <c r="E254" s="310">
        <f>Bal!B254</f>
        <v>0</v>
      </c>
      <c r="F254" s="311">
        <f>Bal!C254</f>
        <v>0</v>
      </c>
      <c r="G254" s="311">
        <f>Bal!D254</f>
        <v>0</v>
      </c>
      <c r="H254" s="311">
        <f>Bal!E254</f>
        <v>0</v>
      </c>
      <c r="I254" s="311">
        <f>Bal!F254</f>
        <v>0</v>
      </c>
      <c r="J254" s="311">
        <f>Bal!G254</f>
        <v>0</v>
      </c>
      <c r="K254" s="311">
        <f>Bal!H254</f>
        <v>0</v>
      </c>
      <c r="L254" s="311">
        <f>Bal!I254</f>
        <v>0</v>
      </c>
      <c r="M254" s="311">
        <f>Bal!J254</f>
        <v>0</v>
      </c>
      <c r="N254" s="311">
        <f>Bal!K254</f>
        <v>0</v>
      </c>
    </row>
    <row r="255" spans="2:14" ht="12.75" customHeight="1" x14ac:dyDescent="0.25">
      <c r="B255" s="134"/>
      <c r="D255" s="134" t="e">
        <f t="shared" si="3"/>
        <v>#N/A</v>
      </c>
      <c r="E255" s="310">
        <f>Bal!B255</f>
        <v>0</v>
      </c>
      <c r="F255" s="311">
        <f>Bal!C255</f>
        <v>0</v>
      </c>
      <c r="G255" s="311">
        <f>Bal!D255</f>
        <v>0</v>
      </c>
      <c r="H255" s="311">
        <f>Bal!E255</f>
        <v>0</v>
      </c>
      <c r="I255" s="311">
        <f>Bal!F255</f>
        <v>0</v>
      </c>
      <c r="J255" s="311">
        <f>Bal!G255</f>
        <v>0</v>
      </c>
      <c r="K255" s="311">
        <f>Bal!H255</f>
        <v>0</v>
      </c>
      <c r="L255" s="311">
        <f>Bal!I255</f>
        <v>0</v>
      </c>
      <c r="M255" s="311">
        <f>Bal!J255</f>
        <v>0</v>
      </c>
      <c r="N255" s="311">
        <f>Bal!K255</f>
        <v>0</v>
      </c>
    </row>
    <row r="256" spans="2:14" ht="12.75" customHeight="1" x14ac:dyDescent="0.25">
      <c r="B256" s="134"/>
      <c r="D256" s="134" t="e">
        <f t="shared" si="3"/>
        <v>#N/A</v>
      </c>
      <c r="E256" s="310">
        <f>Bal!B256</f>
        <v>0</v>
      </c>
      <c r="F256" s="311">
        <f>Bal!C256</f>
        <v>0</v>
      </c>
      <c r="G256" s="311">
        <f>Bal!D256</f>
        <v>0</v>
      </c>
      <c r="H256" s="311">
        <f>Bal!E256</f>
        <v>0</v>
      </c>
      <c r="I256" s="311">
        <f>Bal!F256</f>
        <v>0</v>
      </c>
      <c r="J256" s="311">
        <f>Bal!G256</f>
        <v>0</v>
      </c>
      <c r="K256" s="311">
        <f>Bal!H256</f>
        <v>0</v>
      </c>
      <c r="L256" s="311">
        <f>Bal!I256</f>
        <v>0</v>
      </c>
      <c r="M256" s="311">
        <f>Bal!J256</f>
        <v>0</v>
      </c>
      <c r="N256" s="311">
        <f>Bal!K256</f>
        <v>0</v>
      </c>
    </row>
    <row r="257" spans="2:14" ht="12.75" customHeight="1" x14ac:dyDescent="0.25">
      <c r="B257" s="134"/>
      <c r="D257" s="134" t="e">
        <f t="shared" si="3"/>
        <v>#N/A</v>
      </c>
      <c r="E257" s="310">
        <f>Bal!B257</f>
        <v>0</v>
      </c>
      <c r="F257" s="311">
        <f>Bal!C257</f>
        <v>0</v>
      </c>
      <c r="G257" s="311">
        <f>Bal!D257</f>
        <v>0</v>
      </c>
      <c r="H257" s="311">
        <f>Bal!E257</f>
        <v>0</v>
      </c>
      <c r="I257" s="311">
        <f>Bal!F257</f>
        <v>0</v>
      </c>
      <c r="J257" s="311">
        <f>Bal!G257</f>
        <v>0</v>
      </c>
      <c r="K257" s="311">
        <f>Bal!H257</f>
        <v>0</v>
      </c>
      <c r="L257" s="311">
        <f>Bal!I257</f>
        <v>0</v>
      </c>
      <c r="M257" s="311">
        <f>Bal!J257</f>
        <v>0</v>
      </c>
      <c r="N257" s="311">
        <f>Bal!K257</f>
        <v>0</v>
      </c>
    </row>
    <row r="258" spans="2:14" ht="12.75" customHeight="1" x14ac:dyDescent="0.25">
      <c r="B258" s="134" t="s">
        <v>2713</v>
      </c>
      <c r="D258" s="134" t="e">
        <f t="shared" si="3"/>
        <v>#N/A</v>
      </c>
      <c r="E258" s="310">
        <f>Bal!B258</f>
        <v>0</v>
      </c>
      <c r="F258" s="311">
        <f>Bal!C258</f>
        <v>0</v>
      </c>
      <c r="G258" s="311">
        <f>Bal!D258</f>
        <v>0</v>
      </c>
      <c r="H258" s="311">
        <f>Bal!E258</f>
        <v>0</v>
      </c>
      <c r="I258" s="311">
        <f>Bal!F258</f>
        <v>0</v>
      </c>
      <c r="J258" s="311">
        <f>Bal!G258</f>
        <v>0</v>
      </c>
      <c r="K258" s="311">
        <f>Bal!H258</f>
        <v>0</v>
      </c>
      <c r="L258" s="311">
        <f>Bal!I258</f>
        <v>0</v>
      </c>
      <c r="M258" s="311">
        <f>Bal!J258</f>
        <v>0</v>
      </c>
      <c r="N258" s="311">
        <f>Bal!K258</f>
        <v>0</v>
      </c>
    </row>
    <row r="259" spans="2:14" ht="12.75" customHeight="1" x14ac:dyDescent="0.25">
      <c r="B259" s="134"/>
      <c r="D259" s="134" t="e">
        <f t="shared" si="3"/>
        <v>#N/A</v>
      </c>
      <c r="E259" s="310">
        <f>Bal!B259</f>
        <v>0</v>
      </c>
      <c r="F259" s="311">
        <f>Bal!C259</f>
        <v>0</v>
      </c>
      <c r="G259" s="311">
        <f>Bal!D259</f>
        <v>0</v>
      </c>
      <c r="H259" s="311">
        <f>Bal!E259</f>
        <v>0</v>
      </c>
      <c r="I259" s="311">
        <f>Bal!F259</f>
        <v>0</v>
      </c>
      <c r="J259" s="311">
        <f>Bal!G259</f>
        <v>0</v>
      </c>
      <c r="K259" s="311">
        <f>Bal!H259</f>
        <v>0</v>
      </c>
      <c r="L259" s="311">
        <f>Bal!I259</f>
        <v>0</v>
      </c>
      <c r="M259" s="311">
        <f>Bal!J259</f>
        <v>0</v>
      </c>
      <c r="N259" s="311">
        <f>Bal!K259</f>
        <v>0</v>
      </c>
    </row>
    <row r="260" spans="2:14" ht="12.75" customHeight="1" x14ac:dyDescent="0.25">
      <c r="B260" s="134"/>
      <c r="D260" s="134" t="e">
        <f t="shared" si="3"/>
        <v>#N/A</v>
      </c>
      <c r="E260" s="310">
        <f>Bal!B260</f>
        <v>0</v>
      </c>
      <c r="F260" s="311">
        <f>Bal!C260</f>
        <v>0</v>
      </c>
      <c r="G260" s="311">
        <f>Bal!D260</f>
        <v>0</v>
      </c>
      <c r="H260" s="311">
        <f>Bal!E260</f>
        <v>0</v>
      </c>
      <c r="I260" s="311">
        <f>Bal!F260</f>
        <v>0</v>
      </c>
      <c r="J260" s="311">
        <f>Bal!G260</f>
        <v>0</v>
      </c>
      <c r="K260" s="311">
        <f>Bal!H260</f>
        <v>0</v>
      </c>
      <c r="L260" s="311">
        <f>Bal!I260</f>
        <v>0</v>
      </c>
      <c r="M260" s="311">
        <f>Bal!J260</f>
        <v>0</v>
      </c>
      <c r="N260" s="311">
        <f>Bal!K260</f>
        <v>0</v>
      </c>
    </row>
    <row r="261" spans="2:14" ht="12.75" customHeight="1" x14ac:dyDescent="0.25">
      <c r="B261" s="134"/>
      <c r="D261" s="134" t="e">
        <f t="shared" si="3"/>
        <v>#N/A</v>
      </c>
      <c r="E261" s="310">
        <f>Bal!B261</f>
        <v>0</v>
      </c>
      <c r="F261" s="311">
        <f>Bal!C261</f>
        <v>0</v>
      </c>
      <c r="G261" s="311">
        <f>Bal!D261</f>
        <v>0</v>
      </c>
      <c r="H261" s="311">
        <f>Bal!E261</f>
        <v>0</v>
      </c>
      <c r="I261" s="311">
        <f>Bal!F261</f>
        <v>0</v>
      </c>
      <c r="J261" s="311">
        <f>Bal!G261</f>
        <v>0</v>
      </c>
      <c r="K261" s="311">
        <f>Bal!H261</f>
        <v>0</v>
      </c>
      <c r="L261" s="311">
        <f>Bal!I261</f>
        <v>0</v>
      </c>
      <c r="M261" s="311">
        <f>Bal!J261</f>
        <v>0</v>
      </c>
      <c r="N261" s="311">
        <f>Bal!K261</f>
        <v>0</v>
      </c>
    </row>
    <row r="262" spans="2:14" ht="12.75" customHeight="1" x14ac:dyDescent="0.25">
      <c r="B262" s="134"/>
      <c r="D262" s="134" t="e">
        <f t="shared" si="3"/>
        <v>#N/A</v>
      </c>
      <c r="E262" s="310">
        <f>Bal!B262</f>
        <v>0</v>
      </c>
      <c r="F262" s="311">
        <f>Bal!C262</f>
        <v>0</v>
      </c>
      <c r="G262" s="311">
        <f>Bal!D262</f>
        <v>0</v>
      </c>
      <c r="H262" s="311">
        <f>Bal!E262</f>
        <v>0</v>
      </c>
      <c r="I262" s="311">
        <f>Bal!F262</f>
        <v>0</v>
      </c>
      <c r="J262" s="311">
        <f>Bal!G262</f>
        <v>0</v>
      </c>
      <c r="K262" s="311">
        <f>Bal!H262</f>
        <v>0</v>
      </c>
      <c r="L262" s="311">
        <f>Bal!I262</f>
        <v>0</v>
      </c>
      <c r="M262" s="311">
        <f>Bal!J262</f>
        <v>0</v>
      </c>
      <c r="N262" s="311">
        <f>Bal!K262</f>
        <v>0</v>
      </c>
    </row>
    <row r="263" spans="2:14" ht="12.75" customHeight="1" x14ac:dyDescent="0.25">
      <c r="B263" s="80"/>
      <c r="D263" s="134" t="e">
        <f t="shared" si="3"/>
        <v>#N/A</v>
      </c>
      <c r="E263" s="310">
        <f>Bal!B263</f>
        <v>0</v>
      </c>
      <c r="F263" s="311">
        <f>Bal!C263</f>
        <v>0</v>
      </c>
      <c r="G263" s="311">
        <f>Bal!D263</f>
        <v>0</v>
      </c>
      <c r="H263" s="311">
        <f>Bal!E263</f>
        <v>0</v>
      </c>
      <c r="I263" s="311">
        <f>Bal!F263</f>
        <v>0</v>
      </c>
      <c r="J263" s="311">
        <f>Bal!G263</f>
        <v>0</v>
      </c>
      <c r="K263" s="311">
        <f>Bal!H263</f>
        <v>0</v>
      </c>
      <c r="L263" s="311">
        <f>Bal!I263</f>
        <v>0</v>
      </c>
      <c r="M263" s="311">
        <f>Bal!J263</f>
        <v>0</v>
      </c>
      <c r="N263" s="311">
        <f>Bal!K263</f>
        <v>0</v>
      </c>
    </row>
  </sheetData>
  <pageMargins left="0.78749999999999998" right="0.78749999999999998" top="1.05277777777778" bottom="1.05277777777778" header="0" footer="0"/>
  <pageSetup firstPageNumber="0" orientation="portrait" horizontalDpi="300" verticalDpi="300"/>
  <headerFooter>
    <oddHeader>&amp;C&amp;A</oddHeader>
    <oddFooter>&amp;CPágina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C5:J39"/>
  <sheetViews>
    <sheetView zoomScaleNormal="100" workbookViewId="0"/>
  </sheetViews>
  <sheetFormatPr baseColWidth="10" defaultColWidth="14.44140625" defaultRowHeight="13.2" x14ac:dyDescent="0.25"/>
  <cols>
    <col min="1" max="2" width="11.6640625" customWidth="1"/>
    <col min="3" max="3" width="22.33203125" customWidth="1"/>
    <col min="4" max="4" width="11.6640625" customWidth="1"/>
    <col min="5" max="9" width="11.33203125" customWidth="1"/>
    <col min="10" max="26" width="11.6640625" customWidth="1"/>
  </cols>
  <sheetData>
    <row r="5" spans="3:9" ht="12.75" customHeight="1" x14ac:dyDescent="0.25">
      <c r="C5" s="103" t="e">
        <f>#REF!</f>
        <v>#REF!</v>
      </c>
    </row>
    <row r="6" spans="3:9" ht="12.75" customHeight="1" x14ac:dyDescent="0.25">
      <c r="C6" s="147" t="s">
        <v>2714</v>
      </c>
      <c r="D6" s="80"/>
      <c r="E6" s="80"/>
      <c r="F6" s="80"/>
      <c r="G6" s="80"/>
      <c r="H6" s="80"/>
      <c r="I6" s="80"/>
    </row>
    <row r="8" spans="3:9" ht="12.75" customHeight="1" x14ac:dyDescent="0.25">
      <c r="E8" s="183" t="s">
        <v>2715</v>
      </c>
      <c r="F8" s="183" t="s">
        <v>2716</v>
      </c>
      <c r="G8" s="624" t="s">
        <v>2717</v>
      </c>
      <c r="H8" s="624"/>
      <c r="I8" s="624"/>
    </row>
    <row r="9" spans="3:9" ht="12.75" customHeight="1" x14ac:dyDescent="0.25">
      <c r="C9" s="103"/>
      <c r="E9" s="293">
        <v>2008</v>
      </c>
      <c r="F9" s="293">
        <v>2009</v>
      </c>
      <c r="G9" s="293">
        <v>2010</v>
      </c>
      <c r="H9" s="293">
        <v>2011</v>
      </c>
      <c r="I9" s="293">
        <v>2012</v>
      </c>
    </row>
    <row r="10" spans="3:9" ht="12.75" customHeight="1" x14ac:dyDescent="0.25">
      <c r="C10" s="103"/>
    </row>
    <row r="11" spans="3:9" ht="12.75" customHeight="1" x14ac:dyDescent="0.25">
      <c r="C11" s="103" t="s">
        <v>2718</v>
      </c>
      <c r="E11" s="142" t="e">
        <f>#REF!</f>
        <v>#REF!</v>
      </c>
      <c r="F11" s="142">
        <v>68184</v>
      </c>
      <c r="G11" s="142">
        <v>155186</v>
      </c>
      <c r="H11" s="142">
        <v>162946</v>
      </c>
      <c r="I11" s="142">
        <v>171093</v>
      </c>
    </row>
    <row r="12" spans="3:9" ht="12.75" customHeight="1" x14ac:dyDescent="0.25">
      <c r="C12" s="103" t="s">
        <v>2719</v>
      </c>
      <c r="E12" s="142" t="e">
        <f>#REF!+#REF!</f>
        <v>#REF!</v>
      </c>
      <c r="F12" s="142">
        <v>49774</v>
      </c>
      <c r="G12" s="142">
        <v>113286</v>
      </c>
      <c r="H12" s="142">
        <v>118950</v>
      </c>
      <c r="I12" s="142">
        <v>124897</v>
      </c>
    </row>
    <row r="13" spans="3:9" ht="12.75" customHeight="1" x14ac:dyDescent="0.25">
      <c r="C13" s="103"/>
      <c r="E13" s="142"/>
      <c r="F13" s="142"/>
      <c r="G13" s="142"/>
      <c r="H13" s="142"/>
      <c r="I13" s="142"/>
    </row>
    <row r="14" spans="3:9" ht="12.75" customHeight="1" x14ac:dyDescent="0.25">
      <c r="C14" s="103" t="s">
        <v>2720</v>
      </c>
      <c r="D14" s="103"/>
      <c r="E14" s="150" t="e">
        <f>E11-E12</f>
        <v>#REF!</v>
      </c>
      <c r="F14" s="150">
        <f>F11-F12</f>
        <v>18410</v>
      </c>
      <c r="G14" s="150">
        <f>G11-G12</f>
        <v>41900</v>
      </c>
      <c r="H14" s="150">
        <f>H11-H12</f>
        <v>43996</v>
      </c>
      <c r="I14" s="150">
        <f>I11-I12</f>
        <v>46196</v>
      </c>
    </row>
    <row r="15" spans="3:9" ht="12.75" customHeight="1" x14ac:dyDescent="0.25">
      <c r="C15" s="103"/>
      <c r="E15" s="314" t="e">
        <f>E14/E11</f>
        <v>#REF!</v>
      </c>
      <c r="F15" s="314">
        <f>F14/F11</f>
        <v>0.27000469318315146</v>
      </c>
      <c r="G15" s="314">
        <f>G14/G11</f>
        <v>0.26999858234634566</v>
      </c>
      <c r="H15" s="314">
        <f>H14/H11</f>
        <v>0.27000355946141669</v>
      </c>
      <c r="I15" s="314">
        <f>I14/I11</f>
        <v>0.27000520184928667</v>
      </c>
    </row>
    <row r="17" spans="3:9" ht="12.75" customHeight="1" x14ac:dyDescent="0.25">
      <c r="C17" s="103" t="s">
        <v>2721</v>
      </c>
      <c r="E17" s="142" t="e">
        <f>#REF!</f>
        <v>#REF!</v>
      </c>
      <c r="F17" s="142">
        <v>15682</v>
      </c>
      <c r="G17" s="142">
        <v>35693</v>
      </c>
      <c r="H17" s="142">
        <v>37478</v>
      </c>
      <c r="I17" s="142">
        <v>39352</v>
      </c>
    </row>
    <row r="18" spans="3:9" ht="12.75" customHeight="1" x14ac:dyDescent="0.25">
      <c r="C18" s="103"/>
      <c r="E18" s="142"/>
      <c r="F18" s="142"/>
      <c r="G18" s="142"/>
      <c r="H18" s="142"/>
      <c r="I18" s="142"/>
    </row>
    <row r="19" spans="3:9" ht="12.75" customHeight="1" x14ac:dyDescent="0.25">
      <c r="C19" s="103" t="s">
        <v>2722</v>
      </c>
      <c r="E19" s="150" t="e">
        <f>E14-E17</f>
        <v>#REF!</v>
      </c>
      <c r="F19" s="150">
        <f>F14-F17</f>
        <v>2728</v>
      </c>
      <c r="G19" s="150">
        <f>G14-G17</f>
        <v>6207</v>
      </c>
      <c r="H19" s="150">
        <f>H14-H17</f>
        <v>6518</v>
      </c>
      <c r="I19" s="150">
        <f>I14-I17</f>
        <v>6844</v>
      </c>
    </row>
    <row r="20" spans="3:9" ht="12.75" customHeight="1" x14ac:dyDescent="0.25">
      <c r="C20" s="103"/>
      <c r="E20" s="315" t="e">
        <f>E19/E11</f>
        <v>#REF!</v>
      </c>
      <c r="F20" s="315">
        <f>F19/F11</f>
        <v>4.0009386366302947E-2</v>
      </c>
      <c r="G20" s="315">
        <f>G19/G11</f>
        <v>3.999716469269135E-2</v>
      </c>
      <c r="H20" s="315">
        <f>H19/H11</f>
        <v>4.0000981920390803E-2</v>
      </c>
      <c r="I20" s="315">
        <f>I19/I11</f>
        <v>4.0001636536854228E-2</v>
      </c>
    </row>
    <row r="21" spans="3:9" ht="12.75" customHeight="1" x14ac:dyDescent="0.25">
      <c r="C21" s="103"/>
      <c r="E21" s="142"/>
      <c r="F21" s="142"/>
      <c r="G21" s="142"/>
      <c r="H21" s="142"/>
      <c r="I21" s="142"/>
    </row>
    <row r="22" spans="3:9" ht="12.75" customHeight="1" x14ac:dyDescent="0.25">
      <c r="C22" s="103" t="s">
        <v>2723</v>
      </c>
      <c r="E22" s="142" t="e">
        <f>#REF!</f>
        <v>#REF!</v>
      </c>
      <c r="F22" s="142">
        <v>651</v>
      </c>
      <c r="G22" s="142">
        <v>1617</v>
      </c>
      <c r="H22" s="142">
        <v>1107</v>
      </c>
      <c r="I22" s="142">
        <v>759</v>
      </c>
    </row>
    <row r="23" spans="3:9" ht="12.75" customHeight="1" x14ac:dyDescent="0.25">
      <c r="C23" s="103"/>
      <c r="E23" s="142"/>
      <c r="F23" s="142"/>
      <c r="G23" s="142"/>
      <c r="H23" s="142"/>
      <c r="I23" s="142"/>
    </row>
    <row r="24" spans="3:9" ht="12.75" customHeight="1" x14ac:dyDescent="0.25">
      <c r="C24" s="103" t="s">
        <v>2724</v>
      </c>
      <c r="E24" s="142" t="e">
        <f>#REF!</f>
        <v>#REF!</v>
      </c>
      <c r="F24" s="142">
        <v>0</v>
      </c>
      <c r="G24" s="142">
        <v>0</v>
      </c>
      <c r="H24" s="142">
        <v>0</v>
      </c>
      <c r="I24" s="142">
        <v>0</v>
      </c>
    </row>
    <row r="25" spans="3:9" ht="12.75" customHeight="1" x14ac:dyDescent="0.25">
      <c r="C25" s="103"/>
      <c r="E25" s="142"/>
      <c r="F25" s="142"/>
      <c r="G25" s="142"/>
      <c r="H25" s="142"/>
      <c r="I25" s="142"/>
    </row>
    <row r="26" spans="3:9" ht="12.75" customHeight="1" x14ac:dyDescent="0.25">
      <c r="C26" s="103" t="s">
        <v>2725</v>
      </c>
      <c r="E26" s="142" t="e">
        <f>#REF!</f>
        <v>#REF!</v>
      </c>
      <c r="F26" s="142">
        <v>312</v>
      </c>
      <c r="G26" s="142">
        <v>688</v>
      </c>
      <c r="H26" s="142">
        <v>812</v>
      </c>
      <c r="I26" s="142">
        <v>913</v>
      </c>
    </row>
    <row r="27" spans="3:9" ht="12.75" customHeight="1" x14ac:dyDescent="0.25">
      <c r="C27" s="103"/>
      <c r="E27" s="142"/>
      <c r="F27" s="142"/>
      <c r="G27" s="142"/>
      <c r="H27" s="142"/>
      <c r="I27" s="142"/>
    </row>
    <row r="28" spans="3:9" ht="12.75" customHeight="1" x14ac:dyDescent="0.25">
      <c r="C28" s="103" t="s">
        <v>2726</v>
      </c>
      <c r="D28" s="103"/>
      <c r="E28" s="150" t="e">
        <f>E19+E24-E22-E26</f>
        <v>#REF!</v>
      </c>
      <c r="F28" s="150">
        <f>F19+F24-F22-F26</f>
        <v>1765</v>
      </c>
      <c r="G28" s="150">
        <f>G19+G24-G22-G26</f>
        <v>3902</v>
      </c>
      <c r="H28" s="150">
        <f>H19+H24-H22-H26</f>
        <v>4599</v>
      </c>
      <c r="I28" s="150">
        <f>I19+I24-I22-I26</f>
        <v>5172</v>
      </c>
    </row>
    <row r="29" spans="3:9" ht="12.75" customHeight="1" x14ac:dyDescent="0.25">
      <c r="E29" s="315" t="e">
        <f>E28/E11</f>
        <v>#REF!</v>
      </c>
      <c r="F29" s="315">
        <f>F28/F11</f>
        <v>2.5885838319840433E-2</v>
      </c>
      <c r="G29" s="315">
        <f>G28/G11</f>
        <v>2.5144020723518873E-2</v>
      </c>
      <c r="H29" s="315">
        <f>H28/H11</f>
        <v>2.8224074233181545E-2</v>
      </c>
      <c r="I29" s="315">
        <f>I28/I11</f>
        <v>3.022917360733636E-2</v>
      </c>
    </row>
    <row r="33" spans="3:10" ht="12.75" customHeight="1" x14ac:dyDescent="0.25">
      <c r="C33" s="103" t="s">
        <v>2727</v>
      </c>
    </row>
    <row r="35" spans="3:10" ht="12.75" customHeight="1" x14ac:dyDescent="0.25">
      <c r="C35" t="s">
        <v>2728</v>
      </c>
    </row>
    <row r="36" spans="3:10" ht="12.75" customHeight="1" x14ac:dyDescent="0.25">
      <c r="C36" s="641" t="s">
        <v>2729</v>
      </c>
      <c r="D36" s="641"/>
      <c r="E36" s="641"/>
      <c r="F36" s="641"/>
      <c r="G36" s="641"/>
      <c r="H36" s="641"/>
      <c r="I36" s="641"/>
      <c r="J36" s="641"/>
    </row>
    <row r="37" spans="3:10" ht="12.75" customHeight="1" x14ac:dyDescent="0.25">
      <c r="C37" t="s">
        <v>2730</v>
      </c>
    </row>
    <row r="38" spans="3:10" ht="12.75" customHeight="1" x14ac:dyDescent="0.25">
      <c r="C38" t="s">
        <v>2731</v>
      </c>
    </row>
    <row r="39" spans="3:10" ht="12.75" customHeight="1" x14ac:dyDescent="0.25">
      <c r="C39" t="s">
        <v>2732</v>
      </c>
    </row>
  </sheetData>
  <mergeCells count="2">
    <mergeCell ref="G8:I8"/>
    <mergeCell ref="C36:J36"/>
  </mergeCells>
  <pageMargins left="0.78749999999999998" right="0.78749999999999998" top="0.78749999999999998" bottom="0.78749999999999998"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C5:L66"/>
  <sheetViews>
    <sheetView zoomScaleNormal="100" workbookViewId="0"/>
  </sheetViews>
  <sheetFormatPr baseColWidth="10" defaultColWidth="14.44140625" defaultRowHeight="13.2" x14ac:dyDescent="0.25"/>
  <cols>
    <col min="1" max="2" width="11.6640625" customWidth="1"/>
    <col min="3" max="3" width="22.33203125" customWidth="1"/>
    <col min="4" max="4" width="11.6640625" customWidth="1"/>
    <col min="5" max="5" width="3.33203125" customWidth="1"/>
    <col min="6" max="9" width="11.33203125" customWidth="1"/>
    <col min="10" max="26" width="11.6640625" customWidth="1"/>
  </cols>
  <sheetData>
    <row r="5" spans="3:12" ht="12.75" customHeight="1" x14ac:dyDescent="0.25">
      <c r="C5" s="103" t="e">
        <f>#REF!</f>
        <v>#REF!</v>
      </c>
    </row>
    <row r="6" spans="3:12" ht="12.75" customHeight="1" x14ac:dyDescent="0.25">
      <c r="C6" s="147" t="s">
        <v>2733</v>
      </c>
      <c r="D6" s="80"/>
      <c r="E6" s="80"/>
      <c r="F6" s="80"/>
      <c r="G6" s="80"/>
      <c r="H6" s="80"/>
      <c r="I6" s="80"/>
      <c r="J6" s="80"/>
      <c r="K6" s="80"/>
      <c r="L6" s="80"/>
    </row>
    <row r="8" spans="3:12" ht="12.75" customHeight="1" x14ac:dyDescent="0.25">
      <c r="F8" s="183" t="s">
        <v>2715</v>
      </c>
      <c r="G8" s="183" t="s">
        <v>2716</v>
      </c>
      <c r="H8" s="624" t="s">
        <v>2717</v>
      </c>
      <c r="I8" s="624"/>
      <c r="J8" s="624"/>
      <c r="K8" s="624"/>
      <c r="L8" s="624"/>
    </row>
    <row r="9" spans="3:12" ht="12.75" customHeight="1" x14ac:dyDescent="0.25">
      <c r="C9" s="103"/>
      <c r="F9" s="293">
        <v>2008</v>
      </c>
      <c r="G9" s="293">
        <v>2009</v>
      </c>
      <c r="H9" s="293">
        <v>2010</v>
      </c>
      <c r="I9" s="293">
        <v>2011</v>
      </c>
      <c r="J9" s="293">
        <v>2012</v>
      </c>
      <c r="K9" s="293">
        <v>2013</v>
      </c>
      <c r="L9" s="293">
        <v>2014</v>
      </c>
    </row>
    <row r="10" spans="3:12" ht="12.75" customHeight="1" x14ac:dyDescent="0.25">
      <c r="C10" s="103"/>
    </row>
    <row r="11" spans="3:12" ht="12.75" customHeight="1" x14ac:dyDescent="0.25">
      <c r="C11" s="103" t="s">
        <v>2718</v>
      </c>
      <c r="F11" s="142" t="e">
        <f>#REF!</f>
        <v>#REF!</v>
      </c>
      <c r="G11" s="142">
        <f>138845+161898+10337</f>
        <v>311080</v>
      </c>
      <c r="H11" s="142">
        <f>138737+474028+11493</f>
        <v>624258</v>
      </c>
      <c r="I11" s="142">
        <f>141511+565143+11953</f>
        <v>718607</v>
      </c>
      <c r="J11" s="142">
        <f>144342+565143+12431</f>
        <v>721916</v>
      </c>
      <c r="K11" s="142">
        <f>147228+565143+12928</f>
        <v>725299</v>
      </c>
      <c r="L11" s="142">
        <f>150173+565143+13445</f>
        <v>728761</v>
      </c>
    </row>
    <row r="12" spans="3:12" ht="12.75" customHeight="1" x14ac:dyDescent="0.25">
      <c r="C12" s="103" t="s">
        <v>2719</v>
      </c>
      <c r="F12" s="142" t="e">
        <f>#REF!+#REF!</f>
        <v>#REF!</v>
      </c>
      <c r="G12" s="142">
        <f>91476+133009+8123</f>
        <v>232608</v>
      </c>
      <c r="H12" s="142">
        <f>91258+288879+9171</f>
        <v>389308</v>
      </c>
      <c r="I12" s="142">
        <f>93084+343687+9538</f>
        <v>446309</v>
      </c>
      <c r="J12" s="142">
        <f>94945+343687+9920</f>
        <v>448552</v>
      </c>
      <c r="K12" s="142">
        <f>96844+343687+10317</f>
        <v>450848</v>
      </c>
      <c r="L12" s="142">
        <f>98781+343687+10729</f>
        <v>453197</v>
      </c>
    </row>
    <row r="13" spans="3:12" ht="10.5" customHeight="1" x14ac:dyDescent="0.25">
      <c r="C13" s="103"/>
      <c r="F13" s="314" t="e">
        <f t="shared" ref="F13:L13" si="0">F12/F11</f>
        <v>#REF!</v>
      </c>
      <c r="G13" s="314">
        <f t="shared" si="0"/>
        <v>0.74774334576314772</v>
      </c>
      <c r="H13" s="314">
        <f t="shared" si="0"/>
        <v>0.6236331773081002</v>
      </c>
      <c r="I13" s="314">
        <f t="shared" si="0"/>
        <v>0.62107521913925134</v>
      </c>
      <c r="J13" s="314">
        <f t="shared" si="0"/>
        <v>0.62133544622920123</v>
      </c>
      <c r="K13" s="314">
        <f t="shared" si="0"/>
        <v>0.6216029527132948</v>
      </c>
      <c r="L13" s="314">
        <f t="shared" si="0"/>
        <v>0.62187328904812411</v>
      </c>
    </row>
    <row r="14" spans="3:12" ht="7.5" customHeight="1" x14ac:dyDescent="0.25">
      <c r="C14" s="103"/>
      <c r="F14" s="314"/>
      <c r="G14" s="314"/>
      <c r="H14" s="314"/>
      <c r="I14" s="314"/>
      <c r="J14" s="314"/>
      <c r="K14" s="314"/>
      <c r="L14" s="314"/>
    </row>
    <row r="15" spans="3:12" ht="12.75" customHeight="1" x14ac:dyDescent="0.25">
      <c r="C15" s="103" t="s">
        <v>2720</v>
      </c>
      <c r="D15" s="103"/>
      <c r="F15" s="150" t="e">
        <f t="shared" ref="F15:L15" si="1">F11-F12</f>
        <v>#REF!</v>
      </c>
      <c r="G15" s="150">
        <f t="shared" si="1"/>
        <v>78472</v>
      </c>
      <c r="H15" s="150">
        <f t="shared" si="1"/>
        <v>234950</v>
      </c>
      <c r="I15" s="150">
        <f t="shared" si="1"/>
        <v>272298</v>
      </c>
      <c r="J15" s="150">
        <f t="shared" si="1"/>
        <v>273364</v>
      </c>
      <c r="K15" s="150">
        <f t="shared" si="1"/>
        <v>274451</v>
      </c>
      <c r="L15" s="150">
        <f t="shared" si="1"/>
        <v>275564</v>
      </c>
    </row>
    <row r="16" spans="3:12" ht="9.75" customHeight="1" x14ac:dyDescent="0.25">
      <c r="C16" s="103"/>
      <c r="F16" s="314" t="e">
        <f t="shared" ref="F16:L16" si="2">F15/F11</f>
        <v>#REF!</v>
      </c>
      <c r="G16" s="314">
        <f t="shared" si="2"/>
        <v>0.25225665423685223</v>
      </c>
      <c r="H16" s="314">
        <f t="shared" si="2"/>
        <v>0.3763668226918998</v>
      </c>
      <c r="I16" s="314">
        <f t="shared" si="2"/>
        <v>0.37892478086074866</v>
      </c>
      <c r="J16" s="314">
        <f t="shared" si="2"/>
        <v>0.37866455377079883</v>
      </c>
      <c r="K16" s="314">
        <f t="shared" si="2"/>
        <v>0.3783970472867052</v>
      </c>
      <c r="L16" s="314">
        <f t="shared" si="2"/>
        <v>0.37812671095187583</v>
      </c>
    </row>
    <row r="18" spans="3:12" ht="12.75" customHeight="1" x14ac:dyDescent="0.25">
      <c r="C18" s="103" t="s">
        <v>2721</v>
      </c>
      <c r="F18" s="142" t="e">
        <f>#REF!</f>
        <v>#REF!</v>
      </c>
      <c r="G18" s="142">
        <f>11636+8063+6801+3397</f>
        <v>29897</v>
      </c>
      <c r="H18" s="142">
        <f>12287+9543+3397</f>
        <v>25227</v>
      </c>
      <c r="I18" s="142">
        <f>12778+9925+3533</f>
        <v>26236</v>
      </c>
      <c r="J18" s="142">
        <f>13289+10322+3674</f>
        <v>27285</v>
      </c>
      <c r="K18" s="142">
        <f>13821+10735+3820</f>
        <v>28376</v>
      </c>
      <c r="L18" s="142">
        <f>14374+11165</f>
        <v>25539</v>
      </c>
    </row>
    <row r="19" spans="3:12" ht="7.5" customHeight="1" x14ac:dyDescent="0.25">
      <c r="C19" s="103"/>
      <c r="F19" s="142"/>
      <c r="G19" s="142"/>
      <c r="H19" s="142"/>
      <c r="I19" s="142"/>
      <c r="J19" s="142"/>
      <c r="K19" s="142"/>
      <c r="L19" s="142"/>
    </row>
    <row r="20" spans="3:12" ht="12.75" customHeight="1" x14ac:dyDescent="0.25">
      <c r="C20" s="103" t="s">
        <v>2722</v>
      </c>
      <c r="F20" s="150" t="e">
        <f t="shared" ref="F20:L20" si="3">F15-F18</f>
        <v>#REF!</v>
      </c>
      <c r="G20" s="150">
        <f t="shared" si="3"/>
        <v>48575</v>
      </c>
      <c r="H20" s="150">
        <f t="shared" si="3"/>
        <v>209723</v>
      </c>
      <c r="I20" s="150">
        <f t="shared" si="3"/>
        <v>246062</v>
      </c>
      <c r="J20" s="150">
        <f t="shared" si="3"/>
        <v>246079</v>
      </c>
      <c r="K20" s="150">
        <f t="shared" si="3"/>
        <v>246075</v>
      </c>
      <c r="L20" s="150">
        <f t="shared" si="3"/>
        <v>250025</v>
      </c>
    </row>
    <row r="21" spans="3:12" ht="8.25" customHeight="1" x14ac:dyDescent="0.25">
      <c r="C21" s="103"/>
      <c r="F21" s="315" t="e">
        <f t="shared" ref="F21:L21" si="4">F20/F11</f>
        <v>#REF!</v>
      </c>
      <c r="G21" s="315">
        <f t="shared" si="4"/>
        <v>0.15614954352578114</v>
      </c>
      <c r="H21" s="315">
        <f t="shared" si="4"/>
        <v>0.33595564654357651</v>
      </c>
      <c r="I21" s="315">
        <f t="shared" si="4"/>
        <v>0.34241525618314322</v>
      </c>
      <c r="J21" s="315">
        <f t="shared" si="4"/>
        <v>0.34086929781304198</v>
      </c>
      <c r="K21" s="315">
        <f t="shared" si="4"/>
        <v>0.33927387187904573</v>
      </c>
      <c r="L21" s="315">
        <f t="shared" si="4"/>
        <v>0.3430822999584226</v>
      </c>
    </row>
    <row r="22" spans="3:12" ht="7.5" customHeight="1" x14ac:dyDescent="0.25">
      <c r="C22" s="103"/>
      <c r="F22" s="142"/>
      <c r="G22" s="142"/>
      <c r="H22" s="142"/>
      <c r="I22" s="142"/>
      <c r="J22" s="142"/>
      <c r="K22" s="142"/>
      <c r="L22" s="142"/>
    </row>
    <row r="23" spans="3:12" ht="12.75" customHeight="1" x14ac:dyDescent="0.25">
      <c r="C23" s="103" t="s">
        <v>2723</v>
      </c>
      <c r="F23" s="142" t="e">
        <f>#REF!</f>
        <v>#REF!</v>
      </c>
      <c r="G23" s="142">
        <v>7209</v>
      </c>
      <c r="H23" s="142">
        <v>3257</v>
      </c>
      <c r="I23" s="142">
        <v>3387</v>
      </c>
      <c r="J23" s="142">
        <v>3522</v>
      </c>
      <c r="K23" s="142">
        <v>3663</v>
      </c>
      <c r="L23" s="142">
        <v>3810</v>
      </c>
    </row>
    <row r="24" spans="3:12" ht="8.25" customHeight="1" x14ac:dyDescent="0.25">
      <c r="C24" s="103"/>
      <c r="F24" s="142"/>
      <c r="G24" s="142"/>
      <c r="H24" s="142"/>
      <c r="I24" s="142"/>
      <c r="J24" s="142"/>
      <c r="K24" s="142"/>
      <c r="L24" s="142"/>
    </row>
    <row r="25" spans="3:12" ht="12.75" customHeight="1" x14ac:dyDescent="0.25">
      <c r="C25" s="103" t="s">
        <v>2724</v>
      </c>
      <c r="F25" s="142" t="e">
        <f>#REF!</f>
        <v>#REF!</v>
      </c>
      <c r="G25" s="142">
        <v>1964</v>
      </c>
      <c r="H25" s="142">
        <v>2679</v>
      </c>
      <c r="I25" s="142">
        <v>2786</v>
      </c>
      <c r="J25" s="142">
        <v>0</v>
      </c>
      <c r="K25" s="142">
        <v>0</v>
      </c>
      <c r="L25" s="142">
        <v>0</v>
      </c>
    </row>
    <row r="26" spans="3:12" ht="9" customHeight="1" x14ac:dyDescent="0.25">
      <c r="C26" s="103"/>
      <c r="F26" s="142"/>
      <c r="G26" s="142"/>
      <c r="H26" s="142"/>
      <c r="I26" s="142"/>
      <c r="J26" s="142"/>
      <c r="K26" s="142"/>
      <c r="L26" s="142"/>
    </row>
    <row r="27" spans="3:12" ht="12.75" customHeight="1" x14ac:dyDescent="0.25">
      <c r="C27" s="103" t="s">
        <v>2725</v>
      </c>
      <c r="F27" s="142" t="e">
        <f>#REF!</f>
        <v>#REF!</v>
      </c>
      <c r="G27" s="142">
        <v>0</v>
      </c>
      <c r="H27" s="142">
        <v>0</v>
      </c>
      <c r="I27" s="142">
        <v>0</v>
      </c>
      <c r="J27" s="142">
        <v>0</v>
      </c>
      <c r="K27" s="142">
        <v>0</v>
      </c>
      <c r="L27" s="142">
        <v>0</v>
      </c>
    </row>
    <row r="28" spans="3:12" ht="7.5" customHeight="1" x14ac:dyDescent="0.25">
      <c r="C28" s="103"/>
      <c r="F28" s="142"/>
      <c r="G28" s="142"/>
      <c r="H28" s="142"/>
      <c r="I28" s="142"/>
      <c r="J28" s="142"/>
      <c r="K28" s="142"/>
      <c r="L28" s="142"/>
    </row>
    <row r="29" spans="3:12" ht="12.75" customHeight="1" x14ac:dyDescent="0.25">
      <c r="C29" s="103" t="s">
        <v>2726</v>
      </c>
      <c r="D29" s="103"/>
      <c r="F29" s="150" t="e">
        <f t="shared" ref="F29:L29" si="5">F20+F25-F23-F27</f>
        <v>#REF!</v>
      </c>
      <c r="G29" s="150">
        <f t="shared" si="5"/>
        <v>43330</v>
      </c>
      <c r="H29" s="150">
        <f t="shared" si="5"/>
        <v>209145</v>
      </c>
      <c r="I29" s="150">
        <f t="shared" si="5"/>
        <v>245461</v>
      </c>
      <c r="J29" s="150">
        <f t="shared" si="5"/>
        <v>242557</v>
      </c>
      <c r="K29" s="150">
        <f t="shared" si="5"/>
        <v>242412</v>
      </c>
      <c r="L29" s="150">
        <f t="shared" si="5"/>
        <v>246215</v>
      </c>
    </row>
    <row r="30" spans="3:12" ht="9.75" customHeight="1" x14ac:dyDescent="0.25">
      <c r="F30" s="315" t="e">
        <f t="shared" ref="F30:L30" si="6">F29/F11</f>
        <v>#REF!</v>
      </c>
      <c r="G30" s="315">
        <f t="shared" si="6"/>
        <v>0.1392889288928893</v>
      </c>
      <c r="H30" s="315">
        <f t="shared" si="6"/>
        <v>0.33502974731601359</v>
      </c>
      <c r="I30" s="315">
        <f t="shared" si="6"/>
        <v>0.34157891587474098</v>
      </c>
      <c r="J30" s="315">
        <f t="shared" si="6"/>
        <v>0.3359906138664332</v>
      </c>
      <c r="K30" s="315">
        <f t="shared" si="6"/>
        <v>0.33422354091209283</v>
      </c>
      <c r="L30" s="315">
        <f t="shared" si="6"/>
        <v>0.33785424851220086</v>
      </c>
    </row>
    <row r="31" spans="3:12" ht="12.75" customHeight="1" x14ac:dyDescent="0.25"/>
    <row r="32" spans="3:12" ht="12.75" customHeight="1" x14ac:dyDescent="0.25">
      <c r="C32" s="74" t="s">
        <v>2734</v>
      </c>
      <c r="D32" s="143" t="e">
        <f>#REF!</f>
        <v>#REF!</v>
      </c>
      <c r="E32" s="143" t="e">
        <f>#REF!</f>
        <v>#REF!</v>
      </c>
      <c r="F32" s="143" t="e">
        <f t="shared" ref="F32:L32" si="7">F11/360*$E$32</f>
        <v>#REF!</v>
      </c>
      <c r="G32" s="143" t="e">
        <f t="shared" si="7"/>
        <v>#REF!</v>
      </c>
      <c r="H32" s="143" t="e">
        <f t="shared" si="7"/>
        <v>#REF!</v>
      </c>
      <c r="I32" s="143" t="e">
        <f t="shared" si="7"/>
        <v>#REF!</v>
      </c>
      <c r="J32" s="143" t="e">
        <f t="shared" si="7"/>
        <v>#REF!</v>
      </c>
      <c r="K32" s="143" t="e">
        <f t="shared" si="7"/>
        <v>#REF!</v>
      </c>
      <c r="L32" s="316" t="e">
        <f t="shared" si="7"/>
        <v>#REF!</v>
      </c>
    </row>
    <row r="33" spans="3:12" ht="12.75" customHeight="1" x14ac:dyDescent="0.25">
      <c r="C33" s="144" t="s">
        <v>2735</v>
      </c>
      <c r="D33" s="142" t="e">
        <f>#REF!</f>
        <v>#REF!</v>
      </c>
      <c r="E33" s="142" t="e">
        <f>#REF!</f>
        <v>#REF!</v>
      </c>
      <c r="F33" s="142" t="e">
        <f t="shared" ref="F33:L33" si="8">F12/360*$E$33</f>
        <v>#REF!</v>
      </c>
      <c r="G33" s="142" t="e">
        <f t="shared" si="8"/>
        <v>#REF!</v>
      </c>
      <c r="H33" s="142" t="e">
        <f t="shared" si="8"/>
        <v>#REF!</v>
      </c>
      <c r="I33" s="142" t="e">
        <f t="shared" si="8"/>
        <v>#REF!</v>
      </c>
      <c r="J33" s="142" t="e">
        <f t="shared" si="8"/>
        <v>#REF!</v>
      </c>
      <c r="K33" s="142" t="e">
        <f t="shared" si="8"/>
        <v>#REF!</v>
      </c>
      <c r="L33" s="317" t="e">
        <f t="shared" si="8"/>
        <v>#REF!</v>
      </c>
    </row>
    <row r="34" spans="3:12" ht="12.75" customHeight="1" x14ac:dyDescent="0.25">
      <c r="C34" s="157" t="s">
        <v>2736</v>
      </c>
      <c r="D34" s="148" t="e">
        <f>#REF!</f>
        <v>#REF!</v>
      </c>
      <c r="E34" s="148" t="e">
        <f>#REF!</f>
        <v>#REF!</v>
      </c>
      <c r="F34" s="148" t="e">
        <f t="shared" ref="F34:L34" si="9">F12/360*$E$34</f>
        <v>#REF!</v>
      </c>
      <c r="G34" s="148" t="e">
        <f t="shared" si="9"/>
        <v>#REF!</v>
      </c>
      <c r="H34" s="148" t="e">
        <f t="shared" si="9"/>
        <v>#REF!</v>
      </c>
      <c r="I34" s="148" t="e">
        <f t="shared" si="9"/>
        <v>#REF!</v>
      </c>
      <c r="J34" s="148" t="e">
        <f t="shared" si="9"/>
        <v>#REF!</v>
      </c>
      <c r="K34" s="148" t="e">
        <f t="shared" si="9"/>
        <v>#REF!</v>
      </c>
      <c r="L34" s="318" t="e">
        <f t="shared" si="9"/>
        <v>#REF!</v>
      </c>
    </row>
    <row r="35" spans="3:12" ht="12.75" customHeight="1" x14ac:dyDescent="0.25">
      <c r="C35" s="134"/>
      <c r="D35" s="142"/>
      <c r="E35" s="142"/>
      <c r="F35" s="142"/>
      <c r="G35" s="142"/>
      <c r="H35" s="142"/>
      <c r="I35" s="142"/>
      <c r="J35" s="142"/>
      <c r="K35" s="142"/>
      <c r="L35" s="142"/>
    </row>
    <row r="36" spans="3:12" ht="12.75" customHeight="1" x14ac:dyDescent="0.25">
      <c r="C36" s="103" t="s">
        <v>2723</v>
      </c>
      <c r="H36" s="180">
        <v>2010</v>
      </c>
      <c r="I36" s="180">
        <v>2011</v>
      </c>
      <c r="J36" s="180">
        <v>2012</v>
      </c>
      <c r="K36" s="180">
        <v>2013</v>
      </c>
      <c r="L36" s="180">
        <v>2014</v>
      </c>
    </row>
    <row r="37" spans="3:12" ht="12.75" customHeight="1" x14ac:dyDescent="0.25">
      <c r="C37" t="s">
        <v>2737</v>
      </c>
      <c r="D37" s="142">
        <v>120</v>
      </c>
      <c r="H37" s="142">
        <v>0</v>
      </c>
      <c r="I37" s="142">
        <v>0</v>
      </c>
      <c r="J37" s="142">
        <v>0</v>
      </c>
      <c r="K37" s="142">
        <v>0</v>
      </c>
      <c r="L37" s="142">
        <v>0</v>
      </c>
    </row>
    <row r="38" spans="3:12" ht="12.75" customHeight="1" x14ac:dyDescent="0.25">
      <c r="C38" t="s">
        <v>2738</v>
      </c>
      <c r="D38" s="142">
        <v>12800</v>
      </c>
      <c r="H38" s="142">
        <f>1280-190</f>
        <v>1090</v>
      </c>
      <c r="I38" s="142">
        <v>1280</v>
      </c>
      <c r="J38" s="142">
        <v>1280</v>
      </c>
      <c r="K38" s="142">
        <v>1280</v>
      </c>
      <c r="L38" s="142">
        <v>1280</v>
      </c>
    </row>
    <row r="39" spans="3:12" ht="12.75" customHeight="1" x14ac:dyDescent="0.25">
      <c r="C39" t="s">
        <v>2739</v>
      </c>
      <c r="D39" s="142">
        <v>4864</v>
      </c>
      <c r="H39" s="142">
        <v>486.4</v>
      </c>
      <c r="I39" s="142">
        <v>243.2</v>
      </c>
      <c r="J39" s="142"/>
      <c r="K39" s="142"/>
      <c r="L39" s="142"/>
    </row>
    <row r="40" spans="3:12" ht="12.75" customHeight="1" x14ac:dyDescent="0.25">
      <c r="C40" t="s">
        <v>2740</v>
      </c>
      <c r="D40" s="142">
        <v>7000</v>
      </c>
      <c r="H40" s="142">
        <v>700</v>
      </c>
      <c r="I40" s="142">
        <v>700</v>
      </c>
      <c r="J40" s="142">
        <v>700</v>
      </c>
      <c r="K40" s="142"/>
      <c r="L40" s="142"/>
    </row>
    <row r="41" spans="3:12" ht="12.75" customHeight="1" x14ac:dyDescent="0.25">
      <c r="C41" t="s">
        <v>2741</v>
      </c>
      <c r="D41" s="142">
        <v>8000</v>
      </c>
      <c r="H41" s="142">
        <v>726.66666666666697</v>
      </c>
      <c r="I41" s="142">
        <v>566.66666666666697</v>
      </c>
      <c r="J41" s="142">
        <v>406.66666666666703</v>
      </c>
      <c r="K41" s="142">
        <v>246.666666666667</v>
      </c>
      <c r="L41" s="142">
        <v>86.666666666667396</v>
      </c>
    </row>
    <row r="42" spans="3:12" ht="12.75" customHeight="1" x14ac:dyDescent="0.25">
      <c r="C42" t="s">
        <v>2742</v>
      </c>
      <c r="D42" s="142">
        <v>3000</v>
      </c>
      <c r="H42" s="142">
        <v>254.166666666667</v>
      </c>
      <c r="I42" s="142">
        <v>154.166666666667</v>
      </c>
      <c r="J42" s="142">
        <v>54.1666666666666</v>
      </c>
      <c r="K42" s="142"/>
      <c r="L42" s="142"/>
    </row>
    <row r="43" spans="3:12" ht="12.75" customHeight="1" x14ac:dyDescent="0.25">
      <c r="C43" t="s">
        <v>2724</v>
      </c>
      <c r="D43" s="142"/>
      <c r="H43" s="142"/>
      <c r="I43" s="142">
        <v>443</v>
      </c>
      <c r="J43" s="142">
        <v>1081</v>
      </c>
      <c r="K43" s="142">
        <v>2136</v>
      </c>
      <c r="L43" s="142">
        <v>2443</v>
      </c>
    </row>
    <row r="44" spans="3:12" ht="12.75" customHeight="1" x14ac:dyDescent="0.25">
      <c r="D44" s="142"/>
      <c r="H44" s="142"/>
      <c r="I44" s="142"/>
      <c r="J44" s="142"/>
      <c r="K44" s="142"/>
      <c r="L44" s="142"/>
    </row>
    <row r="45" spans="3:12" ht="12.75" customHeight="1" x14ac:dyDescent="0.25">
      <c r="D45" s="142"/>
      <c r="H45" s="142"/>
      <c r="I45" s="142"/>
      <c r="J45" s="142"/>
      <c r="K45" s="142"/>
      <c r="L45" s="142"/>
    </row>
    <row r="46" spans="3:12" ht="12.75" customHeight="1" x14ac:dyDescent="0.25">
      <c r="H46" s="142"/>
      <c r="I46" s="142"/>
      <c r="J46" s="142"/>
      <c r="K46" s="142"/>
      <c r="L46" s="142"/>
    </row>
    <row r="47" spans="3:12" ht="12.75" customHeight="1" x14ac:dyDescent="0.25">
      <c r="C47" s="319" t="s">
        <v>2743</v>
      </c>
      <c r="D47" s="320">
        <f>SUM(D37:D46)</f>
        <v>35784</v>
      </c>
      <c r="E47" s="321"/>
      <c r="F47" s="321"/>
      <c r="G47" s="321"/>
      <c r="H47" s="320">
        <f>SUM(H37:H46)</f>
        <v>3257.233333333334</v>
      </c>
      <c r="I47" s="320">
        <f>SUM(I37:I46)</f>
        <v>3387.0333333333338</v>
      </c>
      <c r="J47" s="320">
        <f>SUM(J37:J46)</f>
        <v>3521.8333333333335</v>
      </c>
      <c r="K47" s="320">
        <f>SUM(K37:K46)</f>
        <v>3662.666666666667</v>
      </c>
      <c r="L47" s="320">
        <f>SUM(L37:L46)</f>
        <v>3809.6666666666674</v>
      </c>
    </row>
    <row r="49" spans="3:12" ht="12.75" customHeight="1" x14ac:dyDescent="0.25">
      <c r="C49" s="103" t="s">
        <v>2744</v>
      </c>
    </row>
    <row r="50" spans="3:12" ht="12.75" customHeight="1" x14ac:dyDescent="0.25">
      <c r="C50" t="str">
        <f t="shared" ref="C50:D55" si="10">C37</f>
        <v>HSBC</v>
      </c>
      <c r="D50" s="142">
        <f t="shared" si="10"/>
        <v>120</v>
      </c>
      <c r="E50" s="142"/>
      <c r="F50" s="142"/>
      <c r="G50" s="142"/>
      <c r="H50" s="142">
        <v>120</v>
      </c>
      <c r="I50" s="142"/>
      <c r="J50" s="142"/>
      <c r="K50" s="142"/>
      <c r="L50" s="142"/>
    </row>
    <row r="51" spans="3:12" ht="12.75" customHeight="1" x14ac:dyDescent="0.25">
      <c r="C51" t="str">
        <f t="shared" si="10"/>
        <v>Frost Bank (ACCC)</v>
      </c>
      <c r="D51" s="142">
        <f t="shared" si="10"/>
        <v>12800</v>
      </c>
      <c r="E51" s="142"/>
      <c r="F51" s="142"/>
      <c r="G51" s="142"/>
      <c r="H51" s="142">
        <v>0</v>
      </c>
      <c r="I51" s="142"/>
      <c r="J51" s="142"/>
      <c r="K51" s="142"/>
      <c r="L51" s="142"/>
    </row>
    <row r="52" spans="3:12" ht="12.75" customHeight="1" x14ac:dyDescent="0.25">
      <c r="C52" t="str">
        <f t="shared" si="10"/>
        <v>SAT</v>
      </c>
      <c r="D52" s="142">
        <f t="shared" si="10"/>
        <v>4864</v>
      </c>
      <c r="E52" s="142"/>
      <c r="F52" s="142"/>
      <c r="G52" s="142"/>
      <c r="H52" s="142">
        <v>4864</v>
      </c>
      <c r="I52" s="142">
        <v>0</v>
      </c>
      <c r="J52" s="142"/>
      <c r="K52" s="142"/>
      <c r="L52" s="142"/>
    </row>
    <row r="53" spans="3:12" ht="12.75" customHeight="1" x14ac:dyDescent="0.25">
      <c r="C53" t="str">
        <f t="shared" si="10"/>
        <v>Banregio ACCC</v>
      </c>
      <c r="D53" s="142">
        <f t="shared" si="10"/>
        <v>7000</v>
      </c>
      <c r="E53" s="142"/>
      <c r="F53" s="142"/>
      <c r="G53" s="142"/>
      <c r="H53" s="142">
        <v>0</v>
      </c>
      <c r="I53" s="142">
        <v>0</v>
      </c>
      <c r="J53" s="142">
        <v>0</v>
      </c>
      <c r="K53" s="142"/>
      <c r="L53" s="142"/>
    </row>
    <row r="54" spans="3:12" ht="12.75" customHeight="1" x14ac:dyDescent="0.25">
      <c r="C54" t="str">
        <f t="shared" si="10"/>
        <v>Banregio ACS</v>
      </c>
      <c r="D54" s="142">
        <f t="shared" si="10"/>
        <v>8000</v>
      </c>
      <c r="E54" s="142"/>
      <c r="F54" s="142"/>
      <c r="G54" s="142"/>
      <c r="H54" s="142">
        <v>1600</v>
      </c>
      <c r="I54" s="142">
        <v>1600</v>
      </c>
      <c r="J54" s="142">
        <v>1600</v>
      </c>
      <c r="K54" s="142">
        <v>1600</v>
      </c>
      <c r="L54" s="142">
        <v>1600</v>
      </c>
    </row>
    <row r="55" spans="3:12" ht="12.75" customHeight="1" x14ac:dyDescent="0.25">
      <c r="C55" t="str">
        <f t="shared" si="10"/>
        <v>Banregio AF</v>
      </c>
      <c r="D55" s="142">
        <f t="shared" si="10"/>
        <v>3000</v>
      </c>
      <c r="E55" s="142"/>
      <c r="F55" s="142"/>
      <c r="G55" s="142"/>
      <c r="H55" s="142">
        <v>1000</v>
      </c>
      <c r="I55" s="142">
        <v>1000</v>
      </c>
      <c r="J55" s="142">
        <v>1000</v>
      </c>
      <c r="K55" s="142"/>
      <c r="L55" s="142"/>
    </row>
    <row r="56" spans="3:12" ht="12.75" customHeight="1" x14ac:dyDescent="0.25">
      <c r="C56" t="s">
        <v>2745</v>
      </c>
      <c r="D56" s="142"/>
      <c r="E56" s="142"/>
      <c r="F56" s="142"/>
      <c r="G56" s="142"/>
      <c r="H56" s="142"/>
      <c r="I56" s="142"/>
      <c r="J56" s="142"/>
      <c r="K56" s="142"/>
      <c r="L56" s="142"/>
    </row>
    <row r="57" spans="3:12" ht="12.75" customHeight="1" x14ac:dyDescent="0.25">
      <c r="D57" s="142"/>
      <c r="E57" s="142"/>
      <c r="F57" s="142"/>
      <c r="G57" s="142"/>
      <c r="H57" s="142"/>
      <c r="I57" s="142"/>
      <c r="J57" s="142"/>
      <c r="K57" s="142"/>
      <c r="L57" s="142"/>
    </row>
    <row r="58" spans="3:12" ht="12.75" customHeight="1" x14ac:dyDescent="0.25">
      <c r="D58" s="142"/>
      <c r="E58" s="142"/>
      <c r="F58" s="142"/>
      <c r="G58" s="142"/>
      <c r="H58" s="142"/>
      <c r="I58" s="142"/>
      <c r="J58" s="142"/>
      <c r="K58" s="142"/>
      <c r="L58" s="142"/>
    </row>
    <row r="59" spans="3:12" ht="12.75" customHeight="1" x14ac:dyDescent="0.25">
      <c r="D59" s="142"/>
      <c r="E59" s="142"/>
      <c r="F59" s="142"/>
      <c r="G59" s="142"/>
      <c r="H59" s="142"/>
      <c r="I59" s="142"/>
      <c r="J59" s="142"/>
      <c r="K59" s="142"/>
      <c r="L59" s="142"/>
    </row>
    <row r="60" spans="3:12" ht="12.75" customHeight="1" x14ac:dyDescent="0.25">
      <c r="C60" s="319" t="s">
        <v>2743</v>
      </c>
      <c r="D60" s="320">
        <f>SUM(D50:D59)</f>
        <v>35784</v>
      </c>
      <c r="E60" s="321"/>
      <c r="F60" s="321"/>
      <c r="G60" s="321"/>
      <c r="H60" s="320">
        <f>SUM(H50:H59)</f>
        <v>7584</v>
      </c>
      <c r="I60" s="320">
        <f>SUM(I50:I59)</f>
        <v>2600</v>
      </c>
      <c r="J60" s="320">
        <f>SUM(J50:J59)</f>
        <v>2600</v>
      </c>
      <c r="K60" s="320">
        <f>SUM(K50:K59)</f>
        <v>1600</v>
      </c>
      <c r="L60" s="320">
        <f>SUM(L50:L59)</f>
        <v>1600</v>
      </c>
    </row>
    <row r="62" spans="3:12" ht="12.75" customHeight="1" x14ac:dyDescent="0.25">
      <c r="C62" s="134"/>
      <c r="D62" s="134"/>
      <c r="E62" s="134"/>
      <c r="F62" s="134"/>
      <c r="G62" s="134"/>
      <c r="H62" s="134"/>
      <c r="I62" s="134"/>
      <c r="J62" s="134"/>
    </row>
    <row r="63" spans="3:12" ht="12.75" customHeight="1" x14ac:dyDescent="0.25">
      <c r="C63" s="147" t="s">
        <v>2727</v>
      </c>
      <c r="D63" s="80"/>
      <c r="E63" s="80"/>
      <c r="F63" s="80"/>
      <c r="G63" s="80"/>
      <c r="H63" s="80"/>
      <c r="I63" s="80"/>
      <c r="J63" s="80"/>
    </row>
    <row r="65" spans="3:10" ht="12.75" customHeight="1" x14ac:dyDescent="0.25">
      <c r="C65" s="134" t="s">
        <v>2746</v>
      </c>
      <c r="J65" s="134"/>
    </row>
    <row r="66" spans="3:10" ht="12.75" customHeight="1" x14ac:dyDescent="0.25">
      <c r="C66" s="641" t="s">
        <v>2747</v>
      </c>
      <c r="D66" s="641"/>
      <c r="E66" s="641"/>
      <c r="F66" s="641"/>
      <c r="G66" s="641"/>
      <c r="H66" s="641"/>
      <c r="I66" s="641"/>
      <c r="J66" s="641"/>
    </row>
  </sheetData>
  <mergeCells count="2">
    <mergeCell ref="H8:L8"/>
    <mergeCell ref="C66:J66"/>
  </mergeCells>
  <pageMargins left="0.78749999999999998" right="0.78749999999999998" top="0.78749999999999998" bottom="0.78749999999999998"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C3:J54"/>
  <sheetViews>
    <sheetView zoomScaleNormal="100" workbookViewId="0"/>
  </sheetViews>
  <sheetFormatPr baseColWidth="10" defaultColWidth="14.44140625" defaultRowHeight="13.2" x14ac:dyDescent="0.25"/>
  <cols>
    <col min="1" max="2" width="11.6640625" customWidth="1"/>
    <col min="3" max="3" width="8.88671875" customWidth="1"/>
    <col min="4" max="4" width="34.109375" customWidth="1"/>
    <col min="5" max="5" width="31.33203125" customWidth="1"/>
    <col min="6" max="6" width="12.33203125" customWidth="1"/>
    <col min="7" max="26" width="11.6640625" customWidth="1"/>
  </cols>
  <sheetData>
    <row r="3" spans="3:10" ht="12.75" customHeight="1" x14ac:dyDescent="0.25">
      <c r="C3" s="103" t="e">
        <f>#REF!</f>
        <v>#REF!</v>
      </c>
    </row>
    <row r="4" spans="3:10" ht="12.75" customHeight="1" x14ac:dyDescent="0.25">
      <c r="C4" t="s">
        <v>2748</v>
      </c>
    </row>
    <row r="5" spans="3:10" ht="12.75" customHeight="1" x14ac:dyDescent="0.25">
      <c r="F5" s="293">
        <f>+PROYECCIONES!H9</f>
        <v>2010</v>
      </c>
      <c r="G5" s="293">
        <f>+PROYECCIONES!I9</f>
        <v>2011</v>
      </c>
      <c r="H5" s="293">
        <f>+PROYECCIONES!J9</f>
        <v>2012</v>
      </c>
      <c r="I5" s="293">
        <f>+PROYECCIONES!K9</f>
        <v>2013</v>
      </c>
      <c r="J5" s="293">
        <f>+PROYECCIONES!L9</f>
        <v>2014</v>
      </c>
    </row>
    <row r="7" spans="3:10" ht="12.75" customHeight="1" x14ac:dyDescent="0.25">
      <c r="C7" s="27" t="s">
        <v>2749</v>
      </c>
      <c r="D7" s="27"/>
      <c r="E7" s="27"/>
      <c r="F7" s="322">
        <f>PROYECCIONES!H20</f>
        <v>209723</v>
      </c>
      <c r="G7" s="322">
        <f>PROYECCIONES!I20</f>
        <v>246062</v>
      </c>
      <c r="H7" s="322">
        <f>PROYECCIONES!J20</f>
        <v>246079</v>
      </c>
      <c r="I7" s="322">
        <f>PROYECCIONES!K20</f>
        <v>246075</v>
      </c>
      <c r="J7" s="322">
        <f>PROYECCIONES!L20</f>
        <v>250025</v>
      </c>
    </row>
    <row r="8" spans="3:10" ht="12.75" customHeight="1" x14ac:dyDescent="0.25">
      <c r="C8" s="14"/>
      <c r="D8" s="14"/>
      <c r="E8" s="14"/>
      <c r="F8" s="323"/>
      <c r="G8" s="323"/>
      <c r="H8" s="323"/>
      <c r="I8" s="323"/>
      <c r="J8" s="323"/>
    </row>
    <row r="9" spans="3:10" ht="12.75" customHeight="1" x14ac:dyDescent="0.25">
      <c r="C9" s="14"/>
      <c r="D9" s="14" t="s">
        <v>2750</v>
      </c>
      <c r="E9" s="14"/>
      <c r="F9" s="323">
        <v>0</v>
      </c>
      <c r="G9" s="323">
        <v>0</v>
      </c>
      <c r="H9" s="323">
        <v>0</v>
      </c>
      <c r="I9" s="323">
        <v>0</v>
      </c>
      <c r="J9" s="323">
        <v>0</v>
      </c>
    </row>
    <row r="10" spans="3:10" ht="12.75" customHeight="1" x14ac:dyDescent="0.25">
      <c r="C10" s="14"/>
      <c r="D10" s="14"/>
      <c r="E10" s="14"/>
      <c r="F10" s="323"/>
      <c r="G10" s="323"/>
      <c r="H10" s="323"/>
      <c r="I10" s="323"/>
      <c r="J10" s="323"/>
    </row>
    <row r="11" spans="3:10" ht="12.75" customHeight="1" x14ac:dyDescent="0.25">
      <c r="C11" s="27" t="s">
        <v>2751</v>
      </c>
      <c r="D11" s="27"/>
      <c r="E11" s="27"/>
      <c r="F11" s="322">
        <f>+F7+F9</f>
        <v>209723</v>
      </c>
      <c r="G11" s="322">
        <f>+G7+G9</f>
        <v>246062</v>
      </c>
      <c r="H11" s="322">
        <f>+H7+H9</f>
        <v>246079</v>
      </c>
      <c r="I11" s="322">
        <f>+I7+I9</f>
        <v>246075</v>
      </c>
      <c r="J11" s="322">
        <f>+J7+J9</f>
        <v>250025</v>
      </c>
    </row>
    <row r="12" spans="3:10" ht="12.75" customHeight="1" x14ac:dyDescent="0.25">
      <c r="C12" s="14"/>
      <c r="D12" s="14"/>
      <c r="E12" s="14"/>
      <c r="F12" s="323"/>
      <c r="G12" s="323"/>
      <c r="H12" s="323"/>
      <c r="I12" s="323"/>
      <c r="J12" s="323"/>
    </row>
    <row r="13" spans="3:10" ht="12.75" customHeight="1" x14ac:dyDescent="0.25">
      <c r="C13" s="14"/>
      <c r="D13" s="14" t="s">
        <v>2752</v>
      </c>
      <c r="E13" s="14"/>
      <c r="F13" s="323" t="e">
        <f>PROYECCIONES!G32-PROYECCIONES!H32</f>
        <v>#REF!</v>
      </c>
      <c r="G13" s="323" t="e">
        <f>PROYECCIONES!H32-PROYECCIONES!I32</f>
        <v>#REF!</v>
      </c>
      <c r="H13" s="323" t="e">
        <f>PROYECCIONES!I32-PROYECCIONES!J32</f>
        <v>#REF!</v>
      </c>
      <c r="I13" s="323" t="e">
        <f>PROYECCIONES!J32-PROYECCIONES!K32</f>
        <v>#REF!</v>
      </c>
      <c r="J13" s="323" t="e">
        <f>PROYECCIONES!K32-PROYECCIONES!L32</f>
        <v>#REF!</v>
      </c>
    </row>
    <row r="14" spans="3:10" ht="12.75" customHeight="1" x14ac:dyDescent="0.25">
      <c r="C14" s="14"/>
      <c r="D14" s="14" t="s">
        <v>2753</v>
      </c>
      <c r="E14" s="14"/>
      <c r="F14" s="323" t="e">
        <f>PROYECCIONES!G33-PROYECCIONES!H33</f>
        <v>#REF!</v>
      </c>
      <c r="G14" s="323" t="e">
        <f>PROYECCIONES!H33-PROYECCIONES!I33</f>
        <v>#REF!</v>
      </c>
      <c r="H14" s="323" t="e">
        <f>PROYECCIONES!I33-PROYECCIONES!J33</f>
        <v>#REF!</v>
      </c>
      <c r="I14" s="323" t="e">
        <f>PROYECCIONES!J33-PROYECCIONES!K33</f>
        <v>#REF!</v>
      </c>
      <c r="J14" s="323" t="e">
        <f>PROYECCIONES!K33-PROYECCIONES!L33</f>
        <v>#REF!</v>
      </c>
    </row>
    <row r="15" spans="3:10" ht="12.75" customHeight="1" x14ac:dyDescent="0.25">
      <c r="C15" s="14"/>
      <c r="D15" s="14" t="s">
        <v>141</v>
      </c>
      <c r="E15" s="14"/>
      <c r="F15" s="324" t="e">
        <f>PROYECCIONES!H34-PROYECCIONES!G34</f>
        <v>#REF!</v>
      </c>
      <c r="G15" s="324" t="e">
        <f>PROYECCIONES!I34-PROYECCIONES!H34</f>
        <v>#REF!</v>
      </c>
      <c r="H15" s="324" t="e">
        <f>PROYECCIONES!J34-PROYECCIONES!I34</f>
        <v>#REF!</v>
      </c>
      <c r="I15" s="324" t="e">
        <f>PROYECCIONES!K34-PROYECCIONES!J34</f>
        <v>#REF!</v>
      </c>
      <c r="J15" s="324" t="e">
        <f>PROYECCIONES!L34-PROYECCIONES!K34</f>
        <v>#REF!</v>
      </c>
    </row>
    <row r="16" spans="3:10" ht="12.75" customHeight="1" x14ac:dyDescent="0.25">
      <c r="C16" s="14"/>
      <c r="D16" s="14"/>
      <c r="E16" s="14" t="s">
        <v>2708</v>
      </c>
      <c r="F16" s="323" t="e">
        <f>SUM(F13:F15)</f>
        <v>#REF!</v>
      </c>
      <c r="G16" s="323" t="e">
        <f>SUM(G13:G15)</f>
        <v>#REF!</v>
      </c>
      <c r="H16" s="323" t="e">
        <f>SUM(H13:H15)</f>
        <v>#REF!</v>
      </c>
      <c r="I16" s="323" t="e">
        <f>SUM(I13:I15)</f>
        <v>#REF!</v>
      </c>
      <c r="J16" s="323" t="e">
        <f>SUM(J13:J15)</f>
        <v>#REF!</v>
      </c>
    </row>
    <row r="18" spans="3:10" ht="12.75" customHeight="1" x14ac:dyDescent="0.25">
      <c r="C18" s="27" t="s">
        <v>2754</v>
      </c>
      <c r="D18" s="27"/>
      <c r="E18" s="27"/>
      <c r="F18" s="322" t="e">
        <f>+F11+F16</f>
        <v>#REF!</v>
      </c>
      <c r="G18" s="322" t="e">
        <f>+G11+G16</f>
        <v>#REF!</v>
      </c>
      <c r="H18" s="322" t="e">
        <f>+H11+H16</f>
        <v>#REF!</v>
      </c>
      <c r="I18" s="322" t="e">
        <f>+I11+I16</f>
        <v>#REF!</v>
      </c>
      <c r="J18" s="322" t="e">
        <f>+J11+J16</f>
        <v>#REF!</v>
      </c>
    </row>
    <row r="19" spans="3:10" ht="12.75" customHeight="1" x14ac:dyDescent="0.25">
      <c r="C19" s="14"/>
      <c r="D19" s="14"/>
      <c r="E19" s="14"/>
      <c r="F19" s="323"/>
      <c r="G19" s="323"/>
      <c r="H19" s="323"/>
      <c r="I19" s="323"/>
      <c r="J19" s="323"/>
    </row>
    <row r="20" spans="3:10" ht="12.75" customHeight="1" x14ac:dyDescent="0.25">
      <c r="C20" s="14"/>
      <c r="D20" s="14" t="s">
        <v>2755</v>
      </c>
      <c r="E20" s="14"/>
      <c r="F20" s="323">
        <f>PROYECCIONES!H23</f>
        <v>3257</v>
      </c>
      <c r="G20" s="323">
        <f>PROYECCIONES!I23</f>
        <v>3387</v>
      </c>
      <c r="H20" s="323">
        <f>PROYECCIONES!J23</f>
        <v>3522</v>
      </c>
      <c r="I20" s="323">
        <f>PROYECCIONES!K23</f>
        <v>3663</v>
      </c>
      <c r="J20" s="323">
        <f>PROYECCIONES!L23</f>
        <v>3810</v>
      </c>
    </row>
    <row r="21" spans="3:10" ht="12.75" customHeight="1" x14ac:dyDescent="0.25">
      <c r="C21" s="14"/>
      <c r="D21" s="14"/>
      <c r="E21" s="14"/>
      <c r="F21" s="323"/>
      <c r="G21" s="323"/>
      <c r="H21" s="323"/>
      <c r="I21" s="323"/>
      <c r="J21" s="323"/>
    </row>
    <row r="22" spans="3:10" ht="12.75" customHeight="1" x14ac:dyDescent="0.25">
      <c r="C22" s="27" t="s">
        <v>2756</v>
      </c>
      <c r="D22" s="27"/>
      <c r="E22" s="27"/>
      <c r="F22" s="322" t="e">
        <f>F18-F20</f>
        <v>#REF!</v>
      </c>
      <c r="G22" s="322" t="e">
        <f>G18-G20</f>
        <v>#REF!</v>
      </c>
      <c r="H22" s="322" t="e">
        <f>H18-H20</f>
        <v>#REF!</v>
      </c>
      <c r="I22" s="322" t="e">
        <f>I18-I20</f>
        <v>#REF!</v>
      </c>
      <c r="J22" s="322" t="e">
        <f>J18-J20</f>
        <v>#REF!</v>
      </c>
    </row>
    <row r="23" spans="3:10" ht="12.75" customHeight="1" x14ac:dyDescent="0.25">
      <c r="C23" s="14"/>
      <c r="D23" s="14"/>
      <c r="E23" s="14"/>
      <c r="F23" s="323"/>
      <c r="G23" s="323"/>
      <c r="H23" s="323"/>
      <c r="I23" s="323"/>
      <c r="J23" s="323"/>
    </row>
    <row r="24" spans="3:10" ht="12.75" customHeight="1" x14ac:dyDescent="0.25">
      <c r="C24" s="14"/>
      <c r="D24" s="14" t="s">
        <v>2757</v>
      </c>
      <c r="E24" s="14"/>
      <c r="F24" s="323">
        <f>PROYECCIONES!G27</f>
        <v>0</v>
      </c>
      <c r="G24" s="323">
        <f>PROYECCIONES!H27</f>
        <v>0</v>
      </c>
      <c r="H24" s="323">
        <f>PROYECCIONES!I27</f>
        <v>0</v>
      </c>
      <c r="I24" s="323">
        <f>PROYECCIONES!J27</f>
        <v>0</v>
      </c>
      <c r="J24" s="323">
        <f>PROYECCIONES!K27</f>
        <v>0</v>
      </c>
    </row>
    <row r="25" spans="3:10" ht="12.75" customHeight="1" x14ac:dyDescent="0.25">
      <c r="C25" s="14"/>
      <c r="D25" s="14"/>
      <c r="E25" s="14"/>
      <c r="F25" s="323"/>
      <c r="G25" s="323"/>
      <c r="H25" s="323"/>
      <c r="I25" s="323"/>
      <c r="J25" s="323"/>
    </row>
    <row r="26" spans="3:10" ht="12.75" customHeight="1" x14ac:dyDescent="0.25">
      <c r="C26" s="27" t="s">
        <v>2758</v>
      </c>
      <c r="D26" s="27"/>
      <c r="E26" s="27"/>
      <c r="F26" s="325" t="e">
        <f>F22-F24</f>
        <v>#REF!</v>
      </c>
      <c r="G26" s="325" t="e">
        <f>G22-G24</f>
        <v>#REF!</v>
      </c>
      <c r="H26" s="325" t="e">
        <f>H22-H24</f>
        <v>#REF!</v>
      </c>
      <c r="I26" s="325" t="e">
        <f>I22-I24</f>
        <v>#REF!</v>
      </c>
      <c r="J26" s="325" t="e">
        <f>J22-J24</f>
        <v>#REF!</v>
      </c>
    </row>
    <row r="27" spans="3:10" ht="12.75" customHeight="1" x14ac:dyDescent="0.25">
      <c r="C27" s="14"/>
      <c r="D27" s="14"/>
      <c r="E27" s="14"/>
      <c r="F27" s="323"/>
      <c r="G27" s="323"/>
      <c r="H27" s="323"/>
      <c r="I27" s="323"/>
      <c r="J27" s="323"/>
    </row>
    <row r="28" spans="3:10" ht="12.75" customHeight="1" x14ac:dyDescent="0.25">
      <c r="C28" s="326" t="s">
        <v>2759</v>
      </c>
      <c r="D28" s="14"/>
      <c r="E28" s="14"/>
      <c r="F28" s="323"/>
      <c r="G28" s="323"/>
      <c r="H28" s="323"/>
      <c r="I28" s="323"/>
      <c r="J28" s="323"/>
    </row>
    <row r="29" spans="3:10" ht="12.75" customHeight="1" x14ac:dyDescent="0.25">
      <c r="C29" s="326"/>
      <c r="D29" s="14" t="s">
        <v>2760</v>
      </c>
      <c r="E29" s="14"/>
      <c r="F29" s="323">
        <v>0</v>
      </c>
      <c r="G29" s="323">
        <v>0</v>
      </c>
      <c r="H29" s="323">
        <v>0</v>
      </c>
      <c r="I29" s="323">
        <v>0</v>
      </c>
      <c r="J29" s="323">
        <v>0</v>
      </c>
    </row>
    <row r="30" spans="3:10" ht="12.75" customHeight="1" x14ac:dyDescent="0.25">
      <c r="C30" s="14"/>
      <c r="D30" s="14" t="s">
        <v>2761</v>
      </c>
      <c r="E30" s="14"/>
      <c r="F30" s="323">
        <v>0</v>
      </c>
      <c r="G30" s="323">
        <v>0</v>
      </c>
      <c r="H30" s="323">
        <v>0</v>
      </c>
      <c r="I30" s="323">
        <v>0</v>
      </c>
      <c r="J30" s="323">
        <v>0</v>
      </c>
    </row>
    <row r="31" spans="3:10" ht="12.75" customHeight="1" x14ac:dyDescent="0.25">
      <c r="C31" s="14"/>
      <c r="D31" s="14"/>
      <c r="E31" s="134" t="s">
        <v>2762</v>
      </c>
      <c r="F31" s="327">
        <f>SUM(F29:F30)</f>
        <v>0</v>
      </c>
      <c r="G31" s="327">
        <f>SUM(G29:G30)</f>
        <v>0</v>
      </c>
      <c r="H31" s="327">
        <f>SUM(H29:H30)</f>
        <v>0</v>
      </c>
      <c r="I31" s="327">
        <f>SUM(I29:I30)</f>
        <v>0</v>
      </c>
      <c r="J31" s="327">
        <f>SUM(J29:J30)</f>
        <v>0</v>
      </c>
    </row>
    <row r="33" spans="3:10" ht="12.75" customHeight="1" x14ac:dyDescent="0.25">
      <c r="C33" s="326" t="s">
        <v>2763</v>
      </c>
      <c r="D33" s="14"/>
      <c r="E33" s="14"/>
      <c r="F33" s="323"/>
      <c r="G33" s="323"/>
      <c r="H33" s="323"/>
      <c r="I33" s="323"/>
      <c r="J33" s="323"/>
    </row>
    <row r="34" spans="3:10" ht="12.75" customHeight="1" x14ac:dyDescent="0.25">
      <c r="C34" s="14"/>
      <c r="D34" s="14" t="s">
        <v>2764</v>
      </c>
      <c r="E34" s="14"/>
      <c r="F34" s="324">
        <v>0</v>
      </c>
      <c r="G34" s="324">
        <v>0</v>
      </c>
      <c r="H34" s="324">
        <v>0</v>
      </c>
      <c r="I34" s="324">
        <v>0</v>
      </c>
      <c r="J34" s="324">
        <v>0</v>
      </c>
    </row>
    <row r="35" spans="3:10" ht="12.75" customHeight="1" x14ac:dyDescent="0.25">
      <c r="C35" s="14"/>
      <c r="D35" s="14"/>
      <c r="E35" s="14" t="s">
        <v>2711</v>
      </c>
      <c r="F35" s="323">
        <f>F34</f>
        <v>0</v>
      </c>
      <c r="G35" s="323">
        <f>G34</f>
        <v>0</v>
      </c>
      <c r="H35" s="323">
        <f>H34</f>
        <v>0</v>
      </c>
      <c r="I35" s="323">
        <f>I34</f>
        <v>0</v>
      </c>
      <c r="J35" s="323">
        <f>J34</f>
        <v>0</v>
      </c>
    </row>
    <row r="36" spans="3:10" ht="12.75" customHeight="1" x14ac:dyDescent="0.25">
      <c r="C36" s="14"/>
      <c r="D36" s="14"/>
      <c r="E36" s="14"/>
      <c r="F36" s="323"/>
      <c r="G36" s="323"/>
      <c r="H36" s="323"/>
      <c r="I36" s="323"/>
      <c r="J36" s="323"/>
    </row>
    <row r="37" spans="3:10" ht="12.75" customHeight="1" x14ac:dyDescent="0.25">
      <c r="C37" s="27" t="s">
        <v>2765</v>
      </c>
      <c r="D37" s="27"/>
      <c r="E37" s="27"/>
      <c r="F37" s="322" t="e">
        <f>+F26+F35+F31</f>
        <v>#REF!</v>
      </c>
      <c r="G37" s="322" t="e">
        <f>+G26+G35+G31</f>
        <v>#REF!</v>
      </c>
      <c r="H37" s="322" t="e">
        <f>+H26+H35+H31</f>
        <v>#REF!</v>
      </c>
      <c r="I37" s="322" t="e">
        <f>+I26+I35+I31</f>
        <v>#REF!</v>
      </c>
      <c r="J37" s="322" t="e">
        <f>+J26+J35+J31</f>
        <v>#REF!</v>
      </c>
    </row>
    <row r="38" spans="3:10" ht="12.75" customHeight="1" x14ac:dyDescent="0.25">
      <c r="C38" s="14"/>
      <c r="D38" s="14"/>
      <c r="E38" s="14"/>
      <c r="F38" s="323"/>
      <c r="G38" s="323"/>
      <c r="H38" s="323"/>
      <c r="I38" s="323"/>
      <c r="J38" s="323"/>
    </row>
    <row r="39" spans="3:10" ht="12.75" customHeight="1" x14ac:dyDescent="0.25">
      <c r="C39" s="326" t="s">
        <v>2766</v>
      </c>
      <c r="D39" s="14"/>
      <c r="E39" s="14"/>
      <c r="F39" s="323"/>
      <c r="G39" s="323"/>
      <c r="H39" s="323"/>
      <c r="I39" s="323"/>
      <c r="J39" s="323"/>
    </row>
    <row r="40" spans="3:10" ht="12.75" customHeight="1" x14ac:dyDescent="0.25">
      <c r="C40" s="14"/>
      <c r="D40" s="14" t="s">
        <v>2767</v>
      </c>
      <c r="E40" s="14"/>
      <c r="F40" s="323">
        <f>PROYECCIONES!H60*-1</f>
        <v>-7584</v>
      </c>
      <c r="G40" s="323">
        <f>PROYECCIONES!I60*-1</f>
        <v>-2600</v>
      </c>
      <c r="H40" s="323">
        <f>PROYECCIONES!J60*-1</f>
        <v>-2600</v>
      </c>
      <c r="I40" s="323">
        <f>PROYECCIONES!K60*-1</f>
        <v>-1600</v>
      </c>
      <c r="J40" s="323">
        <f>PROYECCIONES!L60*-1</f>
        <v>-1600</v>
      </c>
    </row>
    <row r="41" spans="3:10" ht="12.75" customHeight="1" x14ac:dyDescent="0.25">
      <c r="C41" s="14"/>
      <c r="D41" s="14" t="s">
        <v>2768</v>
      </c>
      <c r="E41" s="14"/>
      <c r="F41" s="323">
        <v>0</v>
      </c>
      <c r="G41" s="323">
        <v>0</v>
      </c>
      <c r="H41" s="323">
        <v>0</v>
      </c>
      <c r="I41" s="323">
        <v>0</v>
      </c>
      <c r="J41" s="323">
        <v>0</v>
      </c>
    </row>
    <row r="42" spans="3:10" ht="12.75" customHeight="1" x14ac:dyDescent="0.25">
      <c r="C42" s="14"/>
      <c r="D42" s="14" t="s">
        <v>2769</v>
      </c>
      <c r="E42" s="14"/>
      <c r="F42" s="323">
        <v>0</v>
      </c>
      <c r="G42" s="323">
        <v>0</v>
      </c>
      <c r="H42" s="323">
        <v>0</v>
      </c>
      <c r="I42" s="323">
        <v>0</v>
      </c>
      <c r="J42" s="323">
        <v>0</v>
      </c>
    </row>
    <row r="43" spans="3:10" ht="12.75" customHeight="1" x14ac:dyDescent="0.25">
      <c r="C43" s="14"/>
      <c r="D43" s="14" t="s">
        <v>2770</v>
      </c>
      <c r="E43" s="14"/>
      <c r="F43" s="323">
        <v>0</v>
      </c>
      <c r="G43" s="323">
        <v>0</v>
      </c>
      <c r="H43" s="323">
        <v>0</v>
      </c>
      <c r="I43" s="323">
        <v>0</v>
      </c>
      <c r="J43" s="323">
        <v>0</v>
      </c>
    </row>
    <row r="44" spans="3:10" ht="12.75" customHeight="1" x14ac:dyDescent="0.25">
      <c r="C44" s="14"/>
      <c r="D44" s="14" t="s">
        <v>2771</v>
      </c>
      <c r="E44" s="14"/>
      <c r="F44" s="323">
        <v>0</v>
      </c>
      <c r="G44" s="323">
        <v>0</v>
      </c>
      <c r="H44" s="323">
        <v>0</v>
      </c>
      <c r="I44" s="323">
        <v>0</v>
      </c>
      <c r="J44" s="323">
        <v>0</v>
      </c>
    </row>
    <row r="45" spans="3:10" ht="12.75" customHeight="1" x14ac:dyDescent="0.25">
      <c r="C45" s="14"/>
      <c r="D45" s="14" t="s">
        <v>2772</v>
      </c>
      <c r="E45" s="14"/>
      <c r="F45" s="324">
        <v>0</v>
      </c>
      <c r="G45" s="324">
        <v>0</v>
      </c>
      <c r="H45" s="324">
        <v>0</v>
      </c>
      <c r="I45" s="324">
        <v>0</v>
      </c>
      <c r="J45" s="324">
        <v>0</v>
      </c>
    </row>
    <row r="46" spans="3:10" ht="12.75" customHeight="1" x14ac:dyDescent="0.25">
      <c r="C46" s="14"/>
      <c r="D46" s="14"/>
      <c r="E46" s="14" t="s">
        <v>2712</v>
      </c>
      <c r="F46" s="323">
        <f>SUM(F40:F45)</f>
        <v>-7584</v>
      </c>
      <c r="G46" s="323">
        <f>SUM(G40:G45)</f>
        <v>-2600</v>
      </c>
      <c r="H46" s="323">
        <f>SUM(H40:H45)</f>
        <v>-2600</v>
      </c>
      <c r="I46" s="323">
        <f>SUM(I40:I45)</f>
        <v>-1600</v>
      </c>
      <c r="J46" s="323">
        <f>SUM(J40:J45)</f>
        <v>-1600</v>
      </c>
    </row>
    <row r="47" spans="3:10" ht="12.75" customHeight="1" x14ac:dyDescent="0.25">
      <c r="C47" s="14"/>
      <c r="D47" s="14"/>
      <c r="E47" s="14"/>
      <c r="F47" s="323"/>
      <c r="G47" s="323"/>
      <c r="H47" s="323"/>
      <c r="I47" s="323"/>
      <c r="J47" s="323"/>
    </row>
    <row r="48" spans="3:10" ht="12.75" customHeight="1" x14ac:dyDescent="0.25">
      <c r="C48" s="27" t="s">
        <v>2773</v>
      </c>
      <c r="D48" s="27"/>
      <c r="E48" s="27"/>
      <c r="F48" s="322" t="e">
        <f>+F37+F46</f>
        <v>#REF!</v>
      </c>
      <c r="G48" s="322" t="e">
        <f>+G37+G46</f>
        <v>#REF!</v>
      </c>
      <c r="H48" s="322" t="e">
        <f>+H37+H46</f>
        <v>#REF!</v>
      </c>
      <c r="I48" s="322" t="e">
        <f>+I37+I46</f>
        <v>#REF!</v>
      </c>
      <c r="J48" s="322" t="e">
        <f>+J37+J46</f>
        <v>#REF!</v>
      </c>
    </row>
    <row r="50" spans="3:10" ht="12.75" customHeight="1" x14ac:dyDescent="0.25">
      <c r="C50" s="27" t="s">
        <v>2774</v>
      </c>
      <c r="D50" s="27"/>
      <c r="E50" s="27"/>
      <c r="F50" s="322">
        <v>0</v>
      </c>
      <c r="G50" s="322">
        <v>0</v>
      </c>
      <c r="H50" s="322">
        <v>0</v>
      </c>
      <c r="I50" s="322">
        <v>0</v>
      </c>
      <c r="J50" s="322">
        <v>0</v>
      </c>
    </row>
    <row r="51" spans="3:10" ht="12.75" customHeight="1" x14ac:dyDescent="0.25">
      <c r="C51" s="14"/>
      <c r="D51" s="14"/>
      <c r="E51" s="14"/>
      <c r="F51" s="323"/>
      <c r="G51" s="323"/>
      <c r="H51" s="323"/>
      <c r="I51" s="323"/>
      <c r="J51" s="323"/>
    </row>
    <row r="52" spans="3:10" ht="12.75" customHeight="1" x14ac:dyDescent="0.25">
      <c r="C52" s="181" t="s">
        <v>2775</v>
      </c>
      <c r="D52" s="172"/>
      <c r="E52" s="172"/>
      <c r="F52" s="328" t="e">
        <f>F26/(F40*-1)</f>
        <v>#REF!</v>
      </c>
      <c r="G52" s="328" t="e">
        <f>G26/(G40*-1)</f>
        <v>#REF!</v>
      </c>
      <c r="H52" s="329" t="e">
        <f>H26/(H40*-1)</f>
        <v>#REF!</v>
      </c>
      <c r="I52" s="330" t="e">
        <f>I26/(I40*-1)</f>
        <v>#REF!</v>
      </c>
      <c r="J52" s="330" t="e">
        <f>J26/(J40*-1)</f>
        <v>#REF!</v>
      </c>
    </row>
    <row r="53" spans="3:10" ht="12.75" customHeight="1" x14ac:dyDescent="0.25">
      <c r="F53" s="331"/>
      <c r="G53" s="331"/>
      <c r="H53" s="331"/>
      <c r="I53" s="331"/>
      <c r="J53" s="331"/>
    </row>
    <row r="54" spans="3:10" ht="12.75" customHeight="1" x14ac:dyDescent="0.25">
      <c r="C54" s="181" t="s">
        <v>2776</v>
      </c>
      <c r="D54" s="172"/>
      <c r="E54" s="172"/>
      <c r="F54" s="328" t="e">
        <f>F18/F20</f>
        <v>#REF!</v>
      </c>
      <c r="G54" s="328" t="e">
        <f>G18/G20</f>
        <v>#REF!</v>
      </c>
      <c r="H54" s="329" t="e">
        <f>H18/H20</f>
        <v>#REF!</v>
      </c>
      <c r="I54" s="330" t="e">
        <f>I18/I20</f>
        <v>#REF!</v>
      </c>
      <c r="J54" s="330" t="e">
        <f>J18/J20</f>
        <v>#REF!</v>
      </c>
    </row>
  </sheetData>
  <pageMargins left="0.78749999999999998" right="0.78749999999999998" top="0.78749999999999998" bottom="0.78749999999999998"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C5:L71"/>
  <sheetViews>
    <sheetView zoomScaleNormal="100" workbookViewId="0"/>
  </sheetViews>
  <sheetFormatPr baseColWidth="10" defaultColWidth="14.44140625" defaultRowHeight="13.2" x14ac:dyDescent="0.25"/>
  <cols>
    <col min="1" max="2" width="11.6640625" customWidth="1"/>
    <col min="3" max="3" width="22.33203125" customWidth="1"/>
    <col min="4" max="4" width="11.6640625" customWidth="1"/>
    <col min="5" max="5" width="3.33203125" customWidth="1"/>
    <col min="6" max="9" width="11.33203125" customWidth="1"/>
    <col min="10" max="26" width="11.6640625" customWidth="1"/>
  </cols>
  <sheetData>
    <row r="5" spans="3:12" ht="12.75" customHeight="1" x14ac:dyDescent="0.25">
      <c r="C5" s="103" t="e">
        <f>#REF!</f>
        <v>#REF!</v>
      </c>
    </row>
    <row r="6" spans="3:12" ht="12.75" customHeight="1" x14ac:dyDescent="0.25">
      <c r="C6" s="147" t="s">
        <v>2777</v>
      </c>
      <c r="D6" s="80"/>
      <c r="E6" s="80"/>
      <c r="F6" s="80"/>
      <c r="G6" s="80"/>
      <c r="H6" s="80"/>
      <c r="I6" s="80"/>
      <c r="J6" s="80"/>
      <c r="K6" s="80"/>
      <c r="L6" s="80"/>
    </row>
    <row r="8" spans="3:12" ht="12.75" customHeight="1" x14ac:dyDescent="0.25">
      <c r="F8" s="183" t="s">
        <v>2715</v>
      </c>
      <c r="G8" s="183" t="s">
        <v>2716</v>
      </c>
      <c r="H8" s="624" t="s">
        <v>2717</v>
      </c>
      <c r="I8" s="624"/>
      <c r="J8" s="624"/>
      <c r="K8" s="624"/>
      <c r="L8" s="624"/>
    </row>
    <row r="9" spans="3:12" ht="12.75" customHeight="1" x14ac:dyDescent="0.25">
      <c r="C9" s="103"/>
      <c r="F9" s="293">
        <v>2008</v>
      </c>
      <c r="G9" s="293">
        <v>2009</v>
      </c>
      <c r="H9" s="293">
        <v>2010</v>
      </c>
      <c r="I9" s="293">
        <v>2011</v>
      </c>
      <c r="J9" s="293">
        <v>2012</v>
      </c>
      <c r="K9" s="293">
        <v>2013</v>
      </c>
      <c r="L9" s="293">
        <v>2014</v>
      </c>
    </row>
    <row r="10" spans="3:12" ht="12.75" customHeight="1" x14ac:dyDescent="0.25">
      <c r="C10" s="103"/>
    </row>
    <row r="11" spans="3:12" ht="12.75" customHeight="1" x14ac:dyDescent="0.25">
      <c r="C11" s="103" t="s">
        <v>2718</v>
      </c>
      <c r="F11" s="142" t="e">
        <f>#REF!</f>
        <v>#REF!</v>
      </c>
      <c r="G11" s="142">
        <f>138845+161898+10337</f>
        <v>311080</v>
      </c>
      <c r="H11" s="142">
        <f>138737+474028+11493</f>
        <v>624258</v>
      </c>
      <c r="I11" s="142">
        <f>141511+565143+11953</f>
        <v>718607</v>
      </c>
      <c r="J11" s="142">
        <f>144342+565143+12431</f>
        <v>721916</v>
      </c>
      <c r="K11" s="142">
        <f>147228+565143+12928</f>
        <v>725299</v>
      </c>
      <c r="L11" s="142">
        <f>150173+565143+13445</f>
        <v>728761</v>
      </c>
    </row>
    <row r="12" spans="3:12" ht="12.75" customHeight="1" x14ac:dyDescent="0.25">
      <c r="C12" s="103" t="s">
        <v>2719</v>
      </c>
      <c r="F12" s="142" t="e">
        <f>#REF!+#REF!</f>
        <v>#REF!</v>
      </c>
      <c r="G12" s="142">
        <f t="shared" ref="G12:L12" si="0">+G13*G11</f>
        <v>242642.4</v>
      </c>
      <c r="H12" s="142">
        <f t="shared" si="0"/>
        <v>518134.13999999996</v>
      </c>
      <c r="I12" s="142">
        <f t="shared" si="0"/>
        <v>596443.80999999994</v>
      </c>
      <c r="J12" s="142">
        <f t="shared" si="0"/>
        <v>599190.28</v>
      </c>
      <c r="K12" s="142">
        <f t="shared" si="0"/>
        <v>601998.16999999993</v>
      </c>
      <c r="L12" s="142">
        <f t="shared" si="0"/>
        <v>604871.63</v>
      </c>
    </row>
    <row r="13" spans="3:12" ht="10.5" customHeight="1" x14ac:dyDescent="0.25">
      <c r="C13" s="103"/>
      <c r="F13" s="314" t="e">
        <f>F12/F11</f>
        <v>#REF!</v>
      </c>
      <c r="G13" s="314">
        <v>0.78</v>
      </c>
      <c r="H13" s="314">
        <v>0.83</v>
      </c>
      <c r="I13" s="314">
        <v>0.83</v>
      </c>
      <c r="J13" s="314">
        <v>0.83</v>
      </c>
      <c r="K13" s="314">
        <v>0.83</v>
      </c>
      <c r="L13" s="314">
        <v>0.83</v>
      </c>
    </row>
    <row r="14" spans="3:12" ht="7.5" customHeight="1" x14ac:dyDescent="0.25">
      <c r="C14" s="103"/>
      <c r="F14" s="314"/>
      <c r="G14" s="314"/>
      <c r="H14" s="314"/>
      <c r="I14" s="314"/>
      <c r="J14" s="314"/>
      <c r="K14" s="314"/>
      <c r="L14" s="314"/>
    </row>
    <row r="15" spans="3:12" ht="12.75" customHeight="1" x14ac:dyDescent="0.25">
      <c r="C15" s="103" t="s">
        <v>2720</v>
      </c>
      <c r="D15" s="103"/>
      <c r="F15" s="150" t="e">
        <f t="shared" ref="F15:L15" si="1">F11-F12</f>
        <v>#REF!</v>
      </c>
      <c r="G15" s="150">
        <f t="shared" si="1"/>
        <v>68437.600000000006</v>
      </c>
      <c r="H15" s="150">
        <f t="shared" si="1"/>
        <v>106123.86000000004</v>
      </c>
      <c r="I15" s="150">
        <f t="shared" si="1"/>
        <v>122163.19000000006</v>
      </c>
      <c r="J15" s="150">
        <f t="shared" si="1"/>
        <v>122725.71999999997</v>
      </c>
      <c r="K15" s="150">
        <f t="shared" si="1"/>
        <v>123300.83000000007</v>
      </c>
      <c r="L15" s="150">
        <f t="shared" si="1"/>
        <v>123889.37</v>
      </c>
    </row>
    <row r="16" spans="3:12" ht="9.75" customHeight="1" x14ac:dyDescent="0.25">
      <c r="C16" s="103"/>
      <c r="F16" s="314" t="e">
        <f t="shared" ref="F16:L16" si="2">F15/F11</f>
        <v>#REF!</v>
      </c>
      <c r="G16" s="314">
        <f t="shared" si="2"/>
        <v>0.22000000000000003</v>
      </c>
      <c r="H16" s="314">
        <f t="shared" si="2"/>
        <v>0.17000000000000007</v>
      </c>
      <c r="I16" s="314">
        <f t="shared" si="2"/>
        <v>0.1700000000000001</v>
      </c>
      <c r="J16" s="314">
        <f t="shared" si="2"/>
        <v>0.16999999999999996</v>
      </c>
      <c r="K16" s="314">
        <f t="shared" si="2"/>
        <v>0.1700000000000001</v>
      </c>
      <c r="L16" s="314">
        <f t="shared" si="2"/>
        <v>0.16999999999999998</v>
      </c>
    </row>
    <row r="18" spans="3:12" ht="12.75" customHeight="1" x14ac:dyDescent="0.25">
      <c r="C18" s="103" t="s">
        <v>2721</v>
      </c>
      <c r="F18" s="142" t="e">
        <f>#REF!</f>
        <v>#REF!</v>
      </c>
      <c r="G18" s="142">
        <f>11636+8063+6801+3397</f>
        <v>29897</v>
      </c>
      <c r="H18" s="142">
        <f>12287+9543+3397</f>
        <v>25227</v>
      </c>
      <c r="I18" s="142">
        <f>12778+9925+3533</f>
        <v>26236</v>
      </c>
      <c r="J18" s="142">
        <f>13289+10322+3674</f>
        <v>27285</v>
      </c>
      <c r="K18" s="142">
        <f>13821+10735+3820</f>
        <v>28376</v>
      </c>
      <c r="L18" s="142">
        <f>14374+11165</f>
        <v>25539</v>
      </c>
    </row>
    <row r="19" spans="3:12" ht="10.5" customHeight="1" x14ac:dyDescent="0.25">
      <c r="C19" s="103"/>
      <c r="F19" s="332" t="e">
        <f t="shared" ref="F19:L19" si="3">+F18/F11</f>
        <v>#REF!</v>
      </c>
      <c r="G19" s="332">
        <f t="shared" si="3"/>
        <v>9.61071107110711E-2</v>
      </c>
      <c r="H19" s="332">
        <f t="shared" si="3"/>
        <v>4.0411176148323291E-2</v>
      </c>
      <c r="I19" s="332">
        <f t="shared" si="3"/>
        <v>3.6509524677605425E-2</v>
      </c>
      <c r="J19" s="332">
        <f t="shared" si="3"/>
        <v>3.779525595775686E-2</v>
      </c>
      <c r="K19" s="332">
        <f t="shared" si="3"/>
        <v>3.9123175407659465E-2</v>
      </c>
      <c r="L19" s="332">
        <f t="shared" si="3"/>
        <v>3.5044410993453269E-2</v>
      </c>
    </row>
    <row r="20" spans="3:12" ht="12.75" customHeight="1" x14ac:dyDescent="0.25">
      <c r="C20" s="103" t="s">
        <v>2722</v>
      </c>
      <c r="F20" s="150" t="e">
        <f t="shared" ref="F20:L20" si="4">F15-F18</f>
        <v>#REF!</v>
      </c>
      <c r="G20" s="150">
        <f t="shared" si="4"/>
        <v>38540.600000000006</v>
      </c>
      <c r="H20" s="150">
        <f t="shared" si="4"/>
        <v>80896.860000000044</v>
      </c>
      <c r="I20" s="150">
        <f t="shared" si="4"/>
        <v>95927.190000000061</v>
      </c>
      <c r="J20" s="150">
        <f t="shared" si="4"/>
        <v>95440.719999999972</v>
      </c>
      <c r="K20" s="150">
        <f t="shared" si="4"/>
        <v>94924.830000000075</v>
      </c>
      <c r="L20" s="150">
        <f t="shared" si="4"/>
        <v>98350.37</v>
      </c>
    </row>
    <row r="21" spans="3:12" ht="8.25" customHeight="1" x14ac:dyDescent="0.25">
      <c r="C21" s="103"/>
      <c r="F21" s="315" t="e">
        <f t="shared" ref="F21:L21" si="5">F20/F11</f>
        <v>#REF!</v>
      </c>
      <c r="G21" s="315">
        <f t="shared" si="5"/>
        <v>0.12389288928892891</v>
      </c>
      <c r="H21" s="315">
        <f t="shared" si="5"/>
        <v>0.12958882385167678</v>
      </c>
      <c r="I21" s="315">
        <f t="shared" si="5"/>
        <v>0.13349047532239466</v>
      </c>
      <c r="J21" s="315">
        <f t="shared" si="5"/>
        <v>0.13220474404224311</v>
      </c>
      <c r="K21" s="315">
        <f t="shared" si="5"/>
        <v>0.13087682459234065</v>
      </c>
      <c r="L21" s="315">
        <f t="shared" si="5"/>
        <v>0.13495558900654672</v>
      </c>
    </row>
    <row r="22" spans="3:12" ht="7.5" customHeight="1" x14ac:dyDescent="0.25">
      <c r="C22" s="103"/>
      <c r="F22" s="142"/>
      <c r="G22" s="142"/>
      <c r="H22" s="142"/>
      <c r="I22" s="142"/>
      <c r="J22" s="142"/>
      <c r="K22" s="142"/>
      <c r="L22" s="142"/>
    </row>
    <row r="23" spans="3:12" ht="12.75" customHeight="1" x14ac:dyDescent="0.25">
      <c r="C23" s="103" t="s">
        <v>2723</v>
      </c>
      <c r="F23" s="142" t="e">
        <f>#REF!</f>
        <v>#REF!</v>
      </c>
      <c r="G23" s="142">
        <v>7209</v>
      </c>
      <c r="H23" s="142">
        <v>3257</v>
      </c>
      <c r="I23" s="142">
        <v>3387</v>
      </c>
      <c r="J23" s="142">
        <v>3522</v>
      </c>
      <c r="K23" s="142">
        <v>3663</v>
      </c>
      <c r="L23" s="142">
        <v>3810</v>
      </c>
    </row>
    <row r="24" spans="3:12" ht="8.25" customHeight="1" x14ac:dyDescent="0.25">
      <c r="C24" s="103"/>
      <c r="F24" s="142"/>
      <c r="G24" s="142"/>
      <c r="H24" s="142"/>
      <c r="I24" s="142"/>
      <c r="J24" s="142"/>
      <c r="K24" s="142"/>
      <c r="L24" s="142"/>
    </row>
    <row r="25" spans="3:12" ht="12.75" customHeight="1" x14ac:dyDescent="0.25">
      <c r="C25" s="103" t="s">
        <v>2724</v>
      </c>
      <c r="F25" s="142" t="e">
        <f>#REF!</f>
        <v>#REF!</v>
      </c>
      <c r="G25" s="142">
        <v>1964</v>
      </c>
      <c r="H25" s="142">
        <v>0</v>
      </c>
      <c r="I25" s="142">
        <v>0</v>
      </c>
      <c r="J25" s="142">
        <v>0</v>
      </c>
      <c r="K25" s="142">
        <v>0</v>
      </c>
      <c r="L25" s="142">
        <v>0</v>
      </c>
    </row>
    <row r="26" spans="3:12" ht="9" customHeight="1" x14ac:dyDescent="0.25">
      <c r="C26" s="103"/>
      <c r="F26" s="142"/>
      <c r="G26" s="142"/>
      <c r="H26" s="142"/>
      <c r="I26" s="142"/>
      <c r="J26" s="142"/>
      <c r="K26" s="142"/>
      <c r="L26" s="142"/>
    </row>
    <row r="27" spans="3:12" ht="12.75" customHeight="1" x14ac:dyDescent="0.25">
      <c r="C27" s="103" t="s">
        <v>2725</v>
      </c>
      <c r="F27" s="142" t="e">
        <f>#REF!</f>
        <v>#REF!</v>
      </c>
      <c r="G27" s="142">
        <v>0</v>
      </c>
      <c r="H27" s="142">
        <f>H11*0.1</f>
        <v>62425.8</v>
      </c>
      <c r="I27" s="142">
        <f>I11*0.1</f>
        <v>71860.7</v>
      </c>
      <c r="J27" s="142">
        <f>J11*0.1</f>
        <v>72191.600000000006</v>
      </c>
      <c r="K27" s="142">
        <f>K11*0.1</f>
        <v>72529.900000000009</v>
      </c>
      <c r="L27" s="142">
        <f>L11*0.1</f>
        <v>72876.100000000006</v>
      </c>
    </row>
    <row r="28" spans="3:12" ht="7.5" customHeight="1" x14ac:dyDescent="0.25">
      <c r="C28" s="103"/>
      <c r="F28" s="142"/>
      <c r="G28" s="142"/>
      <c r="H28" s="142"/>
      <c r="I28" s="142"/>
      <c r="J28" s="142"/>
      <c r="K28" s="142"/>
      <c r="L28" s="142"/>
    </row>
    <row r="29" spans="3:12" ht="12.75" customHeight="1" x14ac:dyDescent="0.25">
      <c r="C29" s="103" t="s">
        <v>2726</v>
      </c>
      <c r="D29" s="103"/>
      <c r="F29" s="150" t="e">
        <f t="shared" ref="F29:L29" si="6">F20+F25-F23-F27</f>
        <v>#REF!</v>
      </c>
      <c r="G29" s="150">
        <f t="shared" si="6"/>
        <v>33295.600000000006</v>
      </c>
      <c r="H29" s="150">
        <f t="shared" si="6"/>
        <v>15214.060000000041</v>
      </c>
      <c r="I29" s="150">
        <f t="shared" si="6"/>
        <v>20679.490000000063</v>
      </c>
      <c r="J29" s="150">
        <f t="shared" si="6"/>
        <v>19727.119999999966</v>
      </c>
      <c r="K29" s="150">
        <f t="shared" si="6"/>
        <v>18731.930000000066</v>
      </c>
      <c r="L29" s="150">
        <f t="shared" si="6"/>
        <v>21664.26999999999</v>
      </c>
    </row>
    <row r="30" spans="3:12" ht="9.75" customHeight="1" x14ac:dyDescent="0.25">
      <c r="F30" s="315" t="e">
        <f t="shared" ref="F30:L30" si="7">F29/F11</f>
        <v>#REF!</v>
      </c>
      <c r="G30" s="315">
        <f t="shared" si="7"/>
        <v>0.10703227465603705</v>
      </c>
      <c r="H30" s="315">
        <f t="shared" si="7"/>
        <v>2.4371429761412815E-2</v>
      </c>
      <c r="I30" s="315">
        <f t="shared" si="7"/>
        <v>2.8777189757405737E-2</v>
      </c>
      <c r="J30" s="315">
        <f t="shared" si="7"/>
        <v>2.7326060095634347E-2</v>
      </c>
      <c r="K30" s="315">
        <f t="shared" si="7"/>
        <v>2.5826493625387689E-2</v>
      </c>
      <c r="L30" s="315">
        <f t="shared" si="7"/>
        <v>2.9727537560324976E-2</v>
      </c>
    </row>
    <row r="31" spans="3:12" ht="12.75" customHeight="1" x14ac:dyDescent="0.25"/>
    <row r="32" spans="3:12" ht="12.75" customHeight="1" x14ac:dyDescent="0.25">
      <c r="C32" s="74" t="s">
        <v>2734</v>
      </c>
      <c r="D32" s="143" t="e">
        <f>#REF!</f>
        <v>#REF!</v>
      </c>
      <c r="E32" s="143" t="e">
        <f>#REF!</f>
        <v>#REF!</v>
      </c>
      <c r="F32" s="143" t="e">
        <f t="shared" ref="F32:L32" si="8">F11/360*$E$32</f>
        <v>#REF!</v>
      </c>
      <c r="G32" s="143" t="e">
        <f t="shared" si="8"/>
        <v>#REF!</v>
      </c>
      <c r="H32" s="143" t="e">
        <f t="shared" si="8"/>
        <v>#REF!</v>
      </c>
      <c r="I32" s="143" t="e">
        <f t="shared" si="8"/>
        <v>#REF!</v>
      </c>
      <c r="J32" s="143" t="e">
        <f t="shared" si="8"/>
        <v>#REF!</v>
      </c>
      <c r="K32" s="143" t="e">
        <f t="shared" si="8"/>
        <v>#REF!</v>
      </c>
      <c r="L32" s="316" t="e">
        <f t="shared" si="8"/>
        <v>#REF!</v>
      </c>
    </row>
    <row r="33" spans="3:12" ht="12.75" customHeight="1" x14ac:dyDescent="0.25">
      <c r="C33" s="144" t="s">
        <v>2735</v>
      </c>
      <c r="D33" s="142" t="e">
        <f>#REF!</f>
        <v>#REF!</v>
      </c>
      <c r="E33" s="142" t="e">
        <f>#REF!</f>
        <v>#REF!</v>
      </c>
      <c r="F33" s="142" t="e">
        <f t="shared" ref="F33:L33" si="9">F12/360*$E$33</f>
        <v>#REF!</v>
      </c>
      <c r="G33" s="142" t="e">
        <f t="shared" si="9"/>
        <v>#REF!</v>
      </c>
      <c r="H33" s="142" t="e">
        <f t="shared" si="9"/>
        <v>#REF!</v>
      </c>
      <c r="I33" s="142" t="e">
        <f t="shared" si="9"/>
        <v>#REF!</v>
      </c>
      <c r="J33" s="142" t="e">
        <f t="shared" si="9"/>
        <v>#REF!</v>
      </c>
      <c r="K33" s="142" t="e">
        <f t="shared" si="9"/>
        <v>#REF!</v>
      </c>
      <c r="L33" s="317" t="e">
        <f t="shared" si="9"/>
        <v>#REF!</v>
      </c>
    </row>
    <row r="34" spans="3:12" ht="12.75" customHeight="1" x14ac:dyDescent="0.25">
      <c r="C34" s="157" t="s">
        <v>2736</v>
      </c>
      <c r="D34" s="148" t="e">
        <f>#REF!</f>
        <v>#REF!</v>
      </c>
      <c r="E34" s="148" t="e">
        <f>#REF!</f>
        <v>#REF!</v>
      </c>
      <c r="F34" s="148" t="e">
        <f t="shared" ref="F34:L34" si="10">F12/360*$E$34</f>
        <v>#REF!</v>
      </c>
      <c r="G34" s="148" t="e">
        <f t="shared" si="10"/>
        <v>#REF!</v>
      </c>
      <c r="H34" s="148" t="e">
        <f t="shared" si="10"/>
        <v>#REF!</v>
      </c>
      <c r="I34" s="148" t="e">
        <f t="shared" si="10"/>
        <v>#REF!</v>
      </c>
      <c r="J34" s="148" t="e">
        <f t="shared" si="10"/>
        <v>#REF!</v>
      </c>
      <c r="K34" s="148" t="e">
        <f t="shared" si="10"/>
        <v>#REF!</v>
      </c>
      <c r="L34" s="318" t="e">
        <f t="shared" si="10"/>
        <v>#REF!</v>
      </c>
    </row>
    <row r="35" spans="3:12" ht="12.75" customHeight="1" x14ac:dyDescent="0.25">
      <c r="C35" s="134"/>
      <c r="D35" s="142"/>
      <c r="E35" s="142"/>
      <c r="F35" s="142"/>
      <c r="G35" s="142"/>
      <c r="H35" s="142"/>
      <c r="I35" s="142"/>
      <c r="J35" s="142"/>
      <c r="K35" s="142"/>
      <c r="L35" s="142"/>
    </row>
    <row r="36" spans="3:12" ht="12.75" customHeight="1" x14ac:dyDescent="0.25">
      <c r="C36" s="103" t="s">
        <v>2723</v>
      </c>
      <c r="H36" s="180">
        <f>H9</f>
        <v>2010</v>
      </c>
      <c r="I36" s="180">
        <f>I9</f>
        <v>2011</v>
      </c>
      <c r="J36" s="180">
        <f>J9</f>
        <v>2012</v>
      </c>
      <c r="K36" s="180">
        <f>K9</f>
        <v>2013</v>
      </c>
      <c r="L36" s="180">
        <f>L9</f>
        <v>2014</v>
      </c>
    </row>
    <row r="37" spans="3:12" ht="12.75" customHeight="1" x14ac:dyDescent="0.25">
      <c r="C37" t="s">
        <v>2737</v>
      </c>
      <c r="D37" s="142">
        <v>120</v>
      </c>
      <c r="H37" s="142">
        <v>0</v>
      </c>
      <c r="I37" s="142">
        <v>0</v>
      </c>
      <c r="J37" s="142">
        <v>0</v>
      </c>
      <c r="K37" s="142">
        <v>0</v>
      </c>
      <c r="L37" s="142">
        <v>0</v>
      </c>
    </row>
    <row r="38" spans="3:12" ht="12.75" customHeight="1" x14ac:dyDescent="0.25">
      <c r="C38" t="s">
        <v>2738</v>
      </c>
      <c r="D38" s="142">
        <v>12800</v>
      </c>
      <c r="H38" s="142">
        <f>D38*0.1</f>
        <v>1280</v>
      </c>
      <c r="I38" s="142">
        <f>H38</f>
        <v>1280</v>
      </c>
      <c r="J38" s="142">
        <f>I38</f>
        <v>1280</v>
      </c>
      <c r="K38" s="142">
        <f>J38</f>
        <v>1280</v>
      </c>
      <c r="L38" s="142">
        <f>K38</f>
        <v>1280</v>
      </c>
    </row>
    <row r="39" spans="3:12" ht="12.75" customHeight="1" x14ac:dyDescent="0.25">
      <c r="C39" t="s">
        <v>2739</v>
      </c>
      <c r="D39" s="142">
        <v>4864</v>
      </c>
      <c r="H39" s="142">
        <f>D39*0.1</f>
        <v>486.40000000000003</v>
      </c>
      <c r="I39" s="142">
        <f>D39/2*0.1</f>
        <v>243.20000000000002</v>
      </c>
      <c r="J39" s="142"/>
      <c r="K39" s="142"/>
      <c r="L39" s="142"/>
    </row>
    <row r="40" spans="3:12" ht="12.75" customHeight="1" x14ac:dyDescent="0.25">
      <c r="C40" t="s">
        <v>2740</v>
      </c>
      <c r="D40" s="142">
        <v>7000</v>
      </c>
      <c r="H40" s="142">
        <f>D40*0.1</f>
        <v>700</v>
      </c>
      <c r="I40" s="142">
        <f>+H40</f>
        <v>700</v>
      </c>
      <c r="J40" s="142">
        <f>+I40</f>
        <v>700</v>
      </c>
      <c r="K40" s="142"/>
      <c r="L40" s="142"/>
    </row>
    <row r="41" spans="3:12" ht="12.75" customHeight="1" x14ac:dyDescent="0.25">
      <c r="C41" t="s">
        <v>2741</v>
      </c>
      <c r="D41" s="142">
        <v>8000</v>
      </c>
      <c r="H41" s="142">
        <f>+ACS!J10</f>
        <v>726.66666666666674</v>
      </c>
      <c r="I41" s="142">
        <f>+ACS!K10</f>
        <v>566.6666666666672</v>
      </c>
      <c r="J41" s="142">
        <f>+ACS!L10</f>
        <v>406.66666666666748</v>
      </c>
      <c r="K41" s="142">
        <f>+ACS!M10</f>
        <v>246.66666666666737</v>
      </c>
      <c r="L41" s="142">
        <f>+ACS!N10</f>
        <v>86.666666666667368</v>
      </c>
    </row>
    <row r="42" spans="3:12" ht="12.75" customHeight="1" x14ac:dyDescent="0.25">
      <c r="C42" t="s">
        <v>2742</v>
      </c>
      <c r="D42" s="142">
        <v>3000</v>
      </c>
      <c r="H42" s="142">
        <f>+AF!J10</f>
        <v>254.16666666666657</v>
      </c>
      <c r="I42" s="142">
        <f>+AF!K10</f>
        <v>154.16666666666652</v>
      </c>
      <c r="J42" s="142">
        <f>+AF!L10</f>
        <v>54.166666666666572</v>
      </c>
      <c r="K42" s="142"/>
      <c r="L42" s="142"/>
    </row>
    <row r="43" spans="3:12" ht="12.75" customHeight="1" x14ac:dyDescent="0.25">
      <c r="D43" s="142"/>
      <c r="H43" s="142"/>
      <c r="I43" s="142"/>
      <c r="J43" s="142"/>
      <c r="K43" s="142"/>
      <c r="L43" s="142"/>
    </row>
    <row r="44" spans="3:12" ht="12.75" customHeight="1" x14ac:dyDescent="0.25">
      <c r="D44" s="142"/>
      <c r="H44" s="142"/>
      <c r="I44" s="142"/>
      <c r="J44" s="142"/>
      <c r="K44" s="142"/>
      <c r="L44" s="142"/>
    </row>
    <row r="45" spans="3:12" ht="12.75" customHeight="1" x14ac:dyDescent="0.25">
      <c r="D45" s="142"/>
      <c r="H45" s="142"/>
      <c r="I45" s="142"/>
      <c r="J45" s="142"/>
      <c r="K45" s="142"/>
      <c r="L45" s="142"/>
    </row>
    <row r="46" spans="3:12" ht="12.75" customHeight="1" x14ac:dyDescent="0.25">
      <c r="H46" s="142"/>
      <c r="I46" s="142"/>
      <c r="J46" s="142"/>
      <c r="K46" s="142"/>
      <c r="L46" s="142"/>
    </row>
    <row r="47" spans="3:12" ht="12.75" customHeight="1" x14ac:dyDescent="0.25">
      <c r="C47" s="319" t="s">
        <v>2743</v>
      </c>
      <c r="D47" s="320">
        <f>SUM(D37:D46)</f>
        <v>35784</v>
      </c>
      <c r="E47" s="321"/>
      <c r="F47" s="321"/>
      <c r="G47" s="321"/>
      <c r="H47" s="320">
        <f>SUM(H37:H46)</f>
        <v>3447.2333333333331</v>
      </c>
      <c r="I47" s="320">
        <f>SUM(I37:I46)</f>
        <v>2944.0333333333333</v>
      </c>
      <c r="J47" s="333">
        <f>SUM(J37:J46)</f>
        <v>2440.8333333333339</v>
      </c>
      <c r="K47" s="333">
        <f>SUM(K37:K46)</f>
        <v>1526.6666666666674</v>
      </c>
      <c r="L47" s="333">
        <f>SUM(L37:L46)</f>
        <v>1366.6666666666674</v>
      </c>
    </row>
    <row r="49" spans="3:12" ht="12.75" customHeight="1" x14ac:dyDescent="0.25">
      <c r="C49" s="103" t="s">
        <v>2744</v>
      </c>
    </row>
    <row r="50" spans="3:12" ht="12.75" customHeight="1" x14ac:dyDescent="0.25">
      <c r="C50" t="str">
        <f t="shared" ref="C50:D55" si="11">C37</f>
        <v>HSBC</v>
      </c>
      <c r="D50" s="142">
        <f t="shared" si="11"/>
        <v>120</v>
      </c>
      <c r="E50" s="142"/>
      <c r="F50" s="142"/>
      <c r="G50" s="142"/>
      <c r="H50" s="142">
        <v>120</v>
      </c>
      <c r="I50" s="142"/>
      <c r="J50" s="142"/>
      <c r="K50" s="142"/>
      <c r="L50" s="142"/>
    </row>
    <row r="51" spans="3:12" ht="12.75" customHeight="1" x14ac:dyDescent="0.25">
      <c r="C51" t="str">
        <f t="shared" si="11"/>
        <v>Frost Bank (ACCC)</v>
      </c>
      <c r="D51" s="142">
        <f t="shared" si="11"/>
        <v>12800</v>
      </c>
      <c r="E51" s="142"/>
      <c r="F51" s="142"/>
      <c r="G51" s="142"/>
      <c r="H51" s="142">
        <v>0</v>
      </c>
      <c r="I51" s="142"/>
      <c r="J51" s="142"/>
      <c r="K51" s="142"/>
      <c r="L51" s="142"/>
    </row>
    <row r="52" spans="3:12" ht="12.75" customHeight="1" x14ac:dyDescent="0.25">
      <c r="C52" t="str">
        <f t="shared" si="11"/>
        <v>SAT</v>
      </c>
      <c r="D52" s="142">
        <f t="shared" si="11"/>
        <v>4864</v>
      </c>
      <c r="E52" s="142"/>
      <c r="F52" s="142"/>
      <c r="G52" s="142"/>
      <c r="H52" s="142">
        <v>4864</v>
      </c>
      <c r="I52" s="142">
        <v>0</v>
      </c>
      <c r="J52" s="142"/>
      <c r="K52" s="142"/>
      <c r="L52" s="142"/>
    </row>
    <row r="53" spans="3:12" ht="12.75" customHeight="1" x14ac:dyDescent="0.25">
      <c r="C53" t="str">
        <f t="shared" si="11"/>
        <v>Banregio ACCC</v>
      </c>
      <c r="D53" s="142">
        <f t="shared" si="11"/>
        <v>7000</v>
      </c>
      <c r="E53" s="142"/>
      <c r="F53" s="142"/>
      <c r="G53" s="142"/>
      <c r="H53" s="142">
        <v>0</v>
      </c>
      <c r="I53" s="142">
        <f>H53</f>
        <v>0</v>
      </c>
      <c r="J53" s="142">
        <v>0</v>
      </c>
      <c r="K53" s="142"/>
      <c r="L53" s="142"/>
    </row>
    <row r="54" spans="3:12" ht="12.75" customHeight="1" x14ac:dyDescent="0.25">
      <c r="C54" t="str">
        <f t="shared" si="11"/>
        <v>Banregio ACS</v>
      </c>
      <c r="D54" s="142">
        <f t="shared" si="11"/>
        <v>8000</v>
      </c>
      <c r="E54" s="142"/>
      <c r="F54" s="142"/>
      <c r="G54" s="142"/>
      <c r="H54" s="142">
        <f>+ACS!J11</f>
        <v>1600</v>
      </c>
      <c r="I54" s="142">
        <f>+ACS!K11</f>
        <v>1600</v>
      </c>
      <c r="J54" s="142">
        <f>+ACS!L11</f>
        <v>1600</v>
      </c>
      <c r="K54" s="142">
        <f>+ACS!M11</f>
        <v>1600</v>
      </c>
      <c r="L54" s="142">
        <f>+ACS!N11</f>
        <v>1600</v>
      </c>
    </row>
    <row r="55" spans="3:12" ht="12.75" customHeight="1" x14ac:dyDescent="0.25">
      <c r="C55" t="str">
        <f t="shared" si="11"/>
        <v>Banregio AF</v>
      </c>
      <c r="D55" s="142">
        <f t="shared" si="11"/>
        <v>3000</v>
      </c>
      <c r="E55" s="142"/>
      <c r="F55" s="142"/>
      <c r="G55" s="142"/>
      <c r="H55" s="142">
        <f>+AF!J11</f>
        <v>1000</v>
      </c>
      <c r="I55" s="142">
        <f>+AF!K11</f>
        <v>1000</v>
      </c>
      <c r="J55" s="142">
        <f>+AF!L11</f>
        <v>1000</v>
      </c>
      <c r="K55" s="142"/>
      <c r="L55" s="142"/>
    </row>
    <row r="56" spans="3:12" ht="12.75" customHeight="1" x14ac:dyDescent="0.25">
      <c r="D56" s="142"/>
      <c r="E56" s="142"/>
      <c r="F56" s="142"/>
      <c r="G56" s="142"/>
      <c r="H56" s="142"/>
      <c r="I56" s="142"/>
      <c r="J56" s="142"/>
      <c r="K56" s="142"/>
      <c r="L56" s="142"/>
    </row>
    <row r="57" spans="3:12" ht="12.75" customHeight="1" x14ac:dyDescent="0.25">
      <c r="D57" s="142"/>
      <c r="E57" s="142"/>
      <c r="F57" s="142"/>
      <c r="G57" s="142"/>
      <c r="H57" s="142"/>
      <c r="I57" s="142"/>
      <c r="J57" s="142"/>
      <c r="K57" s="142"/>
      <c r="L57" s="142"/>
    </row>
    <row r="58" spans="3:12" ht="12.75" customHeight="1" x14ac:dyDescent="0.25">
      <c r="D58" s="142"/>
      <c r="E58" s="142"/>
      <c r="F58" s="142"/>
      <c r="G58" s="142"/>
      <c r="H58" s="142"/>
      <c r="I58" s="142"/>
      <c r="J58" s="142"/>
      <c r="K58" s="142"/>
      <c r="L58" s="142"/>
    </row>
    <row r="59" spans="3:12" ht="12.75" customHeight="1" x14ac:dyDescent="0.25">
      <c r="D59" s="142"/>
      <c r="E59" s="142"/>
      <c r="F59" s="142"/>
      <c r="G59" s="142"/>
      <c r="H59" s="142"/>
      <c r="I59" s="142"/>
      <c r="J59" s="142"/>
      <c r="K59" s="142"/>
      <c r="L59" s="142"/>
    </row>
    <row r="60" spans="3:12" ht="12.75" customHeight="1" x14ac:dyDescent="0.25">
      <c r="C60" s="319" t="s">
        <v>2743</v>
      </c>
      <c r="D60" s="320">
        <f>SUM(D50:D59)</f>
        <v>35784</v>
      </c>
      <c r="E60" s="321"/>
      <c r="F60" s="321"/>
      <c r="G60" s="321"/>
      <c r="H60" s="320">
        <f>SUM(H50:H59)</f>
        <v>7584</v>
      </c>
      <c r="I60" s="320">
        <f>SUM(I50:I59)</f>
        <v>2600</v>
      </c>
      <c r="J60" s="333">
        <f>SUM(J50:J59)</f>
        <v>2600</v>
      </c>
      <c r="K60" s="333">
        <f>SUM(K50:K59)</f>
        <v>1600</v>
      </c>
      <c r="L60" s="333">
        <f>SUM(L50:L59)</f>
        <v>1600</v>
      </c>
    </row>
    <row r="62" spans="3:12" ht="12.75" customHeight="1" x14ac:dyDescent="0.25">
      <c r="C62" s="134"/>
      <c r="D62" s="134"/>
      <c r="E62" s="134"/>
      <c r="F62" s="134"/>
      <c r="G62" s="134"/>
      <c r="H62" s="134"/>
      <c r="I62" s="134"/>
      <c r="J62" s="134"/>
    </row>
    <row r="63" spans="3:12" ht="12.75" customHeight="1" x14ac:dyDescent="0.25">
      <c r="C63" s="147" t="s">
        <v>2727</v>
      </c>
      <c r="D63" s="80"/>
      <c r="E63" s="80"/>
      <c r="F63" s="80"/>
      <c r="G63" s="80"/>
      <c r="H63" s="80"/>
      <c r="I63" s="80"/>
      <c r="J63" s="80"/>
    </row>
    <row r="65" spans="3:10" ht="12.75" customHeight="1" x14ac:dyDescent="0.25">
      <c r="C65" s="134" t="s">
        <v>2746</v>
      </c>
      <c r="J65" s="134"/>
    </row>
    <row r="66" spans="3:10" ht="12.75" customHeight="1" x14ac:dyDescent="0.25">
      <c r="C66" s="641" t="s">
        <v>2778</v>
      </c>
      <c r="D66" s="641"/>
      <c r="E66" s="641"/>
      <c r="F66" s="641"/>
      <c r="G66" s="641"/>
      <c r="H66" s="641"/>
      <c r="I66" s="641"/>
      <c r="J66" s="641"/>
    </row>
    <row r="67" spans="3:10" ht="12.75" customHeight="1" x14ac:dyDescent="0.25">
      <c r="C67" s="134" t="s">
        <v>2779</v>
      </c>
      <c r="J67" s="134"/>
    </row>
    <row r="68" spans="3:10" ht="12.75" customHeight="1" x14ac:dyDescent="0.25">
      <c r="C68" s="134" t="s">
        <v>2780</v>
      </c>
      <c r="J68" s="134"/>
    </row>
    <row r="69" spans="3:10" ht="12.75" customHeight="1" x14ac:dyDescent="0.25">
      <c r="C69" s="134" t="s">
        <v>2781</v>
      </c>
      <c r="D69" s="134"/>
      <c r="E69" s="134"/>
      <c r="F69" s="134"/>
      <c r="G69" s="134"/>
      <c r="H69" s="134"/>
      <c r="I69" s="134"/>
      <c r="J69" s="134"/>
    </row>
    <row r="70" spans="3:10" ht="12.75" customHeight="1" x14ac:dyDescent="0.25">
      <c r="C70" s="134" t="s">
        <v>2782</v>
      </c>
    </row>
    <row r="71" spans="3:10" ht="12.75" customHeight="1" x14ac:dyDescent="0.25">
      <c r="C71" s="134" t="s">
        <v>2783</v>
      </c>
    </row>
  </sheetData>
  <mergeCells count="2">
    <mergeCell ref="H8:L8"/>
    <mergeCell ref="C66:J66"/>
  </mergeCells>
  <pageMargins left="0.78749999999999998" right="0.78749999999999998" top="0.78749999999999998" bottom="0.78749999999999998"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C3:J54"/>
  <sheetViews>
    <sheetView zoomScaleNormal="100" workbookViewId="0"/>
  </sheetViews>
  <sheetFormatPr baseColWidth="10" defaultColWidth="14.44140625" defaultRowHeight="13.2" x14ac:dyDescent="0.25"/>
  <cols>
    <col min="1" max="2" width="11.6640625" customWidth="1"/>
    <col min="3" max="3" width="8.88671875" customWidth="1"/>
    <col min="4" max="4" width="34.109375" customWidth="1"/>
    <col min="5" max="5" width="31.33203125" customWidth="1"/>
    <col min="6" max="6" width="12.33203125" customWidth="1"/>
    <col min="7" max="26" width="11.6640625" customWidth="1"/>
  </cols>
  <sheetData>
    <row r="3" spans="3:10" ht="12.75" customHeight="1" x14ac:dyDescent="0.25">
      <c r="C3" s="103" t="e">
        <f>#REF!</f>
        <v>#REF!</v>
      </c>
    </row>
    <row r="4" spans="3:10" ht="12.75" customHeight="1" x14ac:dyDescent="0.25">
      <c r="C4" t="s">
        <v>2784</v>
      </c>
    </row>
    <row r="5" spans="3:10" ht="12.75" customHeight="1" x14ac:dyDescent="0.25">
      <c r="F5" s="293">
        <f>+'Proy banco'!H9</f>
        <v>2010</v>
      </c>
      <c r="G5" s="293">
        <f>+'Proy banco'!I9</f>
        <v>2011</v>
      </c>
      <c r="H5" s="293">
        <f>+'Proy banco'!J9</f>
        <v>2012</v>
      </c>
      <c r="I5" s="293">
        <f>+'Proy banco'!K9</f>
        <v>2013</v>
      </c>
      <c r="J5" s="293">
        <f>+'Proy banco'!L9</f>
        <v>2014</v>
      </c>
    </row>
    <row r="7" spans="3:10" ht="12.75" customHeight="1" x14ac:dyDescent="0.25">
      <c r="C7" s="27" t="s">
        <v>2749</v>
      </c>
      <c r="D7" s="27"/>
      <c r="E7" s="27"/>
      <c r="F7" s="322">
        <f>'Proy banco'!H20</f>
        <v>80896.860000000044</v>
      </c>
      <c r="G7" s="322">
        <f>'Proy banco'!I20</f>
        <v>95927.190000000061</v>
      </c>
      <c r="H7" s="322">
        <f>'Proy banco'!J20</f>
        <v>95440.719999999972</v>
      </c>
      <c r="I7" s="322">
        <f>'Proy banco'!K20</f>
        <v>94924.830000000075</v>
      </c>
      <c r="J7" s="322">
        <f>'Proy banco'!L20</f>
        <v>98350.37</v>
      </c>
    </row>
    <row r="8" spans="3:10" ht="12.75" customHeight="1" x14ac:dyDescent="0.25">
      <c r="C8" s="14"/>
      <c r="D8" s="14"/>
      <c r="E8" s="14"/>
      <c r="F8" s="323"/>
      <c r="G8" s="323"/>
      <c r="H8" s="323"/>
      <c r="I8" s="323"/>
      <c r="J8" s="323"/>
    </row>
    <row r="9" spans="3:10" ht="12.75" customHeight="1" x14ac:dyDescent="0.25">
      <c r="C9" s="14"/>
      <c r="D9" s="14" t="s">
        <v>2750</v>
      </c>
      <c r="E9" s="14"/>
      <c r="F9" s="323">
        <v>0</v>
      </c>
      <c r="G9" s="323">
        <v>0</v>
      </c>
      <c r="H9" s="323">
        <v>0</v>
      </c>
      <c r="I9" s="323">
        <v>0</v>
      </c>
      <c r="J9" s="323">
        <v>0</v>
      </c>
    </row>
    <row r="10" spans="3:10" ht="12.75" customHeight="1" x14ac:dyDescent="0.25">
      <c r="C10" s="14"/>
      <c r="D10" s="14"/>
      <c r="E10" s="14"/>
      <c r="F10" s="323"/>
      <c r="G10" s="323"/>
      <c r="H10" s="323"/>
      <c r="I10" s="323"/>
      <c r="J10" s="323"/>
    </row>
    <row r="11" spans="3:10" ht="12.75" customHeight="1" x14ac:dyDescent="0.25">
      <c r="C11" s="27" t="s">
        <v>2751</v>
      </c>
      <c r="D11" s="27"/>
      <c r="E11" s="27"/>
      <c r="F11" s="322">
        <f>+F7+F9</f>
        <v>80896.860000000044</v>
      </c>
      <c r="G11" s="322">
        <f>+G7+G9</f>
        <v>95927.190000000061</v>
      </c>
      <c r="H11" s="322">
        <f>+H7+H9</f>
        <v>95440.719999999972</v>
      </c>
      <c r="I11" s="322">
        <f>+I7+I9</f>
        <v>94924.830000000075</v>
      </c>
      <c r="J11" s="322">
        <f>+J7+J9</f>
        <v>98350.37</v>
      </c>
    </row>
    <row r="12" spans="3:10" ht="12.75" customHeight="1" x14ac:dyDescent="0.25">
      <c r="C12" s="14"/>
      <c r="D12" s="14"/>
      <c r="E12" s="14"/>
      <c r="F12" s="323"/>
      <c r="G12" s="323"/>
      <c r="H12" s="323"/>
      <c r="I12" s="323"/>
      <c r="J12" s="323"/>
    </row>
    <row r="13" spans="3:10" ht="12.75" customHeight="1" x14ac:dyDescent="0.25">
      <c r="C13" s="14"/>
      <c r="D13" s="14" t="s">
        <v>2752</v>
      </c>
      <c r="E13" s="14"/>
      <c r="F13" s="323" t="e">
        <f>'Proy banco'!G32-'Proy banco'!H32</f>
        <v>#REF!</v>
      </c>
      <c r="G13" s="323" t="e">
        <f>'Proy banco'!H32-'Proy banco'!I32</f>
        <v>#REF!</v>
      </c>
      <c r="H13" s="323" t="e">
        <f>'Proy banco'!I32-'Proy banco'!J32</f>
        <v>#REF!</v>
      </c>
      <c r="I13" s="323" t="e">
        <f>'Proy banco'!J32-'Proy banco'!K32</f>
        <v>#REF!</v>
      </c>
      <c r="J13" s="323" t="e">
        <f>'Proy banco'!K32-'Proy banco'!L32</f>
        <v>#REF!</v>
      </c>
    </row>
    <row r="14" spans="3:10" ht="12.75" customHeight="1" x14ac:dyDescent="0.25">
      <c r="C14" s="14"/>
      <c r="D14" s="14" t="s">
        <v>2753</v>
      </c>
      <c r="E14" s="14"/>
      <c r="F14" s="323" t="e">
        <f>'Proy banco'!G33-'Proy banco'!H33</f>
        <v>#REF!</v>
      </c>
      <c r="G14" s="323" t="e">
        <f>'Proy banco'!H33-'Proy banco'!I33</f>
        <v>#REF!</v>
      </c>
      <c r="H14" s="323" t="e">
        <f>'Proy banco'!I33-'Proy banco'!J33</f>
        <v>#REF!</v>
      </c>
      <c r="I14" s="323" t="e">
        <f>'Proy banco'!J33-'Proy banco'!K33</f>
        <v>#REF!</v>
      </c>
      <c r="J14" s="323" t="e">
        <f>'Proy banco'!K33-'Proy banco'!L33</f>
        <v>#REF!</v>
      </c>
    </row>
    <row r="15" spans="3:10" ht="12.75" customHeight="1" x14ac:dyDescent="0.25">
      <c r="C15" s="14"/>
      <c r="D15" s="14" t="s">
        <v>141</v>
      </c>
      <c r="E15" s="14"/>
      <c r="F15" s="324" t="e">
        <f>'Proy banco'!H34-'Proy banco'!G34</f>
        <v>#REF!</v>
      </c>
      <c r="G15" s="324" t="e">
        <f>'Proy banco'!I34-'Proy banco'!H34</f>
        <v>#REF!</v>
      </c>
      <c r="H15" s="324" t="e">
        <f>'Proy banco'!J34-'Proy banco'!I34</f>
        <v>#REF!</v>
      </c>
      <c r="I15" s="324" t="e">
        <f>'Proy banco'!K34-'Proy banco'!J34</f>
        <v>#REF!</v>
      </c>
      <c r="J15" s="324" t="e">
        <f>'Proy banco'!L34-'Proy banco'!K34</f>
        <v>#REF!</v>
      </c>
    </row>
    <row r="16" spans="3:10" ht="12.75" customHeight="1" x14ac:dyDescent="0.25">
      <c r="C16" s="14"/>
      <c r="D16" s="14"/>
      <c r="E16" s="14" t="s">
        <v>2708</v>
      </c>
      <c r="F16" s="323" t="e">
        <f>SUM(F13:F15)</f>
        <v>#REF!</v>
      </c>
      <c r="G16" s="323" t="e">
        <f>SUM(G13:G15)</f>
        <v>#REF!</v>
      </c>
      <c r="H16" s="323" t="e">
        <f>SUM(H13:H15)</f>
        <v>#REF!</v>
      </c>
      <c r="I16" s="323" t="e">
        <f>SUM(I13:I15)</f>
        <v>#REF!</v>
      </c>
      <c r="J16" s="323" t="e">
        <f>SUM(J13:J15)</f>
        <v>#REF!</v>
      </c>
    </row>
    <row r="18" spans="3:10" ht="12.75" customHeight="1" x14ac:dyDescent="0.25">
      <c r="C18" s="27" t="s">
        <v>2754</v>
      </c>
      <c r="D18" s="27"/>
      <c r="E18" s="27"/>
      <c r="F18" s="322" t="e">
        <f>+F11+F16</f>
        <v>#REF!</v>
      </c>
      <c r="G18" s="322" t="e">
        <f>+G11+G16</f>
        <v>#REF!</v>
      </c>
      <c r="H18" s="322" t="e">
        <f>+H11+H16</f>
        <v>#REF!</v>
      </c>
      <c r="I18" s="322" t="e">
        <f>+I11+I16</f>
        <v>#REF!</v>
      </c>
      <c r="J18" s="322" t="e">
        <f>+J11+J16</f>
        <v>#REF!</v>
      </c>
    </row>
    <row r="19" spans="3:10" ht="12.75" customHeight="1" x14ac:dyDescent="0.25">
      <c r="C19" s="14"/>
      <c r="D19" s="14"/>
      <c r="E19" s="14"/>
      <c r="F19" s="323"/>
      <c r="G19" s="323"/>
      <c r="H19" s="323"/>
      <c r="I19" s="323"/>
      <c r="J19" s="323"/>
    </row>
    <row r="20" spans="3:10" ht="12.75" customHeight="1" x14ac:dyDescent="0.25">
      <c r="C20" s="14"/>
      <c r="D20" s="14" t="s">
        <v>2755</v>
      </c>
      <c r="E20" s="14"/>
      <c r="F20" s="323">
        <f>'Proy banco'!H23</f>
        <v>3257</v>
      </c>
      <c r="G20" s="323">
        <f>'Proy banco'!I23</f>
        <v>3387</v>
      </c>
      <c r="H20" s="323">
        <f>'Proy banco'!J23</f>
        <v>3522</v>
      </c>
      <c r="I20" s="323">
        <f>'Proy banco'!K23</f>
        <v>3663</v>
      </c>
      <c r="J20" s="323">
        <f>'Proy banco'!L23</f>
        <v>3810</v>
      </c>
    </row>
    <row r="21" spans="3:10" ht="12.75" customHeight="1" x14ac:dyDescent="0.25">
      <c r="C21" s="14"/>
      <c r="D21" s="14"/>
      <c r="E21" s="14"/>
      <c r="F21" s="323"/>
      <c r="G21" s="323"/>
      <c r="H21" s="323"/>
      <c r="I21" s="323"/>
      <c r="J21" s="323"/>
    </row>
    <row r="22" spans="3:10" ht="12.75" customHeight="1" x14ac:dyDescent="0.25">
      <c r="C22" s="27" t="s">
        <v>2756</v>
      </c>
      <c r="D22" s="27"/>
      <c r="E22" s="27"/>
      <c r="F22" s="322" t="e">
        <f>F18-F20</f>
        <v>#REF!</v>
      </c>
      <c r="G22" s="322" t="e">
        <f>G18-G20</f>
        <v>#REF!</v>
      </c>
      <c r="H22" s="322" t="e">
        <f>H18-H20</f>
        <v>#REF!</v>
      </c>
      <c r="I22" s="322" t="e">
        <f>I18-I20</f>
        <v>#REF!</v>
      </c>
      <c r="J22" s="322" t="e">
        <f>J18-J20</f>
        <v>#REF!</v>
      </c>
    </row>
    <row r="23" spans="3:10" ht="12.75" customHeight="1" x14ac:dyDescent="0.25">
      <c r="C23" s="14"/>
      <c r="D23" s="14"/>
      <c r="E23" s="14"/>
      <c r="F23" s="323"/>
      <c r="G23" s="323"/>
      <c r="H23" s="323"/>
      <c r="I23" s="323"/>
      <c r="J23" s="323"/>
    </row>
    <row r="24" spans="3:10" ht="12.75" customHeight="1" x14ac:dyDescent="0.25">
      <c r="C24" s="14"/>
      <c r="D24" s="14" t="s">
        <v>2757</v>
      </c>
      <c r="E24" s="14"/>
      <c r="F24" s="323">
        <f>'Proy banco'!G27</f>
        <v>0</v>
      </c>
      <c r="G24" s="323">
        <f>'Proy banco'!H27</f>
        <v>62425.8</v>
      </c>
      <c r="H24" s="323">
        <f>'Proy banco'!I27</f>
        <v>71860.7</v>
      </c>
      <c r="I24" s="323">
        <f>'Proy banco'!J27</f>
        <v>72191.600000000006</v>
      </c>
      <c r="J24" s="323">
        <f>'Proy banco'!K27</f>
        <v>72529.900000000009</v>
      </c>
    </row>
    <row r="25" spans="3:10" ht="12.75" customHeight="1" x14ac:dyDescent="0.25">
      <c r="C25" s="14"/>
      <c r="D25" s="14"/>
      <c r="E25" s="14"/>
      <c r="F25" s="323"/>
      <c r="G25" s="323"/>
      <c r="H25" s="323"/>
      <c r="I25" s="323"/>
      <c r="J25" s="323"/>
    </row>
    <row r="26" spans="3:10" ht="12.75" customHeight="1" x14ac:dyDescent="0.25">
      <c r="C26" s="27" t="s">
        <v>2758</v>
      </c>
      <c r="D26" s="27"/>
      <c r="E26" s="27"/>
      <c r="F26" s="325" t="e">
        <f>F22-F24</f>
        <v>#REF!</v>
      </c>
      <c r="G26" s="325" t="e">
        <f>G22-G24</f>
        <v>#REF!</v>
      </c>
      <c r="H26" s="325" t="e">
        <f>H22-H24</f>
        <v>#REF!</v>
      </c>
      <c r="I26" s="325" t="e">
        <f>I22-I24</f>
        <v>#REF!</v>
      </c>
      <c r="J26" s="325" t="e">
        <f>J22-J24</f>
        <v>#REF!</v>
      </c>
    </row>
    <row r="27" spans="3:10" ht="12.75" customHeight="1" x14ac:dyDescent="0.25">
      <c r="C27" s="14"/>
      <c r="D27" s="14"/>
      <c r="E27" s="14"/>
      <c r="F27" s="323"/>
      <c r="G27" s="323"/>
      <c r="H27" s="323"/>
      <c r="I27" s="323"/>
      <c r="J27" s="323"/>
    </row>
    <row r="28" spans="3:10" ht="12.75" customHeight="1" x14ac:dyDescent="0.25">
      <c r="C28" s="326" t="s">
        <v>2759</v>
      </c>
      <c r="D28" s="14"/>
      <c r="E28" s="14"/>
      <c r="F28" s="323"/>
      <c r="G28" s="323"/>
      <c r="H28" s="323"/>
      <c r="I28" s="323"/>
      <c r="J28" s="323"/>
    </row>
    <row r="29" spans="3:10" ht="12.75" customHeight="1" x14ac:dyDescent="0.25">
      <c r="C29" s="326"/>
      <c r="D29" s="14" t="s">
        <v>2760</v>
      </c>
      <c r="E29" s="14"/>
      <c r="F29" s="323">
        <v>0</v>
      </c>
      <c r="G29" s="323">
        <v>0</v>
      </c>
      <c r="H29" s="323">
        <v>0</v>
      </c>
      <c r="I29" s="323">
        <v>0</v>
      </c>
      <c r="J29" s="323">
        <v>0</v>
      </c>
    </row>
    <row r="30" spans="3:10" ht="12.75" customHeight="1" x14ac:dyDescent="0.25">
      <c r="C30" s="14"/>
      <c r="D30" s="14" t="s">
        <v>2761</v>
      </c>
      <c r="E30" s="14"/>
      <c r="F30" s="323">
        <v>0</v>
      </c>
      <c r="G30" s="323">
        <v>0</v>
      </c>
      <c r="H30" s="323">
        <v>0</v>
      </c>
      <c r="I30" s="323">
        <v>0</v>
      </c>
      <c r="J30" s="323">
        <v>0</v>
      </c>
    </row>
    <row r="31" spans="3:10" ht="12.75" customHeight="1" x14ac:dyDescent="0.25">
      <c r="C31" s="14"/>
      <c r="D31" s="14"/>
      <c r="E31" s="134" t="s">
        <v>2762</v>
      </c>
      <c r="F31" s="327">
        <f>SUM(F29:F30)</f>
        <v>0</v>
      </c>
      <c r="G31" s="327">
        <f>SUM(G29:G30)</f>
        <v>0</v>
      </c>
      <c r="H31" s="327">
        <f>SUM(H29:H30)</f>
        <v>0</v>
      </c>
      <c r="I31" s="327">
        <f>SUM(I29:I30)</f>
        <v>0</v>
      </c>
      <c r="J31" s="327">
        <f>SUM(J29:J30)</f>
        <v>0</v>
      </c>
    </row>
    <row r="33" spans="3:10" ht="12.75" customHeight="1" x14ac:dyDescent="0.25">
      <c r="C33" s="326" t="s">
        <v>2763</v>
      </c>
      <c r="D33" s="14"/>
      <c r="E33" s="14"/>
      <c r="F33" s="323"/>
      <c r="G33" s="323"/>
      <c r="H33" s="323"/>
      <c r="I33" s="323"/>
      <c r="J33" s="323"/>
    </row>
    <row r="34" spans="3:10" ht="12.75" customHeight="1" x14ac:dyDescent="0.25">
      <c r="C34" s="14"/>
      <c r="D34" s="14" t="s">
        <v>2764</v>
      </c>
      <c r="E34" s="14"/>
      <c r="F34" s="324">
        <v>0</v>
      </c>
      <c r="G34" s="324">
        <v>0</v>
      </c>
      <c r="H34" s="324">
        <v>0</v>
      </c>
      <c r="I34" s="324">
        <v>0</v>
      </c>
      <c r="J34" s="324">
        <v>0</v>
      </c>
    </row>
    <row r="35" spans="3:10" ht="12.75" customHeight="1" x14ac:dyDescent="0.25">
      <c r="C35" s="14"/>
      <c r="D35" s="14"/>
      <c r="E35" s="14" t="s">
        <v>2711</v>
      </c>
      <c r="F35" s="323">
        <f>F34</f>
        <v>0</v>
      </c>
      <c r="G35" s="323">
        <f>G34</f>
        <v>0</v>
      </c>
      <c r="H35" s="323">
        <f>H34</f>
        <v>0</v>
      </c>
      <c r="I35" s="323">
        <f>I34</f>
        <v>0</v>
      </c>
      <c r="J35" s="323">
        <f>J34</f>
        <v>0</v>
      </c>
    </row>
    <row r="36" spans="3:10" ht="12.75" customHeight="1" x14ac:dyDescent="0.25">
      <c r="C36" s="14"/>
      <c r="D36" s="14"/>
      <c r="E36" s="14"/>
      <c r="F36" s="323"/>
      <c r="G36" s="323"/>
      <c r="H36" s="323"/>
      <c r="I36" s="323"/>
      <c r="J36" s="323"/>
    </row>
    <row r="37" spans="3:10" ht="12.75" customHeight="1" x14ac:dyDescent="0.25">
      <c r="C37" s="27" t="s">
        <v>2765</v>
      </c>
      <c r="D37" s="27"/>
      <c r="E37" s="27"/>
      <c r="F37" s="322" t="e">
        <f>+F26+F35+F31</f>
        <v>#REF!</v>
      </c>
      <c r="G37" s="322" t="e">
        <f>+G26+G35+G31</f>
        <v>#REF!</v>
      </c>
      <c r="H37" s="322" t="e">
        <f>+H26+H35+H31</f>
        <v>#REF!</v>
      </c>
      <c r="I37" s="322" t="e">
        <f>+I26+I35+I31</f>
        <v>#REF!</v>
      </c>
      <c r="J37" s="322" t="e">
        <f>+J26+J35+J31</f>
        <v>#REF!</v>
      </c>
    </row>
    <row r="38" spans="3:10" ht="12.75" customHeight="1" x14ac:dyDescent="0.25">
      <c r="C38" s="14"/>
      <c r="D38" s="14"/>
      <c r="E38" s="14"/>
      <c r="F38" s="323"/>
      <c r="G38" s="323"/>
      <c r="H38" s="323"/>
      <c r="I38" s="323"/>
      <c r="J38" s="323"/>
    </row>
    <row r="39" spans="3:10" ht="12.75" customHeight="1" x14ac:dyDescent="0.25">
      <c r="C39" s="326" t="s">
        <v>2766</v>
      </c>
      <c r="D39" s="14"/>
      <c r="E39" s="14"/>
      <c r="F39" s="323"/>
      <c r="G39" s="323"/>
      <c r="H39" s="323"/>
      <c r="I39" s="323"/>
      <c r="J39" s="323"/>
    </row>
    <row r="40" spans="3:10" ht="12.75" customHeight="1" x14ac:dyDescent="0.25">
      <c r="C40" s="14"/>
      <c r="D40" s="14" t="s">
        <v>2767</v>
      </c>
      <c r="E40" s="14"/>
      <c r="F40" s="323">
        <f>'Proy banco'!H60*-1</f>
        <v>-7584</v>
      </c>
      <c r="G40" s="323">
        <f>'Proy banco'!I60*-1</f>
        <v>-2600</v>
      </c>
      <c r="H40" s="323">
        <f>'Proy banco'!J60*-1</f>
        <v>-2600</v>
      </c>
      <c r="I40" s="323">
        <f>'Proy banco'!K60*-1</f>
        <v>-1600</v>
      </c>
      <c r="J40" s="323">
        <f>'Proy banco'!L60*-1</f>
        <v>-1600</v>
      </c>
    </row>
    <row r="41" spans="3:10" ht="12.75" customHeight="1" x14ac:dyDescent="0.25">
      <c r="C41" s="14"/>
      <c r="D41" s="14" t="s">
        <v>2768</v>
      </c>
      <c r="E41" s="14"/>
      <c r="F41" s="323">
        <v>0</v>
      </c>
      <c r="G41" s="323">
        <v>0</v>
      </c>
      <c r="H41" s="323">
        <v>0</v>
      </c>
      <c r="I41" s="323">
        <v>0</v>
      </c>
      <c r="J41" s="323">
        <v>0</v>
      </c>
    </row>
    <row r="42" spans="3:10" ht="12.75" customHeight="1" x14ac:dyDescent="0.25">
      <c r="C42" s="14"/>
      <c r="D42" s="14" t="s">
        <v>2769</v>
      </c>
      <c r="E42" s="14"/>
      <c r="F42" s="323">
        <v>0</v>
      </c>
      <c r="G42" s="323">
        <v>0</v>
      </c>
      <c r="H42" s="323">
        <v>0</v>
      </c>
      <c r="I42" s="323">
        <v>0</v>
      </c>
      <c r="J42" s="323">
        <v>0</v>
      </c>
    </row>
    <row r="43" spans="3:10" ht="12.75" customHeight="1" x14ac:dyDescent="0.25">
      <c r="C43" s="14"/>
      <c r="D43" s="14" t="s">
        <v>2770</v>
      </c>
      <c r="E43" s="14"/>
      <c r="F43" s="323">
        <v>0</v>
      </c>
      <c r="G43" s="323">
        <v>0</v>
      </c>
      <c r="H43" s="323">
        <v>0</v>
      </c>
      <c r="I43" s="323">
        <v>0</v>
      </c>
      <c r="J43" s="323">
        <v>0</v>
      </c>
    </row>
    <row r="44" spans="3:10" ht="12.75" customHeight="1" x14ac:dyDescent="0.25">
      <c r="C44" s="14"/>
      <c r="D44" s="14" t="s">
        <v>2771</v>
      </c>
      <c r="E44" s="14"/>
      <c r="F44" s="323">
        <v>0</v>
      </c>
      <c r="G44" s="323">
        <v>0</v>
      </c>
      <c r="H44" s="323">
        <v>0</v>
      </c>
      <c r="I44" s="323">
        <v>0</v>
      </c>
      <c r="J44" s="323">
        <v>0</v>
      </c>
    </row>
    <row r="45" spans="3:10" ht="12.75" customHeight="1" x14ac:dyDescent="0.25">
      <c r="C45" s="14"/>
      <c r="D45" s="14" t="s">
        <v>2772</v>
      </c>
      <c r="E45" s="14"/>
      <c r="F45" s="324">
        <v>0</v>
      </c>
      <c r="G45" s="324">
        <v>0</v>
      </c>
      <c r="H45" s="324">
        <v>0</v>
      </c>
      <c r="I45" s="324">
        <v>0</v>
      </c>
      <c r="J45" s="324">
        <v>0</v>
      </c>
    </row>
    <row r="46" spans="3:10" ht="12.75" customHeight="1" x14ac:dyDescent="0.25">
      <c r="C46" s="14"/>
      <c r="D46" s="14"/>
      <c r="E46" s="14" t="s">
        <v>2712</v>
      </c>
      <c r="F46" s="323">
        <f>SUM(F40:F45)</f>
        <v>-7584</v>
      </c>
      <c r="G46" s="323">
        <f>SUM(G40:G45)</f>
        <v>-2600</v>
      </c>
      <c r="H46" s="323">
        <f>SUM(H40:H45)</f>
        <v>-2600</v>
      </c>
      <c r="I46" s="323">
        <f>SUM(I40:I45)</f>
        <v>-1600</v>
      </c>
      <c r="J46" s="323">
        <f>SUM(J40:J45)</f>
        <v>-1600</v>
      </c>
    </row>
    <row r="47" spans="3:10" ht="12.75" customHeight="1" x14ac:dyDescent="0.25">
      <c r="C47" s="14"/>
      <c r="D47" s="14"/>
      <c r="E47" s="14"/>
      <c r="F47" s="323"/>
      <c r="G47" s="323"/>
      <c r="H47" s="323"/>
      <c r="I47" s="323"/>
      <c r="J47" s="323"/>
    </row>
    <row r="48" spans="3:10" ht="12.75" customHeight="1" x14ac:dyDescent="0.25">
      <c r="C48" s="27" t="s">
        <v>2773</v>
      </c>
      <c r="D48" s="27"/>
      <c r="E48" s="27"/>
      <c r="F48" s="322" t="e">
        <f>+F37+F46</f>
        <v>#REF!</v>
      </c>
      <c r="G48" s="322" t="e">
        <f>+G37+G46</f>
        <v>#REF!</v>
      </c>
      <c r="H48" s="322" t="e">
        <f>+H37+H46</f>
        <v>#REF!</v>
      </c>
      <c r="I48" s="322" t="e">
        <f>+I37+I46</f>
        <v>#REF!</v>
      </c>
      <c r="J48" s="322" t="e">
        <f>+J37+J46</f>
        <v>#REF!</v>
      </c>
    </row>
    <row r="50" spans="3:10" ht="12.75" customHeight="1" x14ac:dyDescent="0.25">
      <c r="C50" s="27" t="s">
        <v>2774</v>
      </c>
      <c r="D50" s="27"/>
      <c r="E50" s="27"/>
      <c r="F50" s="322">
        <v>0</v>
      </c>
      <c r="G50" s="322">
        <v>0</v>
      </c>
      <c r="H50" s="322">
        <v>0</v>
      </c>
      <c r="I50" s="322">
        <v>0</v>
      </c>
      <c r="J50" s="322">
        <v>0</v>
      </c>
    </row>
    <row r="51" spans="3:10" ht="12.75" customHeight="1" x14ac:dyDescent="0.25">
      <c r="C51" s="14"/>
      <c r="D51" s="14"/>
      <c r="E51" s="14"/>
      <c r="F51" s="323"/>
      <c r="G51" s="323"/>
      <c r="H51" s="323"/>
      <c r="I51" s="323"/>
      <c r="J51" s="323"/>
    </row>
    <row r="52" spans="3:10" ht="12.75" customHeight="1" x14ac:dyDescent="0.25">
      <c r="C52" s="181" t="s">
        <v>2775</v>
      </c>
      <c r="D52" s="172"/>
      <c r="E52" s="172"/>
      <c r="F52" s="328" t="e">
        <f>F26/(F40*-1)</f>
        <v>#REF!</v>
      </c>
      <c r="G52" s="328" t="e">
        <f>G26/(G40*-1)</f>
        <v>#REF!</v>
      </c>
      <c r="H52" s="329" t="e">
        <f>H26/(H40*-1)</f>
        <v>#REF!</v>
      </c>
      <c r="I52" s="330" t="e">
        <f>I26/(I40*-1)</f>
        <v>#REF!</v>
      </c>
      <c r="J52" s="330" t="e">
        <f>J26/(J40*-1)</f>
        <v>#REF!</v>
      </c>
    </row>
    <row r="53" spans="3:10" ht="12.75" customHeight="1" x14ac:dyDescent="0.25">
      <c r="F53" s="331"/>
      <c r="G53" s="331"/>
      <c r="H53" s="331"/>
      <c r="I53" s="331"/>
      <c r="J53" s="331"/>
    </row>
    <row r="54" spans="3:10" ht="12.75" customHeight="1" x14ac:dyDescent="0.25">
      <c r="C54" s="181" t="s">
        <v>2776</v>
      </c>
      <c r="D54" s="172"/>
      <c r="E54" s="172"/>
      <c r="F54" s="328" t="e">
        <f>F18/F20</f>
        <v>#REF!</v>
      </c>
      <c r="G54" s="328" t="e">
        <f>G18/G20</f>
        <v>#REF!</v>
      </c>
      <c r="H54" s="329" t="e">
        <f>H18/H20</f>
        <v>#REF!</v>
      </c>
      <c r="I54" s="330" t="e">
        <f>I18/I20</f>
        <v>#REF!</v>
      </c>
      <c r="J54" s="330" t="e">
        <f>J18/J20</f>
        <v>#REF!</v>
      </c>
    </row>
  </sheetData>
  <pageMargins left="0.78749999999999998" right="0.78749999999999998" top="0.78749999999999998" bottom="0.78749999999999998"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6:N71"/>
  <sheetViews>
    <sheetView zoomScaleNormal="100" workbookViewId="0"/>
  </sheetViews>
  <sheetFormatPr baseColWidth="10" defaultColWidth="14.44140625" defaultRowHeight="13.2" x14ac:dyDescent="0.25"/>
  <cols>
    <col min="1" max="26" width="11.33203125" customWidth="1"/>
  </cols>
  <sheetData>
    <row r="6" spans="2:14" ht="12.75" customHeight="1" x14ac:dyDescent="0.25">
      <c r="C6" t="s">
        <v>2785</v>
      </c>
      <c r="D6" t="s">
        <v>2786</v>
      </c>
    </row>
    <row r="7" spans="2:14" ht="12.75" customHeight="1" x14ac:dyDescent="0.25">
      <c r="C7" t="s">
        <v>2787</v>
      </c>
      <c r="D7">
        <v>8000</v>
      </c>
    </row>
    <row r="8" spans="2:14" ht="12.75" customHeight="1" x14ac:dyDescent="0.25">
      <c r="C8" t="s">
        <v>2788</v>
      </c>
      <c r="D8" s="151">
        <v>0.1</v>
      </c>
      <c r="E8">
        <f>+D8/12</f>
        <v>8.3333333333333332E-3</v>
      </c>
    </row>
    <row r="9" spans="2:14" ht="12.75" customHeight="1" x14ac:dyDescent="0.25">
      <c r="C9" t="s">
        <v>2789</v>
      </c>
      <c r="D9">
        <v>60</v>
      </c>
      <c r="E9" t="s">
        <v>2790</v>
      </c>
      <c r="J9">
        <v>1</v>
      </c>
      <c r="K9">
        <v>2</v>
      </c>
      <c r="L9">
        <v>3</v>
      </c>
      <c r="M9">
        <v>4</v>
      </c>
      <c r="N9">
        <v>5</v>
      </c>
    </row>
    <row r="10" spans="2:14" ht="12.75" customHeight="1" x14ac:dyDescent="0.25">
      <c r="H10" t="s">
        <v>2791</v>
      </c>
      <c r="J10" s="155">
        <f>+H23</f>
        <v>726.66666666666674</v>
      </c>
      <c r="K10" s="155">
        <f>+H35</f>
        <v>566.6666666666672</v>
      </c>
      <c r="L10" s="155">
        <f>+H47</f>
        <v>406.66666666666748</v>
      </c>
      <c r="M10" s="155">
        <f>+H59</f>
        <v>246.66666666666737</v>
      </c>
      <c r="N10" s="155">
        <f>+H71</f>
        <v>86.666666666667368</v>
      </c>
    </row>
    <row r="11" spans="2:14" ht="12.75" customHeight="1" x14ac:dyDescent="0.25">
      <c r="C11" t="s">
        <v>2792</v>
      </c>
      <c r="E11" t="s">
        <v>2791</v>
      </c>
      <c r="F11" t="s">
        <v>2793</v>
      </c>
      <c r="G11" t="s">
        <v>2794</v>
      </c>
      <c r="I11" t="s">
        <v>2792</v>
      </c>
      <c r="J11">
        <f>+D12*12</f>
        <v>1600</v>
      </c>
      <c r="K11">
        <f>+J11</f>
        <v>1600</v>
      </c>
      <c r="L11">
        <f>+K11</f>
        <v>1600</v>
      </c>
      <c r="M11">
        <f>+L11</f>
        <v>1600</v>
      </c>
      <c r="N11">
        <f>+M11</f>
        <v>1600</v>
      </c>
    </row>
    <row r="12" spans="2:14" ht="12.75" customHeight="1" x14ac:dyDescent="0.25">
      <c r="B12">
        <v>1</v>
      </c>
      <c r="C12" s="155">
        <f>+D7</f>
        <v>8000</v>
      </c>
      <c r="D12" s="155">
        <f>+C12/D9</f>
        <v>133.33333333333334</v>
      </c>
      <c r="E12" s="155">
        <f t="shared" ref="E12:E43" si="0">+C12*$E$8</f>
        <v>66.666666666666671</v>
      </c>
      <c r="F12" s="155">
        <f t="shared" ref="F12:F43" si="1">+D12+E12</f>
        <v>200</v>
      </c>
      <c r="G12" s="155">
        <f t="shared" ref="G12:G43" si="2">+C12-D12</f>
        <v>7866.666666666667</v>
      </c>
    </row>
    <row r="13" spans="2:14" ht="12.75" customHeight="1" x14ac:dyDescent="0.25">
      <c r="B13">
        <v>2</v>
      </c>
      <c r="C13" s="155">
        <f t="shared" ref="C13:C44" si="3">+G12</f>
        <v>7866.666666666667</v>
      </c>
      <c r="D13" s="155">
        <f t="shared" ref="D13:D44" si="4">+D12</f>
        <v>133.33333333333334</v>
      </c>
      <c r="E13" s="155">
        <f t="shared" si="0"/>
        <v>65.555555555555557</v>
      </c>
      <c r="F13" s="155">
        <f t="shared" si="1"/>
        <v>198.88888888888891</v>
      </c>
      <c r="G13" s="155">
        <f t="shared" si="2"/>
        <v>7733.3333333333339</v>
      </c>
    </row>
    <row r="14" spans="2:14" ht="12.75" customHeight="1" x14ac:dyDescent="0.25">
      <c r="B14">
        <v>3</v>
      </c>
      <c r="C14" s="155">
        <f t="shared" si="3"/>
        <v>7733.3333333333339</v>
      </c>
      <c r="D14" s="155">
        <f t="shared" si="4"/>
        <v>133.33333333333334</v>
      </c>
      <c r="E14" s="155">
        <f t="shared" si="0"/>
        <v>64.444444444444443</v>
      </c>
      <c r="F14" s="155">
        <f t="shared" si="1"/>
        <v>197.77777777777777</v>
      </c>
      <c r="G14" s="155">
        <f t="shared" si="2"/>
        <v>7600.0000000000009</v>
      </c>
    </row>
    <row r="15" spans="2:14" ht="12.75" customHeight="1" x14ac:dyDescent="0.25">
      <c r="B15">
        <v>4</v>
      </c>
      <c r="C15" s="155">
        <f t="shared" si="3"/>
        <v>7600.0000000000009</v>
      </c>
      <c r="D15" s="155">
        <f t="shared" si="4"/>
        <v>133.33333333333334</v>
      </c>
      <c r="E15" s="155">
        <f t="shared" si="0"/>
        <v>63.333333333333343</v>
      </c>
      <c r="F15" s="155">
        <f t="shared" si="1"/>
        <v>196.66666666666669</v>
      </c>
      <c r="G15" s="155">
        <f t="shared" si="2"/>
        <v>7466.6666666666679</v>
      </c>
    </row>
    <row r="16" spans="2:14" ht="12.75" customHeight="1" x14ac:dyDescent="0.25">
      <c r="B16">
        <v>5</v>
      </c>
      <c r="C16" s="155">
        <f t="shared" si="3"/>
        <v>7466.6666666666679</v>
      </c>
      <c r="D16" s="155">
        <f t="shared" si="4"/>
        <v>133.33333333333334</v>
      </c>
      <c r="E16" s="155">
        <f t="shared" si="0"/>
        <v>62.222222222222229</v>
      </c>
      <c r="F16" s="155">
        <f t="shared" si="1"/>
        <v>195.55555555555557</v>
      </c>
      <c r="G16" s="155">
        <f t="shared" si="2"/>
        <v>7333.3333333333348</v>
      </c>
    </row>
    <row r="17" spans="2:8" ht="12.75" customHeight="1" x14ac:dyDescent="0.25">
      <c r="B17">
        <v>6</v>
      </c>
      <c r="C17" s="155">
        <f t="shared" si="3"/>
        <v>7333.3333333333348</v>
      </c>
      <c r="D17" s="155">
        <f t="shared" si="4"/>
        <v>133.33333333333334</v>
      </c>
      <c r="E17" s="155">
        <f t="shared" si="0"/>
        <v>61.111111111111121</v>
      </c>
      <c r="F17" s="155">
        <f t="shared" si="1"/>
        <v>194.44444444444446</v>
      </c>
      <c r="G17" s="155">
        <f t="shared" si="2"/>
        <v>7200.0000000000018</v>
      </c>
    </row>
    <row r="18" spans="2:8" ht="12.75" customHeight="1" x14ac:dyDescent="0.25">
      <c r="B18">
        <v>7</v>
      </c>
      <c r="C18" s="155">
        <f t="shared" si="3"/>
        <v>7200.0000000000018</v>
      </c>
      <c r="D18" s="155">
        <f t="shared" si="4"/>
        <v>133.33333333333334</v>
      </c>
      <c r="E18" s="155">
        <f t="shared" si="0"/>
        <v>60.000000000000014</v>
      </c>
      <c r="F18" s="155">
        <f t="shared" si="1"/>
        <v>193.33333333333337</v>
      </c>
      <c r="G18" s="155">
        <f t="shared" si="2"/>
        <v>7066.6666666666688</v>
      </c>
    </row>
    <row r="19" spans="2:8" ht="12.75" customHeight="1" x14ac:dyDescent="0.25">
      <c r="B19">
        <v>8</v>
      </c>
      <c r="C19" s="155">
        <f t="shared" si="3"/>
        <v>7066.6666666666688</v>
      </c>
      <c r="D19" s="155">
        <f t="shared" si="4"/>
        <v>133.33333333333334</v>
      </c>
      <c r="E19" s="155">
        <f t="shared" si="0"/>
        <v>58.888888888888907</v>
      </c>
      <c r="F19" s="155">
        <f t="shared" si="1"/>
        <v>192.22222222222226</v>
      </c>
      <c r="G19" s="155">
        <f t="shared" si="2"/>
        <v>6933.3333333333358</v>
      </c>
    </row>
    <row r="20" spans="2:8" ht="12.75" customHeight="1" x14ac:dyDescent="0.25">
      <c r="B20">
        <v>9</v>
      </c>
      <c r="C20" s="155">
        <f t="shared" si="3"/>
        <v>6933.3333333333358</v>
      </c>
      <c r="D20" s="155">
        <f t="shared" si="4"/>
        <v>133.33333333333334</v>
      </c>
      <c r="E20" s="155">
        <f t="shared" si="0"/>
        <v>57.7777777777778</v>
      </c>
      <c r="F20" s="155">
        <f t="shared" si="1"/>
        <v>191.11111111111114</v>
      </c>
      <c r="G20" s="155">
        <f t="shared" si="2"/>
        <v>6800.0000000000027</v>
      </c>
    </row>
    <row r="21" spans="2:8" ht="12.75" customHeight="1" x14ac:dyDescent="0.25">
      <c r="B21">
        <v>10</v>
      </c>
      <c r="C21" s="155">
        <f t="shared" si="3"/>
        <v>6800.0000000000027</v>
      </c>
      <c r="D21" s="155">
        <f t="shared" si="4"/>
        <v>133.33333333333334</v>
      </c>
      <c r="E21" s="155">
        <f t="shared" si="0"/>
        <v>56.666666666666686</v>
      </c>
      <c r="F21" s="155">
        <f t="shared" si="1"/>
        <v>190.00000000000003</v>
      </c>
      <c r="G21" s="155">
        <f t="shared" si="2"/>
        <v>6666.6666666666697</v>
      </c>
    </row>
    <row r="22" spans="2:8" ht="12.75" customHeight="1" x14ac:dyDescent="0.25">
      <c r="B22">
        <v>11</v>
      </c>
      <c r="C22" s="155">
        <f t="shared" si="3"/>
        <v>6666.6666666666697</v>
      </c>
      <c r="D22" s="155">
        <f t="shared" si="4"/>
        <v>133.33333333333334</v>
      </c>
      <c r="E22" s="155">
        <f t="shared" si="0"/>
        <v>55.555555555555578</v>
      </c>
      <c r="F22" s="155">
        <f t="shared" si="1"/>
        <v>188.88888888888891</v>
      </c>
      <c r="G22" s="155">
        <f t="shared" si="2"/>
        <v>6533.3333333333367</v>
      </c>
    </row>
    <row r="23" spans="2:8" ht="12.75" customHeight="1" x14ac:dyDescent="0.25">
      <c r="B23">
        <v>12</v>
      </c>
      <c r="C23" s="155">
        <f t="shared" si="3"/>
        <v>6533.3333333333367</v>
      </c>
      <c r="D23" s="155">
        <f t="shared" si="4"/>
        <v>133.33333333333334</v>
      </c>
      <c r="E23" s="155">
        <f t="shared" si="0"/>
        <v>54.444444444444471</v>
      </c>
      <c r="F23" s="155">
        <f t="shared" si="1"/>
        <v>187.77777777777783</v>
      </c>
      <c r="G23" s="155">
        <f t="shared" si="2"/>
        <v>6400.0000000000036</v>
      </c>
      <c r="H23" s="155">
        <f>SUM(E12:E23)</f>
        <v>726.66666666666674</v>
      </c>
    </row>
    <row r="24" spans="2:8" ht="12.75" customHeight="1" x14ac:dyDescent="0.25">
      <c r="B24">
        <v>13</v>
      </c>
      <c r="C24" s="155">
        <f t="shared" si="3"/>
        <v>6400.0000000000036</v>
      </c>
      <c r="D24" s="155">
        <f t="shared" si="4"/>
        <v>133.33333333333334</v>
      </c>
      <c r="E24" s="155">
        <f t="shared" si="0"/>
        <v>53.333333333333364</v>
      </c>
      <c r="F24" s="155">
        <f t="shared" si="1"/>
        <v>186.66666666666671</v>
      </c>
      <c r="G24" s="155">
        <f t="shared" si="2"/>
        <v>6266.6666666666706</v>
      </c>
    </row>
    <row r="25" spans="2:8" ht="12.75" customHeight="1" x14ac:dyDescent="0.25">
      <c r="B25">
        <v>14</v>
      </c>
      <c r="C25" s="155">
        <f t="shared" si="3"/>
        <v>6266.6666666666706</v>
      </c>
      <c r="D25" s="155">
        <f t="shared" si="4"/>
        <v>133.33333333333334</v>
      </c>
      <c r="E25" s="155">
        <f t="shared" si="0"/>
        <v>52.222222222222257</v>
      </c>
      <c r="F25" s="155">
        <f t="shared" si="1"/>
        <v>185.5555555555556</v>
      </c>
      <c r="G25" s="155">
        <f t="shared" si="2"/>
        <v>6133.3333333333376</v>
      </c>
    </row>
    <row r="26" spans="2:8" ht="12.75" customHeight="1" x14ac:dyDescent="0.25">
      <c r="B26">
        <v>15</v>
      </c>
      <c r="C26" s="155">
        <f t="shared" si="3"/>
        <v>6133.3333333333376</v>
      </c>
      <c r="D26" s="155">
        <f t="shared" si="4"/>
        <v>133.33333333333334</v>
      </c>
      <c r="E26" s="155">
        <f t="shared" si="0"/>
        <v>51.111111111111143</v>
      </c>
      <c r="F26" s="155">
        <f t="shared" si="1"/>
        <v>184.44444444444449</v>
      </c>
      <c r="G26" s="155">
        <f t="shared" si="2"/>
        <v>6000.0000000000045</v>
      </c>
    </row>
    <row r="27" spans="2:8" ht="12.75" customHeight="1" x14ac:dyDescent="0.25">
      <c r="B27">
        <v>16</v>
      </c>
      <c r="C27" s="155">
        <f t="shared" si="3"/>
        <v>6000.0000000000045</v>
      </c>
      <c r="D27" s="155">
        <f t="shared" si="4"/>
        <v>133.33333333333334</v>
      </c>
      <c r="E27" s="155">
        <f t="shared" si="0"/>
        <v>50.000000000000036</v>
      </c>
      <c r="F27" s="155">
        <f t="shared" si="1"/>
        <v>183.33333333333337</v>
      </c>
      <c r="G27" s="155">
        <f t="shared" si="2"/>
        <v>5866.6666666666715</v>
      </c>
    </row>
    <row r="28" spans="2:8" ht="12.75" customHeight="1" x14ac:dyDescent="0.25">
      <c r="B28">
        <v>17</v>
      </c>
      <c r="C28" s="155">
        <f t="shared" si="3"/>
        <v>5866.6666666666715</v>
      </c>
      <c r="D28" s="155">
        <f t="shared" si="4"/>
        <v>133.33333333333334</v>
      </c>
      <c r="E28" s="155">
        <f t="shared" si="0"/>
        <v>48.888888888888928</v>
      </c>
      <c r="F28" s="155">
        <f t="shared" si="1"/>
        <v>182.22222222222229</v>
      </c>
      <c r="G28" s="155">
        <f t="shared" si="2"/>
        <v>5733.3333333333385</v>
      </c>
    </row>
    <row r="29" spans="2:8" ht="12.75" customHeight="1" x14ac:dyDescent="0.25">
      <c r="B29">
        <v>18</v>
      </c>
      <c r="C29" s="155">
        <f t="shared" si="3"/>
        <v>5733.3333333333385</v>
      </c>
      <c r="D29" s="155">
        <f t="shared" si="4"/>
        <v>133.33333333333334</v>
      </c>
      <c r="E29" s="155">
        <f t="shared" si="0"/>
        <v>47.777777777777821</v>
      </c>
      <c r="F29" s="155">
        <f t="shared" si="1"/>
        <v>181.11111111111117</v>
      </c>
      <c r="G29" s="155">
        <f t="shared" si="2"/>
        <v>5600.0000000000055</v>
      </c>
    </row>
    <row r="30" spans="2:8" ht="12.75" customHeight="1" x14ac:dyDescent="0.25">
      <c r="B30">
        <v>19</v>
      </c>
      <c r="C30" s="155">
        <f t="shared" si="3"/>
        <v>5600.0000000000055</v>
      </c>
      <c r="D30" s="155">
        <f t="shared" si="4"/>
        <v>133.33333333333334</v>
      </c>
      <c r="E30" s="155">
        <f t="shared" si="0"/>
        <v>46.666666666666714</v>
      </c>
      <c r="F30" s="155">
        <f t="shared" si="1"/>
        <v>180.00000000000006</v>
      </c>
      <c r="G30" s="155">
        <f t="shared" si="2"/>
        <v>5466.6666666666724</v>
      </c>
    </row>
    <row r="31" spans="2:8" ht="12.75" customHeight="1" x14ac:dyDescent="0.25">
      <c r="B31">
        <v>20</v>
      </c>
      <c r="C31" s="155">
        <f t="shared" si="3"/>
        <v>5466.6666666666724</v>
      </c>
      <c r="D31" s="155">
        <f t="shared" si="4"/>
        <v>133.33333333333334</v>
      </c>
      <c r="E31" s="155">
        <f t="shared" si="0"/>
        <v>45.5555555555556</v>
      </c>
      <c r="F31" s="155">
        <f t="shared" si="1"/>
        <v>178.88888888888894</v>
      </c>
      <c r="G31" s="155">
        <f t="shared" si="2"/>
        <v>5333.3333333333394</v>
      </c>
    </row>
    <row r="32" spans="2:8" ht="12.75" customHeight="1" x14ac:dyDescent="0.25">
      <c r="B32">
        <v>21</v>
      </c>
      <c r="C32" s="155">
        <f t="shared" si="3"/>
        <v>5333.3333333333394</v>
      </c>
      <c r="D32" s="155">
        <f t="shared" si="4"/>
        <v>133.33333333333334</v>
      </c>
      <c r="E32" s="155">
        <f t="shared" si="0"/>
        <v>44.444444444444493</v>
      </c>
      <c r="F32" s="155">
        <f t="shared" si="1"/>
        <v>177.77777777777783</v>
      </c>
      <c r="G32" s="155">
        <f t="shared" si="2"/>
        <v>5200.0000000000064</v>
      </c>
    </row>
    <row r="33" spans="2:8" ht="12.75" customHeight="1" x14ac:dyDescent="0.25">
      <c r="B33">
        <v>22</v>
      </c>
      <c r="C33" s="155">
        <f t="shared" si="3"/>
        <v>5200.0000000000064</v>
      </c>
      <c r="D33" s="155">
        <f t="shared" si="4"/>
        <v>133.33333333333334</v>
      </c>
      <c r="E33" s="155">
        <f t="shared" si="0"/>
        <v>43.333333333333385</v>
      </c>
      <c r="F33" s="155">
        <f t="shared" si="1"/>
        <v>176.66666666666674</v>
      </c>
      <c r="G33" s="155">
        <f t="shared" si="2"/>
        <v>5066.6666666666733</v>
      </c>
    </row>
    <row r="34" spans="2:8" ht="12.75" customHeight="1" x14ac:dyDescent="0.25">
      <c r="B34">
        <v>23</v>
      </c>
      <c r="C34" s="155">
        <f t="shared" si="3"/>
        <v>5066.6666666666733</v>
      </c>
      <c r="D34" s="155">
        <f t="shared" si="4"/>
        <v>133.33333333333334</v>
      </c>
      <c r="E34" s="155">
        <f t="shared" si="0"/>
        <v>42.222222222222278</v>
      </c>
      <c r="F34" s="155">
        <f t="shared" si="1"/>
        <v>175.55555555555563</v>
      </c>
      <c r="G34" s="155">
        <f t="shared" si="2"/>
        <v>4933.3333333333403</v>
      </c>
    </row>
    <row r="35" spans="2:8" ht="12.75" customHeight="1" x14ac:dyDescent="0.25">
      <c r="B35">
        <v>24</v>
      </c>
      <c r="C35" s="155">
        <f t="shared" si="3"/>
        <v>4933.3333333333403</v>
      </c>
      <c r="D35" s="155">
        <f t="shared" si="4"/>
        <v>133.33333333333334</v>
      </c>
      <c r="E35" s="155">
        <f t="shared" si="0"/>
        <v>41.111111111111171</v>
      </c>
      <c r="F35" s="155">
        <f t="shared" si="1"/>
        <v>174.44444444444451</v>
      </c>
      <c r="G35" s="155">
        <f t="shared" si="2"/>
        <v>4800.0000000000073</v>
      </c>
      <c r="H35" s="155">
        <f>SUM(E24:E35)</f>
        <v>566.6666666666672</v>
      </c>
    </row>
    <row r="36" spans="2:8" ht="12.75" customHeight="1" x14ac:dyDescent="0.25">
      <c r="B36">
        <v>25</v>
      </c>
      <c r="C36" s="155">
        <f t="shared" si="3"/>
        <v>4800.0000000000073</v>
      </c>
      <c r="D36" s="155">
        <f t="shared" si="4"/>
        <v>133.33333333333334</v>
      </c>
      <c r="E36" s="155">
        <f t="shared" si="0"/>
        <v>40.000000000000057</v>
      </c>
      <c r="F36" s="155">
        <f t="shared" si="1"/>
        <v>173.3333333333334</v>
      </c>
      <c r="G36" s="155">
        <f t="shared" si="2"/>
        <v>4666.6666666666742</v>
      </c>
    </row>
    <row r="37" spans="2:8" ht="12.75" customHeight="1" x14ac:dyDescent="0.25">
      <c r="B37">
        <v>26</v>
      </c>
      <c r="C37" s="155">
        <f t="shared" si="3"/>
        <v>4666.6666666666742</v>
      </c>
      <c r="D37" s="155">
        <f t="shared" si="4"/>
        <v>133.33333333333334</v>
      </c>
      <c r="E37" s="155">
        <f t="shared" si="0"/>
        <v>38.88888888888895</v>
      </c>
      <c r="F37" s="155">
        <f t="shared" si="1"/>
        <v>172.22222222222229</v>
      </c>
      <c r="G37" s="155">
        <f t="shared" si="2"/>
        <v>4533.3333333333412</v>
      </c>
    </row>
    <row r="38" spans="2:8" ht="12.75" customHeight="1" x14ac:dyDescent="0.25">
      <c r="B38">
        <v>27</v>
      </c>
      <c r="C38" s="155">
        <f t="shared" si="3"/>
        <v>4533.3333333333412</v>
      </c>
      <c r="D38" s="155">
        <f t="shared" si="4"/>
        <v>133.33333333333334</v>
      </c>
      <c r="E38" s="155">
        <f t="shared" si="0"/>
        <v>37.777777777777843</v>
      </c>
      <c r="F38" s="155">
        <f t="shared" si="1"/>
        <v>171.1111111111112</v>
      </c>
      <c r="G38" s="155">
        <f t="shared" si="2"/>
        <v>4400.0000000000082</v>
      </c>
    </row>
    <row r="39" spans="2:8" ht="12.75" customHeight="1" x14ac:dyDescent="0.25">
      <c r="B39">
        <v>28</v>
      </c>
      <c r="C39" s="155">
        <f t="shared" si="3"/>
        <v>4400.0000000000082</v>
      </c>
      <c r="D39" s="155">
        <f t="shared" si="4"/>
        <v>133.33333333333334</v>
      </c>
      <c r="E39" s="155">
        <f t="shared" si="0"/>
        <v>36.666666666666735</v>
      </c>
      <c r="F39" s="155">
        <f t="shared" si="1"/>
        <v>170.00000000000009</v>
      </c>
      <c r="G39" s="155">
        <f t="shared" si="2"/>
        <v>4266.6666666666752</v>
      </c>
    </row>
    <row r="40" spans="2:8" ht="12.75" customHeight="1" x14ac:dyDescent="0.25">
      <c r="B40">
        <v>29</v>
      </c>
      <c r="C40" s="155">
        <f t="shared" si="3"/>
        <v>4266.6666666666752</v>
      </c>
      <c r="D40" s="155">
        <f t="shared" si="4"/>
        <v>133.33333333333334</v>
      </c>
      <c r="E40" s="155">
        <f t="shared" si="0"/>
        <v>35.555555555555628</v>
      </c>
      <c r="F40" s="155">
        <f t="shared" si="1"/>
        <v>168.88888888888897</v>
      </c>
      <c r="G40" s="155">
        <f t="shared" si="2"/>
        <v>4133.3333333333421</v>
      </c>
    </row>
    <row r="41" spans="2:8" ht="12.75" customHeight="1" x14ac:dyDescent="0.25">
      <c r="B41">
        <v>30</v>
      </c>
      <c r="C41" s="155">
        <f t="shared" si="3"/>
        <v>4133.3333333333421</v>
      </c>
      <c r="D41" s="155">
        <f t="shared" si="4"/>
        <v>133.33333333333334</v>
      </c>
      <c r="E41" s="155">
        <f t="shared" si="0"/>
        <v>34.444444444444514</v>
      </c>
      <c r="F41" s="155">
        <f t="shared" si="1"/>
        <v>167.77777777777786</v>
      </c>
      <c r="G41" s="155">
        <f t="shared" si="2"/>
        <v>4000.0000000000086</v>
      </c>
    </row>
    <row r="42" spans="2:8" ht="12.75" customHeight="1" x14ac:dyDescent="0.25">
      <c r="B42">
        <v>31</v>
      </c>
      <c r="C42" s="155">
        <f t="shared" si="3"/>
        <v>4000.0000000000086</v>
      </c>
      <c r="D42" s="155">
        <f t="shared" si="4"/>
        <v>133.33333333333334</v>
      </c>
      <c r="E42" s="155">
        <f t="shared" si="0"/>
        <v>33.333333333333407</v>
      </c>
      <c r="F42" s="155">
        <f t="shared" si="1"/>
        <v>166.66666666666674</v>
      </c>
      <c r="G42" s="155">
        <f t="shared" si="2"/>
        <v>3866.6666666666752</v>
      </c>
    </row>
    <row r="43" spans="2:8" ht="12.75" customHeight="1" x14ac:dyDescent="0.25">
      <c r="B43">
        <v>32</v>
      </c>
      <c r="C43" s="155">
        <f t="shared" si="3"/>
        <v>3866.6666666666752</v>
      </c>
      <c r="D43" s="155">
        <f t="shared" si="4"/>
        <v>133.33333333333334</v>
      </c>
      <c r="E43" s="155">
        <f t="shared" si="0"/>
        <v>32.222222222222292</v>
      </c>
      <c r="F43" s="155">
        <f t="shared" si="1"/>
        <v>165.55555555555563</v>
      </c>
      <c r="G43" s="155">
        <f t="shared" si="2"/>
        <v>3733.3333333333417</v>
      </c>
    </row>
    <row r="44" spans="2:8" ht="12.75" customHeight="1" x14ac:dyDescent="0.25">
      <c r="B44">
        <v>33</v>
      </c>
      <c r="C44" s="155">
        <f t="shared" si="3"/>
        <v>3733.3333333333417</v>
      </c>
      <c r="D44" s="155">
        <f t="shared" si="4"/>
        <v>133.33333333333334</v>
      </c>
      <c r="E44" s="155">
        <f t="shared" ref="E44:E71" si="5">+C44*$E$8</f>
        <v>31.111111111111182</v>
      </c>
      <c r="F44" s="155">
        <f t="shared" ref="F44:F71" si="6">+D44+E44</f>
        <v>164.44444444444451</v>
      </c>
      <c r="G44" s="155">
        <f t="shared" ref="G44:G71" si="7">+C44-D44</f>
        <v>3600.0000000000082</v>
      </c>
    </row>
    <row r="45" spans="2:8" ht="12.75" customHeight="1" x14ac:dyDescent="0.25">
      <c r="B45">
        <v>34</v>
      </c>
      <c r="C45" s="155">
        <f t="shared" ref="C45:C71" si="8">+G44</f>
        <v>3600.0000000000082</v>
      </c>
      <c r="D45" s="155">
        <f t="shared" ref="D45:D71" si="9">+D44</f>
        <v>133.33333333333334</v>
      </c>
      <c r="E45" s="155">
        <f t="shared" si="5"/>
        <v>30.000000000000068</v>
      </c>
      <c r="F45" s="155">
        <f t="shared" si="6"/>
        <v>163.3333333333334</v>
      </c>
      <c r="G45" s="155">
        <f t="shared" si="7"/>
        <v>3466.6666666666747</v>
      </c>
    </row>
    <row r="46" spans="2:8" ht="12.75" customHeight="1" x14ac:dyDescent="0.25">
      <c r="B46">
        <v>35</v>
      </c>
      <c r="C46" s="155">
        <f t="shared" si="8"/>
        <v>3466.6666666666747</v>
      </c>
      <c r="D46" s="155">
        <f t="shared" si="9"/>
        <v>133.33333333333334</v>
      </c>
      <c r="E46" s="155">
        <f t="shared" si="5"/>
        <v>28.888888888888957</v>
      </c>
      <c r="F46" s="155">
        <f t="shared" si="6"/>
        <v>162.22222222222229</v>
      </c>
      <c r="G46" s="155">
        <f t="shared" si="7"/>
        <v>3333.3333333333412</v>
      </c>
    </row>
    <row r="47" spans="2:8" ht="12.75" customHeight="1" x14ac:dyDescent="0.25">
      <c r="B47">
        <v>36</v>
      </c>
      <c r="C47" s="155">
        <f t="shared" si="8"/>
        <v>3333.3333333333412</v>
      </c>
      <c r="D47" s="155">
        <f t="shared" si="9"/>
        <v>133.33333333333334</v>
      </c>
      <c r="E47" s="155">
        <f t="shared" si="5"/>
        <v>27.777777777777843</v>
      </c>
      <c r="F47" s="155">
        <f t="shared" si="6"/>
        <v>161.1111111111112</v>
      </c>
      <c r="G47" s="155">
        <f t="shared" si="7"/>
        <v>3200.0000000000077</v>
      </c>
      <c r="H47" s="155">
        <f>SUM(E36:E47)</f>
        <v>406.66666666666748</v>
      </c>
    </row>
    <row r="48" spans="2:8" ht="12.75" customHeight="1" x14ac:dyDescent="0.25">
      <c r="B48">
        <v>37</v>
      </c>
      <c r="C48" s="155">
        <f t="shared" si="8"/>
        <v>3200.0000000000077</v>
      </c>
      <c r="D48" s="155">
        <f t="shared" si="9"/>
        <v>133.33333333333334</v>
      </c>
      <c r="E48" s="155">
        <f t="shared" si="5"/>
        <v>26.666666666666732</v>
      </c>
      <c r="F48" s="155">
        <f t="shared" si="6"/>
        <v>160.00000000000009</v>
      </c>
      <c r="G48" s="155">
        <f t="shared" si="7"/>
        <v>3066.6666666666742</v>
      </c>
    </row>
    <row r="49" spans="2:8" ht="12.75" customHeight="1" x14ac:dyDescent="0.25">
      <c r="B49">
        <v>38</v>
      </c>
      <c r="C49" s="155">
        <f t="shared" si="8"/>
        <v>3066.6666666666742</v>
      </c>
      <c r="D49" s="155">
        <f t="shared" si="9"/>
        <v>133.33333333333334</v>
      </c>
      <c r="E49" s="155">
        <f t="shared" si="5"/>
        <v>25.555555555555618</v>
      </c>
      <c r="F49" s="155">
        <f t="shared" si="6"/>
        <v>158.88888888888897</v>
      </c>
      <c r="G49" s="155">
        <f t="shared" si="7"/>
        <v>2933.3333333333408</v>
      </c>
    </row>
    <row r="50" spans="2:8" ht="12.75" customHeight="1" x14ac:dyDescent="0.25">
      <c r="B50">
        <v>39</v>
      </c>
      <c r="C50" s="155">
        <f t="shared" si="8"/>
        <v>2933.3333333333408</v>
      </c>
      <c r="D50" s="155">
        <f t="shared" si="9"/>
        <v>133.33333333333334</v>
      </c>
      <c r="E50" s="155">
        <f t="shared" si="5"/>
        <v>24.444444444444507</v>
      </c>
      <c r="F50" s="155">
        <f t="shared" si="6"/>
        <v>157.77777777777786</v>
      </c>
      <c r="G50" s="155">
        <f t="shared" si="7"/>
        <v>2800.0000000000073</v>
      </c>
    </row>
    <row r="51" spans="2:8" ht="12.75" customHeight="1" x14ac:dyDescent="0.25">
      <c r="B51">
        <v>40</v>
      </c>
      <c r="C51" s="155">
        <f t="shared" si="8"/>
        <v>2800.0000000000073</v>
      </c>
      <c r="D51" s="155">
        <f t="shared" si="9"/>
        <v>133.33333333333334</v>
      </c>
      <c r="E51" s="155">
        <f t="shared" si="5"/>
        <v>23.333333333333393</v>
      </c>
      <c r="F51" s="155">
        <f t="shared" si="6"/>
        <v>156.66666666666674</v>
      </c>
      <c r="G51" s="155">
        <f t="shared" si="7"/>
        <v>2666.6666666666738</v>
      </c>
    </row>
    <row r="52" spans="2:8" ht="12.75" customHeight="1" x14ac:dyDescent="0.25">
      <c r="B52">
        <v>41</v>
      </c>
      <c r="C52" s="155">
        <f t="shared" si="8"/>
        <v>2666.6666666666738</v>
      </c>
      <c r="D52" s="155">
        <f t="shared" si="9"/>
        <v>133.33333333333334</v>
      </c>
      <c r="E52" s="155">
        <f t="shared" si="5"/>
        <v>22.222222222222282</v>
      </c>
      <c r="F52" s="155">
        <f t="shared" si="6"/>
        <v>155.55555555555563</v>
      </c>
      <c r="G52" s="155">
        <f t="shared" si="7"/>
        <v>2533.3333333333403</v>
      </c>
    </row>
    <row r="53" spans="2:8" ht="12.75" customHeight="1" x14ac:dyDescent="0.25">
      <c r="B53">
        <v>42</v>
      </c>
      <c r="C53" s="155">
        <f t="shared" si="8"/>
        <v>2533.3333333333403</v>
      </c>
      <c r="D53" s="155">
        <f t="shared" si="9"/>
        <v>133.33333333333334</v>
      </c>
      <c r="E53" s="155">
        <f t="shared" si="5"/>
        <v>21.111111111111168</v>
      </c>
      <c r="F53" s="155">
        <f t="shared" si="6"/>
        <v>154.44444444444451</v>
      </c>
      <c r="G53" s="155">
        <f t="shared" si="7"/>
        <v>2400.0000000000068</v>
      </c>
    </row>
    <row r="54" spans="2:8" ht="12.75" customHeight="1" x14ac:dyDescent="0.25">
      <c r="B54">
        <v>43</v>
      </c>
      <c r="C54" s="155">
        <f t="shared" si="8"/>
        <v>2400.0000000000068</v>
      </c>
      <c r="D54" s="155">
        <f t="shared" si="9"/>
        <v>133.33333333333334</v>
      </c>
      <c r="E54" s="155">
        <f t="shared" si="5"/>
        <v>20.000000000000057</v>
      </c>
      <c r="F54" s="155">
        <f t="shared" si="6"/>
        <v>153.3333333333334</v>
      </c>
      <c r="G54" s="155">
        <f t="shared" si="7"/>
        <v>2266.6666666666733</v>
      </c>
    </row>
    <row r="55" spans="2:8" ht="12.75" customHeight="1" x14ac:dyDescent="0.25">
      <c r="B55">
        <v>44</v>
      </c>
      <c r="C55" s="155">
        <f t="shared" si="8"/>
        <v>2266.6666666666733</v>
      </c>
      <c r="D55" s="155">
        <f t="shared" si="9"/>
        <v>133.33333333333334</v>
      </c>
      <c r="E55" s="155">
        <f t="shared" si="5"/>
        <v>18.888888888888943</v>
      </c>
      <c r="F55" s="155">
        <f t="shared" si="6"/>
        <v>152.22222222222229</v>
      </c>
      <c r="G55" s="155">
        <f t="shared" si="7"/>
        <v>2133.3333333333399</v>
      </c>
    </row>
    <row r="56" spans="2:8" ht="12.75" customHeight="1" x14ac:dyDescent="0.25">
      <c r="B56">
        <v>45</v>
      </c>
      <c r="C56" s="155">
        <f t="shared" si="8"/>
        <v>2133.3333333333399</v>
      </c>
      <c r="D56" s="155">
        <f t="shared" si="9"/>
        <v>133.33333333333334</v>
      </c>
      <c r="E56" s="155">
        <f t="shared" si="5"/>
        <v>17.777777777777832</v>
      </c>
      <c r="F56" s="155">
        <f t="shared" si="6"/>
        <v>151.11111111111117</v>
      </c>
      <c r="G56" s="155">
        <f t="shared" si="7"/>
        <v>2000.0000000000066</v>
      </c>
    </row>
    <row r="57" spans="2:8" ht="12.75" customHeight="1" x14ac:dyDescent="0.25">
      <c r="B57">
        <v>46</v>
      </c>
      <c r="C57" s="155">
        <f t="shared" si="8"/>
        <v>2000.0000000000066</v>
      </c>
      <c r="D57" s="155">
        <f t="shared" si="9"/>
        <v>133.33333333333334</v>
      </c>
      <c r="E57" s="155">
        <f t="shared" si="5"/>
        <v>16.666666666666721</v>
      </c>
      <c r="F57" s="155">
        <f t="shared" si="6"/>
        <v>150.00000000000006</v>
      </c>
      <c r="G57" s="155">
        <f t="shared" si="7"/>
        <v>1866.6666666666733</v>
      </c>
    </row>
    <row r="58" spans="2:8" ht="12.75" customHeight="1" x14ac:dyDescent="0.25">
      <c r="B58">
        <v>47</v>
      </c>
      <c r="C58" s="155">
        <f t="shared" si="8"/>
        <v>1866.6666666666733</v>
      </c>
      <c r="D58" s="155">
        <f t="shared" si="9"/>
        <v>133.33333333333334</v>
      </c>
      <c r="E58" s="155">
        <f t="shared" si="5"/>
        <v>15.55555555555561</v>
      </c>
      <c r="F58" s="155">
        <f t="shared" si="6"/>
        <v>148.88888888888894</v>
      </c>
      <c r="G58" s="155">
        <f t="shared" si="7"/>
        <v>1733.3333333333401</v>
      </c>
    </row>
    <row r="59" spans="2:8" ht="12.75" customHeight="1" x14ac:dyDescent="0.25">
      <c r="B59">
        <v>48</v>
      </c>
      <c r="C59" s="155">
        <f t="shared" si="8"/>
        <v>1733.3333333333401</v>
      </c>
      <c r="D59" s="155">
        <f t="shared" si="9"/>
        <v>133.33333333333334</v>
      </c>
      <c r="E59" s="155">
        <f t="shared" si="5"/>
        <v>14.4444444444445</v>
      </c>
      <c r="F59" s="155">
        <f t="shared" si="6"/>
        <v>147.77777777777783</v>
      </c>
      <c r="G59" s="155">
        <f t="shared" si="7"/>
        <v>1600.0000000000068</v>
      </c>
      <c r="H59" s="155">
        <f>SUM(E48:E59)</f>
        <v>246.66666666666737</v>
      </c>
    </row>
    <row r="60" spans="2:8" ht="12.75" customHeight="1" x14ac:dyDescent="0.25">
      <c r="B60">
        <v>49</v>
      </c>
      <c r="C60" s="155">
        <f t="shared" si="8"/>
        <v>1600.0000000000068</v>
      </c>
      <c r="D60" s="155">
        <f t="shared" si="9"/>
        <v>133.33333333333334</v>
      </c>
      <c r="E60" s="155">
        <f t="shared" si="5"/>
        <v>13.333333333333391</v>
      </c>
      <c r="F60" s="155">
        <f t="shared" si="6"/>
        <v>146.66666666666674</v>
      </c>
      <c r="G60" s="155">
        <f t="shared" si="7"/>
        <v>1466.6666666666736</v>
      </c>
    </row>
    <row r="61" spans="2:8" ht="12.75" customHeight="1" x14ac:dyDescent="0.25">
      <c r="B61">
        <v>50</v>
      </c>
      <c r="C61" s="155">
        <f t="shared" si="8"/>
        <v>1466.6666666666736</v>
      </c>
      <c r="D61" s="155">
        <f t="shared" si="9"/>
        <v>133.33333333333334</v>
      </c>
      <c r="E61" s="155">
        <f t="shared" si="5"/>
        <v>12.22222222222228</v>
      </c>
      <c r="F61" s="155">
        <f t="shared" si="6"/>
        <v>145.55555555555563</v>
      </c>
      <c r="G61" s="155">
        <f t="shared" si="7"/>
        <v>1333.3333333333403</v>
      </c>
    </row>
    <row r="62" spans="2:8" ht="12.75" customHeight="1" x14ac:dyDescent="0.25">
      <c r="B62">
        <v>51</v>
      </c>
      <c r="C62" s="155">
        <f t="shared" si="8"/>
        <v>1333.3333333333403</v>
      </c>
      <c r="D62" s="155">
        <f t="shared" si="9"/>
        <v>133.33333333333334</v>
      </c>
      <c r="E62" s="155">
        <f t="shared" si="5"/>
        <v>11.111111111111169</v>
      </c>
      <c r="F62" s="155">
        <f t="shared" si="6"/>
        <v>144.44444444444451</v>
      </c>
      <c r="G62" s="155">
        <f t="shared" si="7"/>
        <v>1200.000000000007</v>
      </c>
    </row>
    <row r="63" spans="2:8" ht="12.75" customHeight="1" x14ac:dyDescent="0.25">
      <c r="B63">
        <v>52</v>
      </c>
      <c r="C63" s="155">
        <f t="shared" si="8"/>
        <v>1200.000000000007</v>
      </c>
      <c r="D63" s="155">
        <f t="shared" si="9"/>
        <v>133.33333333333334</v>
      </c>
      <c r="E63" s="155">
        <f t="shared" si="5"/>
        <v>10.000000000000059</v>
      </c>
      <c r="F63" s="155">
        <f t="shared" si="6"/>
        <v>143.3333333333334</v>
      </c>
      <c r="G63" s="155">
        <f t="shared" si="7"/>
        <v>1066.6666666666738</v>
      </c>
    </row>
    <row r="64" spans="2:8" ht="12.75" customHeight="1" x14ac:dyDescent="0.25">
      <c r="B64">
        <v>53</v>
      </c>
      <c r="C64" s="155">
        <f t="shared" si="8"/>
        <v>1066.6666666666738</v>
      </c>
      <c r="D64" s="155">
        <f t="shared" si="9"/>
        <v>133.33333333333334</v>
      </c>
      <c r="E64" s="155">
        <f t="shared" si="5"/>
        <v>8.8888888888889479</v>
      </c>
      <c r="F64" s="155">
        <f t="shared" si="6"/>
        <v>142.22222222222229</v>
      </c>
      <c r="G64" s="155">
        <f t="shared" si="7"/>
        <v>933.33333333334042</v>
      </c>
    </row>
    <row r="65" spans="2:8" ht="12.75" customHeight="1" x14ac:dyDescent="0.25">
      <c r="B65">
        <v>54</v>
      </c>
      <c r="C65" s="155">
        <f t="shared" si="8"/>
        <v>933.33333333334042</v>
      </c>
      <c r="D65" s="155">
        <f t="shared" si="9"/>
        <v>133.33333333333334</v>
      </c>
      <c r="E65" s="155">
        <f t="shared" si="5"/>
        <v>7.7777777777778363</v>
      </c>
      <c r="F65" s="155">
        <f t="shared" si="6"/>
        <v>141.11111111111117</v>
      </c>
      <c r="G65" s="155">
        <f t="shared" si="7"/>
        <v>800.00000000000705</v>
      </c>
    </row>
    <row r="66" spans="2:8" ht="12.75" customHeight="1" x14ac:dyDescent="0.25">
      <c r="B66">
        <v>55</v>
      </c>
      <c r="C66" s="155">
        <f t="shared" si="8"/>
        <v>800.00000000000705</v>
      </c>
      <c r="D66" s="155">
        <f t="shared" si="9"/>
        <v>133.33333333333334</v>
      </c>
      <c r="E66" s="155">
        <f t="shared" si="5"/>
        <v>6.6666666666667256</v>
      </c>
      <c r="F66" s="155">
        <f t="shared" si="6"/>
        <v>140.00000000000006</v>
      </c>
      <c r="G66" s="155">
        <f t="shared" si="7"/>
        <v>666.66666666667368</v>
      </c>
    </row>
    <row r="67" spans="2:8" ht="12.75" customHeight="1" x14ac:dyDescent="0.25">
      <c r="B67">
        <v>56</v>
      </c>
      <c r="C67" s="155">
        <f t="shared" si="8"/>
        <v>666.66666666667368</v>
      </c>
      <c r="D67" s="155">
        <f t="shared" si="9"/>
        <v>133.33333333333334</v>
      </c>
      <c r="E67" s="155">
        <f t="shared" si="5"/>
        <v>5.555555555555614</v>
      </c>
      <c r="F67" s="155">
        <f t="shared" si="6"/>
        <v>138.88888888888897</v>
      </c>
      <c r="G67" s="155">
        <f t="shared" si="7"/>
        <v>533.33333333334031</v>
      </c>
    </row>
    <row r="68" spans="2:8" ht="12.75" customHeight="1" x14ac:dyDescent="0.25">
      <c r="B68">
        <v>57</v>
      </c>
      <c r="C68" s="155">
        <f t="shared" si="8"/>
        <v>533.33333333334031</v>
      </c>
      <c r="D68" s="155">
        <f t="shared" si="9"/>
        <v>133.33333333333334</v>
      </c>
      <c r="E68" s="155">
        <f t="shared" si="5"/>
        <v>4.4444444444445024</v>
      </c>
      <c r="F68" s="155">
        <f t="shared" si="6"/>
        <v>137.77777777777786</v>
      </c>
      <c r="G68" s="155">
        <f t="shared" si="7"/>
        <v>400.00000000000693</v>
      </c>
    </row>
    <row r="69" spans="2:8" ht="12.75" customHeight="1" x14ac:dyDescent="0.25">
      <c r="B69">
        <v>58</v>
      </c>
      <c r="C69" s="155">
        <f t="shared" si="8"/>
        <v>400.00000000000693</v>
      </c>
      <c r="D69" s="155">
        <f t="shared" si="9"/>
        <v>133.33333333333334</v>
      </c>
      <c r="E69" s="155">
        <f t="shared" si="5"/>
        <v>3.3333333333333912</v>
      </c>
      <c r="F69" s="155">
        <f t="shared" si="6"/>
        <v>136.66666666666674</v>
      </c>
      <c r="G69" s="155">
        <f t="shared" si="7"/>
        <v>266.66666666667356</v>
      </c>
    </row>
    <row r="70" spans="2:8" ht="12.75" customHeight="1" x14ac:dyDescent="0.25">
      <c r="B70">
        <v>59</v>
      </c>
      <c r="C70" s="155">
        <f t="shared" si="8"/>
        <v>266.66666666667356</v>
      </c>
      <c r="D70" s="155">
        <f t="shared" si="9"/>
        <v>133.33333333333334</v>
      </c>
      <c r="E70" s="155">
        <f t="shared" si="5"/>
        <v>2.2222222222222796</v>
      </c>
      <c r="F70" s="155">
        <f t="shared" si="6"/>
        <v>135.55555555555563</v>
      </c>
      <c r="G70" s="155">
        <f t="shared" si="7"/>
        <v>133.33333333334022</v>
      </c>
    </row>
    <row r="71" spans="2:8" ht="12.75" customHeight="1" x14ac:dyDescent="0.25">
      <c r="B71">
        <v>60</v>
      </c>
      <c r="C71" s="155">
        <f t="shared" si="8"/>
        <v>133.33333333334022</v>
      </c>
      <c r="D71" s="155">
        <f t="shared" si="9"/>
        <v>133.33333333333334</v>
      </c>
      <c r="E71" s="155">
        <f t="shared" si="5"/>
        <v>1.1111111111111684</v>
      </c>
      <c r="F71" s="155">
        <f t="shared" si="6"/>
        <v>134.44444444444451</v>
      </c>
      <c r="G71" s="155">
        <f t="shared" si="7"/>
        <v>6.8780536821577698E-12</v>
      </c>
      <c r="H71" s="155">
        <f>SUM(E60:E71)</f>
        <v>86.666666666667368</v>
      </c>
    </row>
  </sheetData>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6:N71"/>
  <sheetViews>
    <sheetView zoomScaleNormal="100" workbookViewId="0"/>
  </sheetViews>
  <sheetFormatPr baseColWidth="10" defaultColWidth="14.44140625" defaultRowHeight="13.2" x14ac:dyDescent="0.25"/>
  <cols>
    <col min="1" max="26" width="11.33203125" customWidth="1"/>
  </cols>
  <sheetData>
    <row r="6" spans="2:14" ht="12.75" customHeight="1" x14ac:dyDescent="0.25">
      <c r="C6" t="s">
        <v>2785</v>
      </c>
      <c r="D6" t="s">
        <v>2786</v>
      </c>
    </row>
    <row r="7" spans="2:14" ht="12.75" customHeight="1" x14ac:dyDescent="0.25">
      <c r="C7" t="s">
        <v>2787</v>
      </c>
      <c r="D7">
        <v>3000</v>
      </c>
    </row>
    <row r="8" spans="2:14" ht="12.75" customHeight="1" x14ac:dyDescent="0.25">
      <c r="C8" t="s">
        <v>2788</v>
      </c>
      <c r="D8" s="151">
        <v>0.1</v>
      </c>
      <c r="E8">
        <f>+D8/12</f>
        <v>8.3333333333333332E-3</v>
      </c>
    </row>
    <row r="9" spans="2:14" ht="12.75" customHeight="1" x14ac:dyDescent="0.25">
      <c r="C9" t="s">
        <v>2789</v>
      </c>
      <c r="D9">
        <v>36</v>
      </c>
      <c r="E9" t="s">
        <v>2790</v>
      </c>
      <c r="J9">
        <v>1</v>
      </c>
      <c r="K9">
        <v>2</v>
      </c>
      <c r="L9">
        <v>3</v>
      </c>
      <c r="M9">
        <v>4</v>
      </c>
      <c r="N9">
        <v>5</v>
      </c>
    </row>
    <row r="10" spans="2:14" ht="12.75" customHeight="1" x14ac:dyDescent="0.25">
      <c r="H10" t="s">
        <v>2791</v>
      </c>
      <c r="J10" s="155">
        <f>+H23</f>
        <v>254.16666666666657</v>
      </c>
      <c r="K10" s="155">
        <f>+H35</f>
        <v>154.16666666666652</v>
      </c>
      <c r="L10" s="155">
        <f>+H47</f>
        <v>54.166666666666572</v>
      </c>
      <c r="M10" s="155">
        <f>+H59</f>
        <v>-45.833333333333421</v>
      </c>
      <c r="N10" s="155">
        <f>+H71</f>
        <v>-145.8333333333334</v>
      </c>
    </row>
    <row r="11" spans="2:14" ht="12.75" customHeight="1" x14ac:dyDescent="0.25">
      <c r="C11" t="s">
        <v>2792</v>
      </c>
      <c r="E11" t="s">
        <v>2791</v>
      </c>
      <c r="F11" t="s">
        <v>2793</v>
      </c>
      <c r="G11" t="s">
        <v>2794</v>
      </c>
      <c r="I11" t="s">
        <v>2792</v>
      </c>
      <c r="J11">
        <f>+D12*12</f>
        <v>1000</v>
      </c>
      <c r="K11">
        <f>+J11</f>
        <v>1000</v>
      </c>
      <c r="L11">
        <f>+K11</f>
        <v>1000</v>
      </c>
      <c r="M11">
        <f>+L11</f>
        <v>1000</v>
      </c>
      <c r="N11">
        <f>+M11</f>
        <v>1000</v>
      </c>
    </row>
    <row r="12" spans="2:14" ht="12.75" customHeight="1" x14ac:dyDescent="0.25">
      <c r="B12">
        <v>1</v>
      </c>
      <c r="C12" s="155">
        <f>+D7</f>
        <v>3000</v>
      </c>
      <c r="D12" s="155">
        <f>+C12/D9</f>
        <v>83.333333333333329</v>
      </c>
      <c r="E12" s="155">
        <f t="shared" ref="E12:E43" si="0">+C12*$E$8</f>
        <v>25</v>
      </c>
      <c r="F12" s="155">
        <f t="shared" ref="F12:F43" si="1">+D12+E12</f>
        <v>108.33333333333333</v>
      </c>
      <c r="G12" s="155">
        <f t="shared" ref="G12:G43" si="2">+C12-D12</f>
        <v>2916.6666666666665</v>
      </c>
    </row>
    <row r="13" spans="2:14" ht="12.75" customHeight="1" x14ac:dyDescent="0.25">
      <c r="B13">
        <v>2</v>
      </c>
      <c r="C13" s="155">
        <f t="shared" ref="C13:C44" si="3">+G12</f>
        <v>2916.6666666666665</v>
      </c>
      <c r="D13" s="155">
        <f t="shared" ref="D13:D44" si="4">+D12</f>
        <v>83.333333333333329</v>
      </c>
      <c r="E13" s="155">
        <f t="shared" si="0"/>
        <v>24.305555555555554</v>
      </c>
      <c r="F13" s="155">
        <f t="shared" si="1"/>
        <v>107.63888888888889</v>
      </c>
      <c r="G13" s="155">
        <f t="shared" si="2"/>
        <v>2833.333333333333</v>
      </c>
    </row>
    <row r="14" spans="2:14" ht="12.75" customHeight="1" x14ac:dyDescent="0.25">
      <c r="B14">
        <v>3</v>
      </c>
      <c r="C14" s="155">
        <f t="shared" si="3"/>
        <v>2833.333333333333</v>
      </c>
      <c r="D14" s="155">
        <f t="shared" si="4"/>
        <v>83.333333333333329</v>
      </c>
      <c r="E14" s="155">
        <f t="shared" si="0"/>
        <v>23.611111111111107</v>
      </c>
      <c r="F14" s="155">
        <f t="shared" si="1"/>
        <v>106.94444444444443</v>
      </c>
      <c r="G14" s="155">
        <f t="shared" si="2"/>
        <v>2749.9999999999995</v>
      </c>
    </row>
    <row r="15" spans="2:14" ht="12.75" customHeight="1" x14ac:dyDescent="0.25">
      <c r="B15">
        <v>4</v>
      </c>
      <c r="C15" s="155">
        <f t="shared" si="3"/>
        <v>2749.9999999999995</v>
      </c>
      <c r="D15" s="155">
        <f t="shared" si="4"/>
        <v>83.333333333333329</v>
      </c>
      <c r="E15" s="155">
        <f t="shared" si="0"/>
        <v>22.916666666666664</v>
      </c>
      <c r="F15" s="155">
        <f t="shared" si="1"/>
        <v>106.25</v>
      </c>
      <c r="G15" s="155">
        <f t="shared" si="2"/>
        <v>2666.6666666666661</v>
      </c>
    </row>
    <row r="16" spans="2:14" ht="12.75" customHeight="1" x14ac:dyDescent="0.25">
      <c r="B16">
        <v>5</v>
      </c>
      <c r="C16" s="155">
        <f t="shared" si="3"/>
        <v>2666.6666666666661</v>
      </c>
      <c r="D16" s="155">
        <f t="shared" si="4"/>
        <v>83.333333333333329</v>
      </c>
      <c r="E16" s="155">
        <f t="shared" si="0"/>
        <v>22.222222222222218</v>
      </c>
      <c r="F16" s="155">
        <f t="shared" si="1"/>
        <v>105.55555555555554</v>
      </c>
      <c r="G16" s="155">
        <f t="shared" si="2"/>
        <v>2583.3333333333326</v>
      </c>
    </row>
    <row r="17" spans="2:8" ht="12.75" customHeight="1" x14ac:dyDescent="0.25">
      <c r="B17">
        <v>6</v>
      </c>
      <c r="C17" s="155">
        <f t="shared" si="3"/>
        <v>2583.3333333333326</v>
      </c>
      <c r="D17" s="155">
        <f t="shared" si="4"/>
        <v>83.333333333333329</v>
      </c>
      <c r="E17" s="155">
        <f t="shared" si="0"/>
        <v>21.527777777777771</v>
      </c>
      <c r="F17" s="155">
        <f t="shared" si="1"/>
        <v>104.8611111111111</v>
      </c>
      <c r="G17" s="155">
        <f t="shared" si="2"/>
        <v>2499.9999999999991</v>
      </c>
    </row>
    <row r="18" spans="2:8" ht="12.75" customHeight="1" x14ac:dyDescent="0.25">
      <c r="B18">
        <v>7</v>
      </c>
      <c r="C18" s="155">
        <f t="shared" si="3"/>
        <v>2499.9999999999991</v>
      </c>
      <c r="D18" s="155">
        <f t="shared" si="4"/>
        <v>83.333333333333329</v>
      </c>
      <c r="E18" s="155">
        <f t="shared" si="0"/>
        <v>20.833333333333325</v>
      </c>
      <c r="F18" s="155">
        <f t="shared" si="1"/>
        <v>104.16666666666666</v>
      </c>
      <c r="G18" s="155">
        <f t="shared" si="2"/>
        <v>2416.6666666666656</v>
      </c>
    </row>
    <row r="19" spans="2:8" ht="12.75" customHeight="1" x14ac:dyDescent="0.25">
      <c r="B19">
        <v>8</v>
      </c>
      <c r="C19" s="155">
        <f t="shared" si="3"/>
        <v>2416.6666666666656</v>
      </c>
      <c r="D19" s="155">
        <f t="shared" si="4"/>
        <v>83.333333333333329</v>
      </c>
      <c r="E19" s="155">
        <f t="shared" si="0"/>
        <v>20.138888888888879</v>
      </c>
      <c r="F19" s="155">
        <f t="shared" si="1"/>
        <v>103.4722222222222</v>
      </c>
      <c r="G19" s="155">
        <f t="shared" si="2"/>
        <v>2333.3333333333321</v>
      </c>
    </row>
    <row r="20" spans="2:8" ht="12.75" customHeight="1" x14ac:dyDescent="0.25">
      <c r="B20">
        <v>9</v>
      </c>
      <c r="C20" s="155">
        <f t="shared" si="3"/>
        <v>2333.3333333333321</v>
      </c>
      <c r="D20" s="155">
        <f t="shared" si="4"/>
        <v>83.333333333333329</v>
      </c>
      <c r="E20" s="155">
        <f t="shared" si="0"/>
        <v>19.444444444444436</v>
      </c>
      <c r="F20" s="155">
        <f t="shared" si="1"/>
        <v>102.77777777777777</v>
      </c>
      <c r="G20" s="155">
        <f t="shared" si="2"/>
        <v>2249.9999999999986</v>
      </c>
    </row>
    <row r="21" spans="2:8" ht="12.75" customHeight="1" x14ac:dyDescent="0.25">
      <c r="B21">
        <v>10</v>
      </c>
      <c r="C21" s="155">
        <f t="shared" si="3"/>
        <v>2249.9999999999986</v>
      </c>
      <c r="D21" s="155">
        <f t="shared" si="4"/>
        <v>83.333333333333329</v>
      </c>
      <c r="E21" s="155">
        <f t="shared" si="0"/>
        <v>18.749999999999989</v>
      </c>
      <c r="F21" s="155">
        <f t="shared" si="1"/>
        <v>102.08333333333331</v>
      </c>
      <c r="G21" s="155">
        <f t="shared" si="2"/>
        <v>2166.6666666666652</v>
      </c>
    </row>
    <row r="22" spans="2:8" ht="12.75" customHeight="1" x14ac:dyDescent="0.25">
      <c r="B22">
        <v>11</v>
      </c>
      <c r="C22" s="155">
        <f t="shared" si="3"/>
        <v>2166.6666666666652</v>
      </c>
      <c r="D22" s="155">
        <f t="shared" si="4"/>
        <v>83.333333333333329</v>
      </c>
      <c r="E22" s="155">
        <f t="shared" si="0"/>
        <v>18.055555555555543</v>
      </c>
      <c r="F22" s="155">
        <f t="shared" si="1"/>
        <v>101.38888888888887</v>
      </c>
      <c r="G22" s="155">
        <f t="shared" si="2"/>
        <v>2083.3333333333317</v>
      </c>
    </row>
    <row r="23" spans="2:8" ht="12.75" customHeight="1" x14ac:dyDescent="0.25">
      <c r="B23">
        <v>12</v>
      </c>
      <c r="C23" s="155">
        <f t="shared" si="3"/>
        <v>2083.3333333333317</v>
      </c>
      <c r="D23" s="155">
        <f t="shared" si="4"/>
        <v>83.333333333333329</v>
      </c>
      <c r="E23" s="155">
        <f t="shared" si="0"/>
        <v>17.361111111111097</v>
      </c>
      <c r="F23" s="155">
        <f t="shared" si="1"/>
        <v>100.69444444444443</v>
      </c>
      <c r="G23" s="155">
        <f t="shared" si="2"/>
        <v>1999.9999999999984</v>
      </c>
      <c r="H23" s="155">
        <f>SUM(E12:E23)</f>
        <v>254.16666666666657</v>
      </c>
    </row>
    <row r="24" spans="2:8" ht="12.75" customHeight="1" x14ac:dyDescent="0.25">
      <c r="B24">
        <v>13</v>
      </c>
      <c r="C24" s="155">
        <f t="shared" si="3"/>
        <v>1999.9999999999984</v>
      </c>
      <c r="D24" s="155">
        <f t="shared" si="4"/>
        <v>83.333333333333329</v>
      </c>
      <c r="E24" s="155">
        <f t="shared" si="0"/>
        <v>16.666666666666654</v>
      </c>
      <c r="F24" s="155">
        <f t="shared" si="1"/>
        <v>99.999999999999986</v>
      </c>
      <c r="G24" s="155">
        <f t="shared" si="2"/>
        <v>1916.6666666666652</v>
      </c>
    </row>
    <row r="25" spans="2:8" ht="12.75" customHeight="1" x14ac:dyDescent="0.25">
      <c r="B25">
        <v>14</v>
      </c>
      <c r="C25" s="155">
        <f t="shared" si="3"/>
        <v>1916.6666666666652</v>
      </c>
      <c r="D25" s="155">
        <f t="shared" si="4"/>
        <v>83.333333333333329</v>
      </c>
      <c r="E25" s="155">
        <f t="shared" si="0"/>
        <v>15.972222222222209</v>
      </c>
      <c r="F25" s="155">
        <f t="shared" si="1"/>
        <v>99.305555555555543</v>
      </c>
      <c r="G25" s="155">
        <f t="shared" si="2"/>
        <v>1833.3333333333319</v>
      </c>
    </row>
    <row r="26" spans="2:8" ht="12.75" customHeight="1" x14ac:dyDescent="0.25">
      <c r="B26">
        <v>15</v>
      </c>
      <c r="C26" s="155">
        <f t="shared" si="3"/>
        <v>1833.3333333333319</v>
      </c>
      <c r="D26" s="155">
        <f t="shared" si="4"/>
        <v>83.333333333333329</v>
      </c>
      <c r="E26" s="155">
        <f t="shared" si="0"/>
        <v>15.277777777777766</v>
      </c>
      <c r="F26" s="155">
        <f t="shared" si="1"/>
        <v>98.6111111111111</v>
      </c>
      <c r="G26" s="155">
        <f t="shared" si="2"/>
        <v>1749.9999999999986</v>
      </c>
    </row>
    <row r="27" spans="2:8" ht="12.75" customHeight="1" x14ac:dyDescent="0.25">
      <c r="B27">
        <v>16</v>
      </c>
      <c r="C27" s="155">
        <f t="shared" si="3"/>
        <v>1749.9999999999986</v>
      </c>
      <c r="D27" s="155">
        <f t="shared" si="4"/>
        <v>83.333333333333329</v>
      </c>
      <c r="E27" s="155">
        <f t="shared" si="0"/>
        <v>14.583333333333321</v>
      </c>
      <c r="F27" s="155">
        <f t="shared" si="1"/>
        <v>97.916666666666657</v>
      </c>
      <c r="G27" s="155">
        <f t="shared" si="2"/>
        <v>1666.6666666666654</v>
      </c>
    </row>
    <row r="28" spans="2:8" ht="12.75" customHeight="1" x14ac:dyDescent="0.25">
      <c r="B28">
        <v>17</v>
      </c>
      <c r="C28" s="155">
        <f t="shared" si="3"/>
        <v>1666.6666666666654</v>
      </c>
      <c r="D28" s="155">
        <f t="shared" si="4"/>
        <v>83.333333333333329</v>
      </c>
      <c r="E28" s="155">
        <f t="shared" si="0"/>
        <v>13.888888888888879</v>
      </c>
      <c r="F28" s="155">
        <f t="shared" si="1"/>
        <v>97.2222222222222</v>
      </c>
      <c r="G28" s="155">
        <f t="shared" si="2"/>
        <v>1583.3333333333321</v>
      </c>
    </row>
    <row r="29" spans="2:8" ht="12.75" customHeight="1" x14ac:dyDescent="0.25">
      <c r="B29">
        <v>18</v>
      </c>
      <c r="C29" s="155">
        <f t="shared" si="3"/>
        <v>1583.3333333333321</v>
      </c>
      <c r="D29" s="155">
        <f t="shared" si="4"/>
        <v>83.333333333333329</v>
      </c>
      <c r="E29" s="155">
        <f t="shared" si="0"/>
        <v>13.194444444444434</v>
      </c>
      <c r="F29" s="155">
        <f t="shared" si="1"/>
        <v>96.527777777777757</v>
      </c>
      <c r="G29" s="155">
        <f t="shared" si="2"/>
        <v>1499.9999999999989</v>
      </c>
    </row>
    <row r="30" spans="2:8" ht="12.75" customHeight="1" x14ac:dyDescent="0.25">
      <c r="B30">
        <v>19</v>
      </c>
      <c r="C30" s="155">
        <f t="shared" si="3"/>
        <v>1499.9999999999989</v>
      </c>
      <c r="D30" s="155">
        <f t="shared" si="4"/>
        <v>83.333333333333329</v>
      </c>
      <c r="E30" s="155">
        <f t="shared" si="0"/>
        <v>12.499999999999991</v>
      </c>
      <c r="F30" s="155">
        <f t="shared" si="1"/>
        <v>95.833333333333314</v>
      </c>
      <c r="G30" s="155">
        <f t="shared" si="2"/>
        <v>1416.6666666666656</v>
      </c>
    </row>
    <row r="31" spans="2:8" ht="12.75" customHeight="1" x14ac:dyDescent="0.25">
      <c r="B31">
        <v>20</v>
      </c>
      <c r="C31" s="155">
        <f t="shared" si="3"/>
        <v>1416.6666666666656</v>
      </c>
      <c r="D31" s="155">
        <f t="shared" si="4"/>
        <v>83.333333333333329</v>
      </c>
      <c r="E31" s="155">
        <f t="shared" si="0"/>
        <v>11.805555555555546</v>
      </c>
      <c r="F31" s="155">
        <f t="shared" si="1"/>
        <v>95.138888888888872</v>
      </c>
      <c r="G31" s="155">
        <f t="shared" si="2"/>
        <v>1333.3333333333323</v>
      </c>
    </row>
    <row r="32" spans="2:8" ht="12.75" customHeight="1" x14ac:dyDescent="0.25">
      <c r="B32">
        <v>21</v>
      </c>
      <c r="C32" s="155">
        <f t="shared" si="3"/>
        <v>1333.3333333333323</v>
      </c>
      <c r="D32" s="155">
        <f t="shared" si="4"/>
        <v>83.333333333333329</v>
      </c>
      <c r="E32" s="155">
        <f t="shared" si="0"/>
        <v>11.111111111111104</v>
      </c>
      <c r="F32" s="155">
        <f t="shared" si="1"/>
        <v>94.444444444444429</v>
      </c>
      <c r="G32" s="155">
        <f t="shared" si="2"/>
        <v>1249.9999999999991</v>
      </c>
    </row>
    <row r="33" spans="2:8" ht="12.75" customHeight="1" x14ac:dyDescent="0.25">
      <c r="B33">
        <v>22</v>
      </c>
      <c r="C33" s="155">
        <f t="shared" si="3"/>
        <v>1249.9999999999991</v>
      </c>
      <c r="D33" s="155">
        <f t="shared" si="4"/>
        <v>83.333333333333329</v>
      </c>
      <c r="E33" s="155">
        <f t="shared" si="0"/>
        <v>10.416666666666659</v>
      </c>
      <c r="F33" s="155">
        <f t="shared" si="1"/>
        <v>93.749999999999986</v>
      </c>
      <c r="G33" s="155">
        <f t="shared" si="2"/>
        <v>1166.6666666666658</v>
      </c>
    </row>
    <row r="34" spans="2:8" ht="12.75" customHeight="1" x14ac:dyDescent="0.25">
      <c r="B34">
        <v>23</v>
      </c>
      <c r="C34" s="155">
        <f t="shared" si="3"/>
        <v>1166.6666666666658</v>
      </c>
      <c r="D34" s="155">
        <f t="shared" si="4"/>
        <v>83.333333333333329</v>
      </c>
      <c r="E34" s="155">
        <f t="shared" si="0"/>
        <v>9.7222222222222143</v>
      </c>
      <c r="F34" s="155">
        <f t="shared" si="1"/>
        <v>93.055555555555543</v>
      </c>
      <c r="G34" s="155">
        <f t="shared" si="2"/>
        <v>1083.3333333333326</v>
      </c>
    </row>
    <row r="35" spans="2:8" ht="12.75" customHeight="1" x14ac:dyDescent="0.25">
      <c r="B35">
        <v>24</v>
      </c>
      <c r="C35" s="155">
        <f t="shared" si="3"/>
        <v>1083.3333333333326</v>
      </c>
      <c r="D35" s="155">
        <f t="shared" si="4"/>
        <v>83.333333333333329</v>
      </c>
      <c r="E35" s="155">
        <f t="shared" si="0"/>
        <v>9.0277777777777715</v>
      </c>
      <c r="F35" s="155">
        <f t="shared" si="1"/>
        <v>92.3611111111111</v>
      </c>
      <c r="G35" s="155">
        <f t="shared" si="2"/>
        <v>999.9999999999992</v>
      </c>
      <c r="H35" s="155">
        <f>SUM(E24:E35)</f>
        <v>154.16666666666652</v>
      </c>
    </row>
    <row r="36" spans="2:8" ht="12.75" customHeight="1" x14ac:dyDescent="0.25">
      <c r="B36">
        <v>25</v>
      </c>
      <c r="C36" s="155">
        <f t="shared" si="3"/>
        <v>999.9999999999992</v>
      </c>
      <c r="D36" s="155">
        <f t="shared" si="4"/>
        <v>83.333333333333329</v>
      </c>
      <c r="E36" s="155">
        <f t="shared" si="0"/>
        <v>8.3333333333333268</v>
      </c>
      <c r="F36" s="155">
        <f t="shared" si="1"/>
        <v>91.666666666666657</v>
      </c>
      <c r="G36" s="155">
        <f t="shared" si="2"/>
        <v>916.66666666666583</v>
      </c>
    </row>
    <row r="37" spans="2:8" ht="12.75" customHeight="1" x14ac:dyDescent="0.25">
      <c r="B37">
        <v>26</v>
      </c>
      <c r="C37" s="155">
        <f t="shared" si="3"/>
        <v>916.66666666666583</v>
      </c>
      <c r="D37" s="155">
        <f t="shared" si="4"/>
        <v>83.333333333333329</v>
      </c>
      <c r="E37" s="155">
        <f t="shared" si="0"/>
        <v>7.6388888888888822</v>
      </c>
      <c r="F37" s="155">
        <f t="shared" si="1"/>
        <v>90.972222222222214</v>
      </c>
      <c r="G37" s="155">
        <f t="shared" si="2"/>
        <v>833.33333333333246</v>
      </c>
    </row>
    <row r="38" spans="2:8" ht="12.75" customHeight="1" x14ac:dyDescent="0.25">
      <c r="B38">
        <v>27</v>
      </c>
      <c r="C38" s="155">
        <f t="shared" si="3"/>
        <v>833.33333333333246</v>
      </c>
      <c r="D38" s="155">
        <f t="shared" si="4"/>
        <v>83.333333333333329</v>
      </c>
      <c r="E38" s="155">
        <f t="shared" si="0"/>
        <v>6.9444444444444366</v>
      </c>
      <c r="F38" s="155">
        <f t="shared" si="1"/>
        <v>90.277777777777771</v>
      </c>
      <c r="G38" s="155">
        <f t="shared" si="2"/>
        <v>749.99999999999909</v>
      </c>
    </row>
    <row r="39" spans="2:8" ht="12.75" customHeight="1" x14ac:dyDescent="0.25">
      <c r="B39">
        <v>28</v>
      </c>
      <c r="C39" s="155">
        <f t="shared" si="3"/>
        <v>749.99999999999909</v>
      </c>
      <c r="D39" s="155">
        <f t="shared" si="4"/>
        <v>83.333333333333329</v>
      </c>
      <c r="E39" s="155">
        <f t="shared" si="0"/>
        <v>6.249999999999992</v>
      </c>
      <c r="F39" s="155">
        <f t="shared" si="1"/>
        <v>89.583333333333314</v>
      </c>
      <c r="G39" s="155">
        <f t="shared" si="2"/>
        <v>666.66666666666572</v>
      </c>
    </row>
    <row r="40" spans="2:8" ht="12.75" customHeight="1" x14ac:dyDescent="0.25">
      <c r="B40">
        <v>29</v>
      </c>
      <c r="C40" s="155">
        <f t="shared" si="3"/>
        <v>666.66666666666572</v>
      </c>
      <c r="D40" s="155">
        <f t="shared" si="4"/>
        <v>83.333333333333329</v>
      </c>
      <c r="E40" s="155">
        <f t="shared" si="0"/>
        <v>5.5555555555555474</v>
      </c>
      <c r="F40" s="155">
        <f t="shared" si="1"/>
        <v>88.888888888888872</v>
      </c>
      <c r="G40" s="155">
        <f t="shared" si="2"/>
        <v>583.33333333333235</v>
      </c>
    </row>
    <row r="41" spans="2:8" ht="12.75" customHeight="1" x14ac:dyDescent="0.25">
      <c r="B41">
        <v>30</v>
      </c>
      <c r="C41" s="155">
        <f t="shared" si="3"/>
        <v>583.33333333333235</v>
      </c>
      <c r="D41" s="155">
        <f t="shared" si="4"/>
        <v>83.333333333333329</v>
      </c>
      <c r="E41" s="155">
        <f t="shared" si="0"/>
        <v>4.8611111111111027</v>
      </c>
      <c r="F41" s="155">
        <f t="shared" si="1"/>
        <v>88.194444444444429</v>
      </c>
      <c r="G41" s="155">
        <f t="shared" si="2"/>
        <v>499.99999999999903</v>
      </c>
    </row>
    <row r="42" spans="2:8" ht="12.75" customHeight="1" x14ac:dyDescent="0.25">
      <c r="B42">
        <v>31</v>
      </c>
      <c r="C42" s="155">
        <f t="shared" si="3"/>
        <v>499.99999999999903</v>
      </c>
      <c r="D42" s="155">
        <f t="shared" si="4"/>
        <v>83.333333333333329</v>
      </c>
      <c r="E42" s="155">
        <f t="shared" si="0"/>
        <v>4.166666666666659</v>
      </c>
      <c r="F42" s="155">
        <f t="shared" si="1"/>
        <v>87.499999999999986</v>
      </c>
      <c r="G42" s="155">
        <f t="shared" si="2"/>
        <v>416.66666666666572</v>
      </c>
    </row>
    <row r="43" spans="2:8" ht="12.75" customHeight="1" x14ac:dyDescent="0.25">
      <c r="B43">
        <v>32</v>
      </c>
      <c r="C43" s="155">
        <f t="shared" si="3"/>
        <v>416.66666666666572</v>
      </c>
      <c r="D43" s="155">
        <f t="shared" si="4"/>
        <v>83.333333333333329</v>
      </c>
      <c r="E43" s="155">
        <f t="shared" si="0"/>
        <v>3.4722222222222143</v>
      </c>
      <c r="F43" s="155">
        <f t="shared" si="1"/>
        <v>86.805555555555543</v>
      </c>
      <c r="G43" s="155">
        <f t="shared" si="2"/>
        <v>333.3333333333324</v>
      </c>
    </row>
    <row r="44" spans="2:8" ht="12.75" customHeight="1" x14ac:dyDescent="0.25">
      <c r="B44">
        <v>33</v>
      </c>
      <c r="C44" s="155">
        <f t="shared" si="3"/>
        <v>333.3333333333324</v>
      </c>
      <c r="D44" s="155">
        <f t="shared" si="4"/>
        <v>83.333333333333329</v>
      </c>
      <c r="E44" s="155">
        <f t="shared" ref="E44:E71" si="5">+C44*$E$8</f>
        <v>2.7777777777777701</v>
      </c>
      <c r="F44" s="155">
        <f t="shared" ref="F44:F71" si="6">+D44+E44</f>
        <v>86.1111111111111</v>
      </c>
      <c r="G44" s="155">
        <f t="shared" ref="G44:G71" si="7">+C44-D44</f>
        <v>249.99999999999909</v>
      </c>
    </row>
    <row r="45" spans="2:8" ht="12.75" customHeight="1" x14ac:dyDescent="0.25">
      <c r="B45">
        <v>34</v>
      </c>
      <c r="C45" s="155">
        <f t="shared" ref="C45:C71" si="8">+G44</f>
        <v>249.99999999999909</v>
      </c>
      <c r="D45" s="155">
        <f t="shared" ref="D45:D71" si="9">+D44</f>
        <v>83.333333333333329</v>
      </c>
      <c r="E45" s="155">
        <f t="shared" si="5"/>
        <v>2.0833333333333259</v>
      </c>
      <c r="F45" s="155">
        <f t="shared" si="6"/>
        <v>85.416666666666657</v>
      </c>
      <c r="G45" s="155">
        <f t="shared" si="7"/>
        <v>166.66666666666578</v>
      </c>
    </row>
    <row r="46" spans="2:8" ht="12.75" customHeight="1" x14ac:dyDescent="0.25">
      <c r="B46">
        <v>35</v>
      </c>
      <c r="C46" s="155">
        <f t="shared" si="8"/>
        <v>166.66666666666578</v>
      </c>
      <c r="D46" s="155">
        <f t="shared" si="9"/>
        <v>83.333333333333329</v>
      </c>
      <c r="E46" s="155">
        <f t="shared" si="5"/>
        <v>1.3888888888888815</v>
      </c>
      <c r="F46" s="155">
        <f t="shared" si="6"/>
        <v>84.722222222222214</v>
      </c>
      <c r="G46" s="155">
        <f t="shared" si="7"/>
        <v>83.333333333332448</v>
      </c>
    </row>
    <row r="47" spans="2:8" ht="12.75" customHeight="1" x14ac:dyDescent="0.25">
      <c r="B47">
        <v>36</v>
      </c>
      <c r="C47" s="155">
        <f t="shared" si="8"/>
        <v>83.333333333332448</v>
      </c>
      <c r="D47" s="155">
        <f t="shared" si="9"/>
        <v>83.333333333333329</v>
      </c>
      <c r="E47" s="155">
        <f t="shared" si="5"/>
        <v>0.69444444444443709</v>
      </c>
      <c r="F47" s="155">
        <f t="shared" si="6"/>
        <v>84.027777777777771</v>
      </c>
      <c r="G47" s="155">
        <f t="shared" si="7"/>
        <v>-8.8107299234252423E-13</v>
      </c>
      <c r="H47" s="155">
        <f>SUM(E36:E47)</f>
        <v>54.166666666666572</v>
      </c>
    </row>
    <row r="48" spans="2:8" ht="12.75" customHeight="1" x14ac:dyDescent="0.25">
      <c r="B48">
        <v>37</v>
      </c>
      <c r="C48" s="155">
        <f t="shared" si="8"/>
        <v>-8.8107299234252423E-13</v>
      </c>
      <c r="D48" s="155">
        <f t="shared" si="9"/>
        <v>83.333333333333329</v>
      </c>
      <c r="E48" s="155">
        <f t="shared" si="5"/>
        <v>-7.3422749361877011E-15</v>
      </c>
      <c r="F48" s="155">
        <f t="shared" si="6"/>
        <v>83.333333333333314</v>
      </c>
      <c r="G48" s="155">
        <f t="shared" si="7"/>
        <v>-83.33333333333421</v>
      </c>
    </row>
    <row r="49" spans="2:8" ht="12.75" customHeight="1" x14ac:dyDescent="0.25">
      <c r="B49">
        <v>38</v>
      </c>
      <c r="C49" s="155">
        <f t="shared" si="8"/>
        <v>-83.33333333333421</v>
      </c>
      <c r="D49" s="155">
        <f t="shared" si="9"/>
        <v>83.333333333333329</v>
      </c>
      <c r="E49" s="155">
        <f t="shared" si="5"/>
        <v>-0.69444444444445175</v>
      </c>
      <c r="F49" s="155">
        <f t="shared" si="6"/>
        <v>82.638888888888872</v>
      </c>
      <c r="G49" s="155">
        <f t="shared" si="7"/>
        <v>-166.66666666666754</v>
      </c>
    </row>
    <row r="50" spans="2:8" ht="12.75" customHeight="1" x14ac:dyDescent="0.25">
      <c r="B50">
        <v>39</v>
      </c>
      <c r="C50" s="155">
        <f t="shared" si="8"/>
        <v>-166.66666666666754</v>
      </c>
      <c r="D50" s="155">
        <f t="shared" si="9"/>
        <v>83.333333333333329</v>
      </c>
      <c r="E50" s="155">
        <f t="shared" si="5"/>
        <v>-1.3888888888888962</v>
      </c>
      <c r="F50" s="155">
        <f t="shared" si="6"/>
        <v>81.944444444444429</v>
      </c>
      <c r="G50" s="155">
        <f t="shared" si="7"/>
        <v>-250.00000000000085</v>
      </c>
    </row>
    <row r="51" spans="2:8" ht="12.75" customHeight="1" x14ac:dyDescent="0.25">
      <c r="B51">
        <v>40</v>
      </c>
      <c r="C51" s="155">
        <f t="shared" si="8"/>
        <v>-250.00000000000085</v>
      </c>
      <c r="D51" s="155">
        <f t="shared" si="9"/>
        <v>83.333333333333329</v>
      </c>
      <c r="E51" s="155">
        <f t="shared" si="5"/>
        <v>-2.0833333333333406</v>
      </c>
      <c r="F51" s="155">
        <f t="shared" si="6"/>
        <v>81.249999999999986</v>
      </c>
      <c r="G51" s="155">
        <f t="shared" si="7"/>
        <v>-333.33333333333417</v>
      </c>
    </row>
    <row r="52" spans="2:8" ht="12.75" customHeight="1" x14ac:dyDescent="0.25">
      <c r="B52">
        <v>41</v>
      </c>
      <c r="C52" s="155">
        <f t="shared" si="8"/>
        <v>-333.33333333333417</v>
      </c>
      <c r="D52" s="155">
        <f t="shared" si="9"/>
        <v>83.333333333333329</v>
      </c>
      <c r="E52" s="155">
        <f t="shared" si="5"/>
        <v>-2.7777777777777848</v>
      </c>
      <c r="F52" s="155">
        <f t="shared" si="6"/>
        <v>80.555555555555543</v>
      </c>
      <c r="G52" s="155">
        <f t="shared" si="7"/>
        <v>-416.66666666666748</v>
      </c>
    </row>
    <row r="53" spans="2:8" ht="12.75" customHeight="1" x14ac:dyDescent="0.25">
      <c r="B53">
        <v>42</v>
      </c>
      <c r="C53" s="155">
        <f t="shared" si="8"/>
        <v>-416.66666666666748</v>
      </c>
      <c r="D53" s="155">
        <f t="shared" si="9"/>
        <v>83.333333333333329</v>
      </c>
      <c r="E53" s="155">
        <f t="shared" si="5"/>
        <v>-3.472222222222229</v>
      </c>
      <c r="F53" s="155">
        <f t="shared" si="6"/>
        <v>79.8611111111111</v>
      </c>
      <c r="G53" s="155">
        <f t="shared" si="7"/>
        <v>-500.0000000000008</v>
      </c>
    </row>
    <row r="54" spans="2:8" ht="12.75" customHeight="1" x14ac:dyDescent="0.25">
      <c r="B54">
        <v>43</v>
      </c>
      <c r="C54" s="155">
        <f t="shared" si="8"/>
        <v>-500.0000000000008</v>
      </c>
      <c r="D54" s="155">
        <f t="shared" si="9"/>
        <v>83.333333333333329</v>
      </c>
      <c r="E54" s="155">
        <f t="shared" si="5"/>
        <v>-4.1666666666666732</v>
      </c>
      <c r="F54" s="155">
        <f t="shared" si="6"/>
        <v>79.166666666666657</v>
      </c>
      <c r="G54" s="155">
        <f t="shared" si="7"/>
        <v>-583.33333333333417</v>
      </c>
    </row>
    <row r="55" spans="2:8" ht="12.75" customHeight="1" x14ac:dyDescent="0.25">
      <c r="B55">
        <v>44</v>
      </c>
      <c r="C55" s="155">
        <f t="shared" si="8"/>
        <v>-583.33333333333417</v>
      </c>
      <c r="D55" s="155">
        <f t="shared" si="9"/>
        <v>83.333333333333329</v>
      </c>
      <c r="E55" s="155">
        <f t="shared" si="5"/>
        <v>-4.8611111111111178</v>
      </c>
      <c r="F55" s="155">
        <f t="shared" si="6"/>
        <v>78.472222222222214</v>
      </c>
      <c r="G55" s="155">
        <f t="shared" si="7"/>
        <v>-666.66666666666754</v>
      </c>
    </row>
    <row r="56" spans="2:8" ht="12.75" customHeight="1" x14ac:dyDescent="0.25">
      <c r="B56">
        <v>45</v>
      </c>
      <c r="C56" s="155">
        <f t="shared" si="8"/>
        <v>-666.66666666666754</v>
      </c>
      <c r="D56" s="155">
        <f t="shared" si="9"/>
        <v>83.333333333333329</v>
      </c>
      <c r="E56" s="155">
        <f t="shared" si="5"/>
        <v>-5.5555555555555625</v>
      </c>
      <c r="F56" s="155">
        <f t="shared" si="6"/>
        <v>77.777777777777771</v>
      </c>
      <c r="G56" s="155">
        <f t="shared" si="7"/>
        <v>-750.00000000000091</v>
      </c>
    </row>
    <row r="57" spans="2:8" ht="12.75" customHeight="1" x14ac:dyDescent="0.25">
      <c r="B57">
        <v>46</v>
      </c>
      <c r="C57" s="155">
        <f t="shared" si="8"/>
        <v>-750.00000000000091</v>
      </c>
      <c r="D57" s="155">
        <f t="shared" si="9"/>
        <v>83.333333333333329</v>
      </c>
      <c r="E57" s="155">
        <f t="shared" si="5"/>
        <v>-6.2500000000000071</v>
      </c>
      <c r="F57" s="155">
        <f t="shared" si="6"/>
        <v>77.083333333333314</v>
      </c>
      <c r="G57" s="155">
        <f t="shared" si="7"/>
        <v>-833.33333333333428</v>
      </c>
    </row>
    <row r="58" spans="2:8" ht="12.75" customHeight="1" x14ac:dyDescent="0.25">
      <c r="B58">
        <v>47</v>
      </c>
      <c r="C58" s="155">
        <f t="shared" si="8"/>
        <v>-833.33333333333428</v>
      </c>
      <c r="D58" s="155">
        <f t="shared" si="9"/>
        <v>83.333333333333329</v>
      </c>
      <c r="E58" s="155">
        <f t="shared" si="5"/>
        <v>-6.9444444444444526</v>
      </c>
      <c r="F58" s="155">
        <f t="shared" si="6"/>
        <v>76.388888888888872</v>
      </c>
      <c r="G58" s="155">
        <f t="shared" si="7"/>
        <v>-916.66666666666765</v>
      </c>
    </row>
    <row r="59" spans="2:8" ht="12.75" customHeight="1" x14ac:dyDescent="0.25">
      <c r="B59">
        <v>48</v>
      </c>
      <c r="C59" s="155">
        <f t="shared" si="8"/>
        <v>-916.66666666666765</v>
      </c>
      <c r="D59" s="155">
        <f t="shared" si="9"/>
        <v>83.333333333333329</v>
      </c>
      <c r="E59" s="155">
        <f t="shared" si="5"/>
        <v>-7.6388888888888973</v>
      </c>
      <c r="F59" s="155">
        <f t="shared" si="6"/>
        <v>75.694444444444429</v>
      </c>
      <c r="G59" s="155">
        <f t="shared" si="7"/>
        <v>-1000.000000000001</v>
      </c>
      <c r="H59" s="155">
        <f>SUM(E48:E59)</f>
        <v>-45.833333333333421</v>
      </c>
    </row>
    <row r="60" spans="2:8" ht="12.75" customHeight="1" x14ac:dyDescent="0.25">
      <c r="B60">
        <v>49</v>
      </c>
      <c r="C60" s="155">
        <f t="shared" si="8"/>
        <v>-1000.000000000001</v>
      </c>
      <c r="D60" s="155">
        <f t="shared" si="9"/>
        <v>83.333333333333329</v>
      </c>
      <c r="E60" s="155">
        <f t="shared" si="5"/>
        <v>-8.333333333333341</v>
      </c>
      <c r="F60" s="155">
        <f t="shared" si="6"/>
        <v>74.999999999999986</v>
      </c>
      <c r="G60" s="155">
        <f t="shared" si="7"/>
        <v>-1083.3333333333344</v>
      </c>
    </row>
    <row r="61" spans="2:8" ht="12.75" customHeight="1" x14ac:dyDescent="0.25">
      <c r="B61">
        <v>50</v>
      </c>
      <c r="C61" s="155">
        <f t="shared" si="8"/>
        <v>-1083.3333333333344</v>
      </c>
      <c r="D61" s="155">
        <f t="shared" si="9"/>
        <v>83.333333333333329</v>
      </c>
      <c r="E61" s="155">
        <f t="shared" si="5"/>
        <v>-9.0277777777777857</v>
      </c>
      <c r="F61" s="155">
        <f t="shared" si="6"/>
        <v>74.305555555555543</v>
      </c>
      <c r="G61" s="155">
        <f t="shared" si="7"/>
        <v>-1166.6666666666677</v>
      </c>
    </row>
    <row r="62" spans="2:8" ht="12.75" customHeight="1" x14ac:dyDescent="0.25">
      <c r="B62">
        <v>51</v>
      </c>
      <c r="C62" s="155">
        <f t="shared" si="8"/>
        <v>-1166.6666666666677</v>
      </c>
      <c r="D62" s="155">
        <f t="shared" si="9"/>
        <v>83.333333333333329</v>
      </c>
      <c r="E62" s="155">
        <f t="shared" si="5"/>
        <v>-9.7222222222222303</v>
      </c>
      <c r="F62" s="155">
        <f t="shared" si="6"/>
        <v>73.6111111111111</v>
      </c>
      <c r="G62" s="155">
        <f t="shared" si="7"/>
        <v>-1250.0000000000009</v>
      </c>
    </row>
    <row r="63" spans="2:8" ht="12.75" customHeight="1" x14ac:dyDescent="0.25">
      <c r="B63">
        <v>52</v>
      </c>
      <c r="C63" s="155">
        <f t="shared" si="8"/>
        <v>-1250.0000000000009</v>
      </c>
      <c r="D63" s="155">
        <f t="shared" si="9"/>
        <v>83.333333333333329</v>
      </c>
      <c r="E63" s="155">
        <f t="shared" si="5"/>
        <v>-10.416666666666675</v>
      </c>
      <c r="F63" s="155">
        <f t="shared" si="6"/>
        <v>72.916666666666657</v>
      </c>
      <c r="G63" s="155">
        <f t="shared" si="7"/>
        <v>-1333.3333333333342</v>
      </c>
    </row>
    <row r="64" spans="2:8" ht="12.75" customHeight="1" x14ac:dyDescent="0.25">
      <c r="B64">
        <v>53</v>
      </c>
      <c r="C64" s="155">
        <f t="shared" si="8"/>
        <v>-1333.3333333333342</v>
      </c>
      <c r="D64" s="155">
        <f t="shared" si="9"/>
        <v>83.333333333333329</v>
      </c>
      <c r="E64" s="155">
        <f t="shared" si="5"/>
        <v>-11.111111111111118</v>
      </c>
      <c r="F64" s="155">
        <f t="shared" si="6"/>
        <v>72.222222222222214</v>
      </c>
      <c r="G64" s="155">
        <f t="shared" si="7"/>
        <v>-1416.6666666666674</v>
      </c>
    </row>
    <row r="65" spans="2:8" ht="12.75" customHeight="1" x14ac:dyDescent="0.25">
      <c r="B65">
        <v>54</v>
      </c>
      <c r="C65" s="155">
        <f t="shared" si="8"/>
        <v>-1416.6666666666674</v>
      </c>
      <c r="D65" s="155">
        <f t="shared" si="9"/>
        <v>83.333333333333329</v>
      </c>
      <c r="E65" s="155">
        <f t="shared" si="5"/>
        <v>-11.805555555555562</v>
      </c>
      <c r="F65" s="155">
        <f t="shared" si="6"/>
        <v>71.527777777777771</v>
      </c>
      <c r="G65" s="155">
        <f t="shared" si="7"/>
        <v>-1500.0000000000007</v>
      </c>
    </row>
    <row r="66" spans="2:8" ht="12.75" customHeight="1" x14ac:dyDescent="0.25">
      <c r="B66">
        <v>55</v>
      </c>
      <c r="C66" s="155">
        <f t="shared" si="8"/>
        <v>-1500.0000000000007</v>
      </c>
      <c r="D66" s="155">
        <f t="shared" si="9"/>
        <v>83.333333333333329</v>
      </c>
      <c r="E66" s="155">
        <f t="shared" si="5"/>
        <v>-12.500000000000005</v>
      </c>
      <c r="F66" s="155">
        <f t="shared" si="6"/>
        <v>70.833333333333329</v>
      </c>
      <c r="G66" s="155">
        <f t="shared" si="7"/>
        <v>-1583.3333333333339</v>
      </c>
    </row>
    <row r="67" spans="2:8" ht="12.75" customHeight="1" x14ac:dyDescent="0.25">
      <c r="B67">
        <v>56</v>
      </c>
      <c r="C67" s="155">
        <f t="shared" si="8"/>
        <v>-1583.3333333333339</v>
      </c>
      <c r="D67" s="155">
        <f t="shared" si="9"/>
        <v>83.333333333333329</v>
      </c>
      <c r="E67" s="155">
        <f t="shared" si="5"/>
        <v>-13.19444444444445</v>
      </c>
      <c r="F67" s="155">
        <f t="shared" si="6"/>
        <v>70.138888888888886</v>
      </c>
      <c r="G67" s="155">
        <f t="shared" si="7"/>
        <v>-1666.6666666666672</v>
      </c>
    </row>
    <row r="68" spans="2:8" ht="12.75" customHeight="1" x14ac:dyDescent="0.25">
      <c r="B68">
        <v>57</v>
      </c>
      <c r="C68" s="155">
        <f t="shared" si="8"/>
        <v>-1666.6666666666672</v>
      </c>
      <c r="D68" s="155">
        <f t="shared" si="9"/>
        <v>83.333333333333329</v>
      </c>
      <c r="E68" s="155">
        <f t="shared" si="5"/>
        <v>-13.888888888888893</v>
      </c>
      <c r="F68" s="155">
        <f t="shared" si="6"/>
        <v>69.444444444444429</v>
      </c>
      <c r="G68" s="155">
        <f t="shared" si="7"/>
        <v>-1750.0000000000005</v>
      </c>
    </row>
    <row r="69" spans="2:8" ht="12.75" customHeight="1" x14ac:dyDescent="0.25">
      <c r="B69">
        <v>58</v>
      </c>
      <c r="C69" s="155">
        <f t="shared" si="8"/>
        <v>-1750.0000000000005</v>
      </c>
      <c r="D69" s="155">
        <f t="shared" si="9"/>
        <v>83.333333333333329</v>
      </c>
      <c r="E69" s="155">
        <f t="shared" si="5"/>
        <v>-14.583333333333337</v>
      </c>
      <c r="F69" s="155">
        <f t="shared" si="6"/>
        <v>68.749999999999986</v>
      </c>
      <c r="G69" s="155">
        <f t="shared" si="7"/>
        <v>-1833.3333333333337</v>
      </c>
    </row>
    <row r="70" spans="2:8" ht="12.75" customHeight="1" x14ac:dyDescent="0.25">
      <c r="B70">
        <v>59</v>
      </c>
      <c r="C70" s="155">
        <f t="shared" si="8"/>
        <v>-1833.3333333333337</v>
      </c>
      <c r="D70" s="155">
        <f t="shared" si="9"/>
        <v>83.333333333333329</v>
      </c>
      <c r="E70" s="155">
        <f t="shared" si="5"/>
        <v>-15.27777777777778</v>
      </c>
      <c r="F70" s="155">
        <f t="shared" si="6"/>
        <v>68.055555555555543</v>
      </c>
      <c r="G70" s="155">
        <f t="shared" si="7"/>
        <v>-1916.666666666667</v>
      </c>
    </row>
    <row r="71" spans="2:8" ht="12.75" customHeight="1" x14ac:dyDescent="0.25">
      <c r="B71">
        <v>60</v>
      </c>
      <c r="C71" s="155">
        <f t="shared" si="8"/>
        <v>-1916.666666666667</v>
      </c>
      <c r="D71" s="155">
        <f t="shared" si="9"/>
        <v>83.333333333333329</v>
      </c>
      <c r="E71" s="155">
        <f t="shared" si="5"/>
        <v>-15.972222222222225</v>
      </c>
      <c r="F71" s="155">
        <f t="shared" si="6"/>
        <v>67.3611111111111</v>
      </c>
      <c r="G71" s="155">
        <f t="shared" si="7"/>
        <v>-2000.0000000000002</v>
      </c>
      <c r="H71" s="155">
        <f>SUM(E60:E71)</f>
        <v>-145.8333333333334</v>
      </c>
    </row>
  </sheetData>
  <pageMargins left="0.75" right="0.75" top="1" bottom="1" header="0.51180555555555496" footer="0.51180555555555496"/>
  <pageSetup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zoomScaleNormal="100" workbookViewId="0"/>
  </sheetViews>
  <sheetFormatPr baseColWidth="10" defaultColWidth="14.44140625" defaultRowHeight="13.2" x14ac:dyDescent="0.25"/>
  <cols>
    <col min="1" max="26" width="9.109375" customWidth="1"/>
  </cols>
  <sheetData/>
  <pageMargins left="0.75" right="0.75" top="1" bottom="1" header="0.51180555555555496" footer="0.51180555555555496"/>
  <pageSetup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1:AMK37"/>
  <sheetViews>
    <sheetView zoomScale="96" zoomScaleNormal="142" workbookViewId="0">
      <selection activeCell="D7" sqref="D7:F7"/>
    </sheetView>
  </sheetViews>
  <sheetFormatPr baseColWidth="10" defaultColWidth="14.33203125" defaultRowHeight="13.2" zeroHeight="1" x14ac:dyDescent="0.25"/>
  <cols>
    <col min="1" max="1" width="2.88671875" customWidth="1"/>
    <col min="2" max="2" width="11.33203125" customWidth="1"/>
    <col min="3" max="3" width="10.6640625" customWidth="1"/>
    <col min="4" max="4" width="16.44140625" customWidth="1"/>
    <col min="5" max="5" width="10.109375" customWidth="1"/>
    <col min="6" max="6" width="11.109375" customWidth="1"/>
    <col min="7" max="7" width="2.6640625" customWidth="1"/>
    <col min="8" max="8" width="26.33203125" customWidth="1"/>
    <col min="9" max="9" width="12.109375" customWidth="1"/>
    <col min="10" max="10" width="11" customWidth="1"/>
    <col min="11" max="11" width="2.6640625" style="334" customWidth="1"/>
    <col min="12" max="12" width="27.33203125" customWidth="1"/>
    <col min="13" max="13" width="12.109375" customWidth="1"/>
    <col min="14" max="14" width="11.33203125" customWidth="1"/>
    <col min="15" max="15" width="2.88671875" style="334" customWidth="1"/>
    <col min="16" max="16" width="13.44140625" customWidth="1"/>
    <col min="17" max="18" width="17.33203125" customWidth="1"/>
    <col min="19" max="19" width="1.44140625" customWidth="1"/>
    <col min="20" max="20" width="2.88671875" style="334" customWidth="1"/>
    <col min="21" max="21" width="2" bestFit="1" customWidth="1"/>
    <col min="22" max="24" width="11.33203125" hidden="1" customWidth="1"/>
    <col min="25" max="1024" width="14.33203125" hidden="1"/>
    <col min="1025" max="1025" width="14.33203125" hidden="1" customWidth="1"/>
  </cols>
  <sheetData>
    <row r="1" spans="2:21" ht="27.9" customHeight="1" x14ac:dyDescent="0.4">
      <c r="B1" s="524" t="s">
        <v>2795</v>
      </c>
      <c r="C1" s="524"/>
      <c r="D1" s="524"/>
      <c r="E1" s="335"/>
      <c r="F1" s="525">
        <v>46126</v>
      </c>
      <c r="G1" s="525"/>
      <c r="H1" s="336" t="s">
        <v>2947</v>
      </c>
      <c r="I1" s="526"/>
      <c r="J1" s="526"/>
      <c r="L1" s="527" t="s">
        <v>2796</v>
      </c>
      <c r="M1" s="512" t="str">
        <f>IF(M3="N/D","INFO NO DISPONIBLE",IF(M3="Si","LIMITADO","VIABLE"))</f>
        <v>VIABLE</v>
      </c>
      <c r="N1" s="512"/>
      <c r="O1" s="337"/>
      <c r="P1" s="513" t="s">
        <v>2797</v>
      </c>
      <c r="Q1" s="513"/>
      <c r="R1" s="513"/>
      <c r="S1" s="334"/>
      <c r="T1" s="338"/>
      <c r="U1" s="339" t="s">
        <v>2798</v>
      </c>
    </row>
    <row r="2" spans="2:21" ht="12.75" customHeight="1" x14ac:dyDescent="0.35">
      <c r="F2" s="340" t="s">
        <v>122</v>
      </c>
      <c r="G2" s="340"/>
      <c r="H2" s="340" t="s">
        <v>2799</v>
      </c>
      <c r="I2" s="514" t="s">
        <v>2800</v>
      </c>
      <c r="J2" s="514"/>
      <c r="L2" s="527"/>
      <c r="M2" s="512"/>
      <c r="N2" s="512"/>
      <c r="O2" s="337"/>
      <c r="P2" s="515"/>
      <c r="Q2" s="515"/>
      <c r="R2" s="341"/>
      <c r="S2" s="334"/>
      <c r="U2" s="339" t="s">
        <v>2798</v>
      </c>
    </row>
    <row r="3" spans="2:21" ht="12.75" customHeight="1" x14ac:dyDescent="0.25">
      <c r="B3" s="516" t="s">
        <v>2801</v>
      </c>
      <c r="C3" s="516"/>
      <c r="D3" s="517" t="s">
        <v>2982</v>
      </c>
      <c r="E3" s="517"/>
      <c r="F3" s="517"/>
      <c r="G3" s="342"/>
      <c r="H3" s="343" t="s">
        <v>2802</v>
      </c>
      <c r="I3" s="518" t="s">
        <v>2803</v>
      </c>
      <c r="J3" s="518"/>
      <c r="K3" s="334" t="s">
        <v>2804</v>
      </c>
      <c r="L3" s="519" t="s">
        <v>2805</v>
      </c>
      <c r="M3" s="518" t="s">
        <v>2904</v>
      </c>
      <c r="N3" s="518"/>
      <c r="O3" s="344"/>
      <c r="P3" s="345" t="s">
        <v>2807</v>
      </c>
      <c r="Q3" s="520" t="s">
        <v>2948</v>
      </c>
      <c r="R3" s="520"/>
      <c r="S3" s="334"/>
      <c r="U3" s="339" t="s">
        <v>2798</v>
      </c>
    </row>
    <row r="4" spans="2:21" ht="20.25" customHeight="1" x14ac:dyDescent="0.25">
      <c r="B4" s="516"/>
      <c r="C4" s="516"/>
      <c r="D4" s="517"/>
      <c r="E4" s="517"/>
      <c r="F4" s="517"/>
      <c r="G4" s="342"/>
      <c r="H4" s="343" t="s">
        <v>2789</v>
      </c>
      <c r="I4" s="521">
        <v>0</v>
      </c>
      <c r="J4" s="521"/>
      <c r="K4" s="334" t="s">
        <v>2808</v>
      </c>
      <c r="L4" s="519"/>
      <c r="M4" s="518"/>
      <c r="N4" s="518"/>
      <c r="O4" s="344"/>
      <c r="Q4" s="51" t="s">
        <v>2809</v>
      </c>
      <c r="R4" s="50" t="s">
        <v>2810</v>
      </c>
      <c r="S4" s="334"/>
      <c r="U4" s="339" t="s">
        <v>2798</v>
      </c>
    </row>
    <row r="5" spans="2:21" ht="15.75" customHeight="1" x14ac:dyDescent="0.25">
      <c r="B5" s="522" t="s">
        <v>2811</v>
      </c>
      <c r="C5" s="522"/>
      <c r="D5" s="522"/>
      <c r="E5" s="522"/>
      <c r="F5" s="522"/>
      <c r="G5" s="134"/>
      <c r="H5" s="343" t="s">
        <v>2812</v>
      </c>
      <c r="I5" s="523">
        <v>0</v>
      </c>
      <c r="J5" s="523"/>
      <c r="K5" s="334" t="s">
        <v>2813</v>
      </c>
      <c r="L5" s="519"/>
      <c r="M5" s="518"/>
      <c r="N5" s="518"/>
      <c r="P5" s="348">
        <f>Bancos!L16</f>
        <v>45901</v>
      </c>
      <c r="Q5" s="346">
        <f>Bancos!M16</f>
        <v>0</v>
      </c>
      <c r="R5" s="346">
        <f>Bancos!N16</f>
        <v>0</v>
      </c>
      <c r="S5" s="347"/>
      <c r="T5" s="347">
        <f t="shared" ref="T5:T11" si="0">IF(Q5&gt;0.1,1,0)</f>
        <v>0</v>
      </c>
      <c r="U5" s="339" t="s">
        <v>2798</v>
      </c>
    </row>
    <row r="6" spans="2:21" ht="12.75" customHeight="1" x14ac:dyDescent="0.25">
      <c r="B6" s="528" t="s">
        <v>407</v>
      </c>
      <c r="C6" s="528"/>
      <c r="D6" s="529" t="s">
        <v>2724</v>
      </c>
      <c r="E6" s="529"/>
      <c r="F6" s="529"/>
      <c r="G6" s="134"/>
      <c r="H6" s="343" t="s">
        <v>2788</v>
      </c>
      <c r="I6" s="530">
        <v>0</v>
      </c>
      <c r="J6" s="530"/>
      <c r="K6" s="334" t="s">
        <v>2814</v>
      </c>
      <c r="L6" s="334" t="s">
        <v>2814</v>
      </c>
      <c r="M6" s="334"/>
      <c r="N6" s="334"/>
      <c r="O6" s="334" t="s">
        <v>2814</v>
      </c>
      <c r="P6" s="348">
        <f>Bancos!L17</f>
        <v>45931</v>
      </c>
      <c r="Q6" s="346">
        <f>Bancos!M17</f>
        <v>0</v>
      </c>
      <c r="R6" s="346">
        <f>Bancos!N17</f>
        <v>0</v>
      </c>
      <c r="S6" s="347"/>
      <c r="T6" s="347">
        <f t="shared" si="0"/>
        <v>0</v>
      </c>
      <c r="U6" s="339" t="s">
        <v>2798</v>
      </c>
    </row>
    <row r="7" spans="2:21" ht="12.75" customHeight="1" x14ac:dyDescent="0.25">
      <c r="B7" s="528" t="s">
        <v>2815</v>
      </c>
      <c r="C7" s="528"/>
      <c r="D7" s="531"/>
      <c r="E7" s="531"/>
      <c r="F7" s="531"/>
      <c r="G7" s="349"/>
      <c r="H7" s="522" t="s">
        <v>2816</v>
      </c>
      <c r="I7" s="350"/>
      <c r="J7" s="351"/>
      <c r="L7" s="522" t="s">
        <v>2817</v>
      </c>
      <c r="M7" s="350"/>
      <c r="N7" s="351"/>
      <c r="P7" s="348">
        <f>Bancos!L18</f>
        <v>45962</v>
      </c>
      <c r="Q7" s="346">
        <f>Bancos!M18</f>
        <v>0</v>
      </c>
      <c r="R7" s="346">
        <f>Bancos!N18</f>
        <v>0</v>
      </c>
      <c r="S7" s="347"/>
      <c r="T7" s="347">
        <f t="shared" si="0"/>
        <v>0</v>
      </c>
      <c r="U7" s="339" t="s">
        <v>2798</v>
      </c>
    </row>
    <row r="8" spans="2:21" ht="18.75" customHeight="1" x14ac:dyDescent="0.25">
      <c r="B8" s="522" t="s">
        <v>2818</v>
      </c>
      <c r="C8" s="522"/>
      <c r="D8" s="522"/>
      <c r="E8" s="522"/>
      <c r="F8" s="522"/>
      <c r="G8" s="349"/>
      <c r="H8" s="522"/>
      <c r="I8" s="532" t="s">
        <v>2819</v>
      </c>
      <c r="J8" s="532"/>
      <c r="L8" s="522"/>
      <c r="M8" s="532" t="s">
        <v>2819</v>
      </c>
      <c r="N8" s="532"/>
      <c r="P8" s="348">
        <f>Bancos!L19</f>
        <v>45992</v>
      </c>
      <c r="Q8" s="346">
        <f>Bancos!M19</f>
        <v>0</v>
      </c>
      <c r="R8" s="346">
        <f>Bancos!N19</f>
        <v>0</v>
      </c>
      <c r="S8" s="347"/>
      <c r="T8" s="347">
        <f t="shared" si="0"/>
        <v>0</v>
      </c>
      <c r="U8" s="339" t="s">
        <v>2798</v>
      </c>
    </row>
    <row r="9" spans="2:21" ht="15" customHeight="1" x14ac:dyDescent="0.25">
      <c r="B9" s="531"/>
      <c r="C9" s="531"/>
      <c r="D9" s="531"/>
      <c r="E9" s="531"/>
      <c r="F9" s="531"/>
      <c r="G9" s="349"/>
      <c r="H9" s="352" t="s">
        <v>2820</v>
      </c>
      <c r="I9" s="533">
        <f>+DATOS!O6</f>
        <v>0</v>
      </c>
      <c r="J9" s="533"/>
      <c r="K9" s="347" t="s">
        <v>2821</v>
      </c>
      <c r="L9" s="352" t="s">
        <v>2820</v>
      </c>
      <c r="M9" s="533">
        <f>DATOS!U6</f>
        <v>0</v>
      </c>
      <c r="N9" s="533"/>
      <c r="P9" s="348">
        <f>Bancos!L20</f>
        <v>46023</v>
      </c>
      <c r="Q9" s="346">
        <f>Bancos!M20</f>
        <v>0</v>
      </c>
      <c r="R9" s="346">
        <f>Bancos!N20</f>
        <v>0</v>
      </c>
      <c r="S9" s="347"/>
      <c r="T9" s="347">
        <f t="shared" si="0"/>
        <v>0</v>
      </c>
      <c r="U9" s="339" t="s">
        <v>2798</v>
      </c>
    </row>
    <row r="10" spans="2:21" ht="15.75" customHeight="1" x14ac:dyDescent="0.25">
      <c r="B10" s="522" t="s">
        <v>2822</v>
      </c>
      <c r="C10" s="522"/>
      <c r="D10" s="522"/>
      <c r="E10" s="522"/>
      <c r="F10" s="522"/>
      <c r="G10" s="349"/>
      <c r="H10" s="353" t="s">
        <v>2823</v>
      </c>
      <c r="I10" s="533">
        <f>+DATOS!E13</f>
        <v>0</v>
      </c>
      <c r="J10" s="533"/>
      <c r="K10" s="347" t="s">
        <v>2824</v>
      </c>
      <c r="L10" s="353" t="s">
        <v>2823</v>
      </c>
      <c r="M10" s="534">
        <f>DATOS!I13</f>
        <v>0</v>
      </c>
      <c r="N10" s="534"/>
      <c r="O10" s="347" t="s">
        <v>2824</v>
      </c>
      <c r="P10" s="348">
        <f>Bancos!L21</f>
        <v>46054</v>
      </c>
      <c r="Q10" s="346">
        <f>Bancos!M21</f>
        <v>0</v>
      </c>
      <c r="R10" s="346">
        <f>Bancos!N21</f>
        <v>0</v>
      </c>
      <c r="S10" s="347"/>
      <c r="T10" s="347">
        <f t="shared" si="0"/>
        <v>0</v>
      </c>
      <c r="U10" s="339" t="s">
        <v>2798</v>
      </c>
    </row>
    <row r="11" spans="2:21" ht="12.75" customHeight="1" x14ac:dyDescent="0.25">
      <c r="B11" s="535" t="s">
        <v>2825</v>
      </c>
      <c r="C11" s="535"/>
      <c r="D11" s="535"/>
      <c r="E11" s="536" t="s">
        <v>2724</v>
      </c>
      <c r="F11" s="536"/>
      <c r="G11" s="134"/>
      <c r="H11" s="353" t="s">
        <v>2826</v>
      </c>
      <c r="I11" s="355">
        <f>+DATOS!E23</f>
        <v>0</v>
      </c>
      <c r="J11" s="354">
        <f>(I11-DATOS!E25)/4</f>
        <v>0</v>
      </c>
      <c r="L11" s="353" t="s">
        <v>2827</v>
      </c>
      <c r="M11" s="355">
        <f>DATOS!I23</f>
        <v>0</v>
      </c>
      <c r="N11" s="354">
        <f>(M11-DATOS!I25)/4</f>
        <v>0</v>
      </c>
      <c r="P11" s="348">
        <f>Bancos!L22</f>
        <v>46082</v>
      </c>
      <c r="Q11" s="346">
        <f>Bancos!M22</f>
        <v>0</v>
      </c>
      <c r="R11" s="346">
        <f>Bancos!N22</f>
        <v>0</v>
      </c>
      <c r="S11" s="347">
        <f>IF(R11&gt;0.1,1,0)</f>
        <v>0</v>
      </c>
      <c r="T11" s="347">
        <f t="shared" si="0"/>
        <v>0</v>
      </c>
      <c r="U11" s="339" t="s">
        <v>2798</v>
      </c>
    </row>
    <row r="12" spans="2:21" ht="12.75" customHeight="1" x14ac:dyDescent="0.25">
      <c r="B12" s="537" t="s">
        <v>2828</v>
      </c>
      <c r="C12" s="537"/>
      <c r="D12" s="537"/>
      <c r="E12" s="536" t="s">
        <v>2904</v>
      </c>
      <c r="F12" s="536"/>
      <c r="G12" s="50"/>
      <c r="H12" s="353" t="s">
        <v>2829</v>
      </c>
      <c r="I12" s="534">
        <f>DATOS!E29</f>
        <v>0</v>
      </c>
      <c r="J12" s="534"/>
      <c r="K12" s="356"/>
      <c r="L12" s="353" t="s">
        <v>2829</v>
      </c>
      <c r="M12" s="534">
        <f>DATOS!I29</f>
        <v>0</v>
      </c>
      <c r="N12" s="534"/>
      <c r="O12" s="356"/>
      <c r="P12" s="357" t="s">
        <v>2830</v>
      </c>
      <c r="Q12" s="358">
        <f>IFERROR(SUM(Q5:Q11)/T12,0)</f>
        <v>0</v>
      </c>
      <c r="R12" s="358">
        <f>IFERROR(SUM(R5:R11)/T12,0)</f>
        <v>0</v>
      </c>
      <c r="S12" s="347">
        <f>SUM(S5:S11)</f>
        <v>0</v>
      </c>
      <c r="T12" s="347">
        <f>SUM(T5:T11)</f>
        <v>0</v>
      </c>
      <c r="U12" s="339" t="s">
        <v>2798</v>
      </c>
    </row>
    <row r="13" spans="2:21" ht="15.75" customHeight="1" x14ac:dyDescent="0.25">
      <c r="B13" s="537" t="s">
        <v>2831</v>
      </c>
      <c r="C13" s="537"/>
      <c r="D13" s="537"/>
      <c r="E13" s="536"/>
      <c r="F13" s="536"/>
      <c r="G13" s="50"/>
      <c r="H13" s="353" t="s">
        <v>2832</v>
      </c>
      <c r="I13" s="534">
        <f>DATOS!O8+DATOS!O11</f>
        <v>0</v>
      </c>
      <c r="J13" s="534"/>
      <c r="K13" s="359"/>
      <c r="L13" s="353" t="s">
        <v>2832</v>
      </c>
      <c r="M13" s="534">
        <f>DATOS!U8+DATOS!U11</f>
        <v>0</v>
      </c>
      <c r="N13" s="534"/>
      <c r="O13" s="359"/>
      <c r="Q13" s="155"/>
      <c r="S13" s="334"/>
      <c r="U13" s="339" t="s">
        <v>2798</v>
      </c>
    </row>
    <row r="14" spans="2:21" ht="12.75" customHeight="1" x14ac:dyDescent="0.25">
      <c r="B14" s="537" t="s">
        <v>2833</v>
      </c>
      <c r="C14" s="537"/>
      <c r="D14" s="537"/>
      <c r="E14" s="538"/>
      <c r="F14" s="536"/>
      <c r="G14" s="50"/>
      <c r="H14" s="360" t="s">
        <v>2834</v>
      </c>
      <c r="I14" s="534" t="e">
        <f>PMT(I6/12,I4,-I5)*12</f>
        <v>#NUM!</v>
      </c>
      <c r="J14" s="534"/>
      <c r="L14" s="360" t="s">
        <v>2834</v>
      </c>
      <c r="M14" s="534" t="e">
        <f>PMT(I6/12,I4,-I5)*12</f>
        <v>#NUM!</v>
      </c>
      <c r="N14" s="534"/>
      <c r="P14" s="361" t="s">
        <v>2835</v>
      </c>
      <c r="Q14" s="539"/>
      <c r="R14" s="539"/>
      <c r="S14" s="334"/>
      <c r="U14" s="339" t="s">
        <v>2798</v>
      </c>
    </row>
    <row r="15" spans="2:21" ht="15.75" customHeight="1" x14ac:dyDescent="0.25">
      <c r="B15" s="362" t="s">
        <v>2836</v>
      </c>
      <c r="C15" s="363" t="str">
        <f>IFERROR(E14/I5,"N/D")</f>
        <v>N/D</v>
      </c>
      <c r="D15" s="540" t="s">
        <v>2837</v>
      </c>
      <c r="E15" s="540"/>
      <c r="F15" s="363" t="e">
        <f>VLOOKUP(E13,Input!$B$77:$C$81,2,0)</f>
        <v>#N/A</v>
      </c>
      <c r="G15" s="50"/>
      <c r="H15" s="365"/>
      <c r="J15" s="366"/>
      <c r="L15" s="365"/>
      <c r="N15" s="366"/>
      <c r="Q15" s="51" t="s">
        <v>2809</v>
      </c>
      <c r="R15" s="50" t="s">
        <v>2810</v>
      </c>
      <c r="S15" s="334"/>
      <c r="U15" s="339" t="s">
        <v>2798</v>
      </c>
    </row>
    <row r="16" spans="2:21" ht="12.75" customHeight="1" x14ac:dyDescent="0.25">
      <c r="B16" s="541" t="s">
        <v>2838</v>
      </c>
      <c r="C16" s="541"/>
      <c r="D16" s="542" t="s">
        <v>2839</v>
      </c>
      <c r="E16" s="542"/>
      <c r="F16" s="542"/>
      <c r="G16" s="134"/>
      <c r="H16" s="367" t="s">
        <v>2840</v>
      </c>
      <c r="I16" s="368" t="s">
        <v>2841</v>
      </c>
      <c r="J16" s="369" t="s">
        <v>417</v>
      </c>
      <c r="L16" s="367" t="s">
        <v>2840</v>
      </c>
      <c r="M16" s="368" t="s">
        <v>2841</v>
      </c>
      <c r="N16" s="369" t="s">
        <v>417</v>
      </c>
      <c r="O16" s="339"/>
      <c r="P16" s="348">
        <f>Bancos!L16</f>
        <v>45901</v>
      </c>
      <c r="Q16" s="503">
        <v>0</v>
      </c>
      <c r="R16" s="503">
        <v>0</v>
      </c>
      <c r="S16" s="347">
        <f t="shared" ref="S16:S22" si="1">IF(R16&gt;0.1,1,0)</f>
        <v>0</v>
      </c>
      <c r="T16" s="347">
        <f t="shared" ref="T16:T22" si="2">IF(Q16&gt;0.1,1,0)</f>
        <v>0</v>
      </c>
      <c r="U16" s="339" t="s">
        <v>2798</v>
      </c>
    </row>
    <row r="17" spans="2:21" ht="15.75" customHeight="1" x14ac:dyDescent="0.25">
      <c r="B17" s="541"/>
      <c r="C17" s="541"/>
      <c r="D17" s="542"/>
      <c r="E17" s="542"/>
      <c r="F17" s="542"/>
      <c r="G17" s="370"/>
      <c r="H17" s="365" t="s">
        <v>2842</v>
      </c>
      <c r="I17" s="371" t="s">
        <v>2843</v>
      </c>
      <c r="J17" s="372" t="e">
        <f>(I14*(I4/12)+I11-DATOS!E25)/(I13+pagos_arrendamiento_mensual_full_year*12)</f>
        <v>#NUM!</v>
      </c>
      <c r="K17" s="373">
        <f>IFERROR(IF(J17&lt;4,0.5,0),0)</f>
        <v>0</v>
      </c>
      <c r="L17" s="374" t="s">
        <v>2842</v>
      </c>
      <c r="M17" s="371" t="s">
        <v>2843</v>
      </c>
      <c r="N17" s="372" t="e">
        <f>(M14*(I4/12)+M11-DATOS!$I$25)/(M13+pagos_arrendamiento_mensual_full_year*12)</f>
        <v>#NUM!</v>
      </c>
      <c r="O17" s="373" t="e">
        <f>IF(AND(ISNUMBER(N17),N17&lt;4),0.5,0)</f>
        <v>#NUM!</v>
      </c>
      <c r="P17" s="348">
        <f>Bancos!L17</f>
        <v>45931</v>
      </c>
      <c r="Q17" s="503">
        <v>0</v>
      </c>
      <c r="R17" s="503">
        <v>0</v>
      </c>
      <c r="S17" s="347">
        <f t="shared" si="1"/>
        <v>0</v>
      </c>
      <c r="T17" s="347">
        <f t="shared" si="2"/>
        <v>0</v>
      </c>
      <c r="U17" s="339" t="s">
        <v>2798</v>
      </c>
    </row>
    <row r="18" spans="2:21" ht="19.5" customHeight="1" x14ac:dyDescent="0.25">
      <c r="B18" s="543" t="str">
        <f>IF(OR(E11="N/D",E12="N/D",E13="N/D",E14&lt;0,ISBLANK(E14)),"GARANTIA: INFORMACION INCOMPLETA",IF(E11&lt;&gt;"Otros",IF(E12="Si",IF(C15&gt;F15,"GARANTIA: VIABLE","GARANTIA: LIMITADO"),"GARANTIA: LIMITADO"),IF(C15&gt;F15,"GARANTIA: VIABLE","GARANTIA: LIMITADO")))</f>
        <v>GARANTIA: INFORMACION INCOMPLETA</v>
      </c>
      <c r="C18" s="543"/>
      <c r="D18" s="543"/>
      <c r="E18" s="543"/>
      <c r="F18" s="543"/>
      <c r="G18" s="370"/>
      <c r="H18" s="374" t="s">
        <v>2844</v>
      </c>
      <c r="I18" s="371" t="s">
        <v>2845</v>
      </c>
      <c r="J18" s="375" t="e">
        <f>I11/I10</f>
        <v>#DIV/0!</v>
      </c>
      <c r="K18" s="373" t="e">
        <f>IF(J18&lt;70%,1,0)</f>
        <v>#DIV/0!</v>
      </c>
      <c r="L18" s="374" t="s">
        <v>2844</v>
      </c>
      <c r="M18" s="371" t="s">
        <v>2845</v>
      </c>
      <c r="N18" s="375" t="e">
        <f>M11/M10</f>
        <v>#DIV/0!</v>
      </c>
      <c r="O18" s="373" t="e">
        <f>IF(AND(ISNUMBER(N18),N18&lt;70%),1,0)</f>
        <v>#DIV/0!</v>
      </c>
      <c r="P18" s="348">
        <f>Bancos!L18</f>
        <v>45962</v>
      </c>
      <c r="Q18" s="503">
        <v>0</v>
      </c>
      <c r="R18" s="503">
        <v>0</v>
      </c>
      <c r="S18" s="347">
        <f t="shared" si="1"/>
        <v>0</v>
      </c>
      <c r="T18" s="347">
        <f t="shared" si="2"/>
        <v>0</v>
      </c>
      <c r="U18" s="339" t="s">
        <v>2798</v>
      </c>
    </row>
    <row r="19" spans="2:21" ht="16.5" customHeight="1" x14ac:dyDescent="0.25">
      <c r="B19" s="543"/>
      <c r="C19" s="543"/>
      <c r="D19" s="543"/>
      <c r="E19" s="543"/>
      <c r="F19" s="543"/>
      <c r="G19" s="370"/>
      <c r="H19" s="374" t="s">
        <v>2846</v>
      </c>
      <c r="I19" s="371" t="s">
        <v>2847</v>
      </c>
      <c r="J19" s="376">
        <f>+DATOS!E7-DATOS!E17</f>
        <v>0</v>
      </c>
      <c r="K19" s="373">
        <f>IF(J19&gt;1,1,0)</f>
        <v>0</v>
      </c>
      <c r="L19" s="374" t="s">
        <v>2846</v>
      </c>
      <c r="M19" s="371" t="s">
        <v>2847</v>
      </c>
      <c r="N19" s="377">
        <f>+DATOS!I7-DATOS!I17</f>
        <v>0</v>
      </c>
      <c r="O19" s="373">
        <f>IF(AND(ISNUMBER(N19),N19&gt;1),1,0)</f>
        <v>0</v>
      </c>
      <c r="P19" s="348">
        <f>Bancos!L19</f>
        <v>45992</v>
      </c>
      <c r="Q19" s="503">
        <v>0</v>
      </c>
      <c r="R19" s="503">
        <v>0</v>
      </c>
      <c r="S19" s="347">
        <f t="shared" si="1"/>
        <v>0</v>
      </c>
      <c r="T19" s="347">
        <f t="shared" si="2"/>
        <v>0</v>
      </c>
      <c r="U19" s="339" t="s">
        <v>2798</v>
      </c>
    </row>
    <row r="20" spans="2:21" ht="18" customHeight="1" x14ac:dyDescent="0.25">
      <c r="B20" s="522" t="s">
        <v>2848</v>
      </c>
      <c r="C20" s="522"/>
      <c r="D20" s="522"/>
      <c r="E20" s="522"/>
      <c r="F20" s="522"/>
      <c r="G20" s="370"/>
      <c r="H20" s="374" t="s">
        <v>2849</v>
      </c>
      <c r="I20" s="371" t="s">
        <v>2850</v>
      </c>
      <c r="J20" s="378" t="e">
        <f>+(I13+(pagos_arrendamiento_mensual_full_year*12))/((J11+I14)+pagos_arrendamiento_mensual_full_year*12)</f>
        <v>#NUM!</v>
      </c>
      <c r="K20" s="373">
        <f>IFERROR(IF($I$3="Credito Simple",IF(J20&gt;=1.2,1.5,0),IF(J20&gt;=1.35,1.5,0)),0)</f>
        <v>0</v>
      </c>
      <c r="L20" s="374" t="s">
        <v>2851</v>
      </c>
      <c r="M20" s="371" t="s">
        <v>2850</v>
      </c>
      <c r="N20" s="372" t="e">
        <f>+(M13+pagos_arrendamiento_mensual_full_year*12)/((N11+M14)+pagos_arrendamiento_mensual_full_year*12)</f>
        <v>#NUM!</v>
      </c>
      <c r="O20" s="373" t="e">
        <f>IF($I$3="Credito Simple",IF(N20&gt;1.2,1.5,0),IF(N20&gt;1.35,1.5,0))</f>
        <v>#NUM!</v>
      </c>
      <c r="P20" s="348">
        <f>Bancos!L20</f>
        <v>46023</v>
      </c>
      <c r="Q20" s="503">
        <v>0</v>
      </c>
      <c r="R20" s="503">
        <v>0</v>
      </c>
      <c r="S20" s="347">
        <f t="shared" si="1"/>
        <v>0</v>
      </c>
      <c r="T20" s="347">
        <f t="shared" si="2"/>
        <v>0</v>
      </c>
      <c r="U20" s="339" t="s">
        <v>2798</v>
      </c>
    </row>
    <row r="21" spans="2:21" ht="12.75" customHeight="1" x14ac:dyDescent="0.25">
      <c r="B21" s="544" t="s">
        <v>2852</v>
      </c>
      <c r="C21" s="544"/>
      <c r="D21" s="544"/>
      <c r="E21" s="536" t="s">
        <v>2806</v>
      </c>
      <c r="F21" s="536"/>
      <c r="G21" s="379"/>
      <c r="H21" s="374"/>
      <c r="I21" s="371"/>
      <c r="J21" s="380" t="e">
        <f>SUM(K17:K20)+DATOS!Q30</f>
        <v>#DIV/0!</v>
      </c>
      <c r="K21" s="373"/>
      <c r="L21" s="374"/>
      <c r="M21" s="371"/>
      <c r="N21" s="380" t="e">
        <f>SUM(O17:O20)+DATOS!Q30</f>
        <v>#NUM!</v>
      </c>
      <c r="O21" s="373"/>
      <c r="P21" s="348">
        <f>Bancos!L21</f>
        <v>46054</v>
      </c>
      <c r="Q21" s="503">
        <v>0</v>
      </c>
      <c r="R21" s="503">
        <v>0</v>
      </c>
      <c r="S21" s="347">
        <f t="shared" si="1"/>
        <v>0</v>
      </c>
      <c r="T21" s="347">
        <f t="shared" si="2"/>
        <v>0</v>
      </c>
      <c r="U21" s="339" t="s">
        <v>2798</v>
      </c>
    </row>
    <row r="22" spans="2:21" ht="12.75" customHeight="1" x14ac:dyDescent="0.25">
      <c r="B22" s="544"/>
      <c r="C22" s="544"/>
      <c r="D22" s="544"/>
      <c r="E22" s="536"/>
      <c r="F22" s="536"/>
      <c r="G22" s="379"/>
      <c r="H22" s="543" t="str">
        <f>IF(DATOS!E13=0,"INFORMACION NO DISPONIBLE",IFERROR(IF(I12&lt;0,"ULTIMO AÑO FISCAL: LIMITADO",IF(OR($J$21&lt;=2,J20&lt;1),"ULTIMO AÑO FISCAL: LIMITADO","ULTIMO AÑO FISCAL: VIABLE")),"ULTIMO AÑO FISCAL: LIMITADO"))</f>
        <v>INFORMACION NO DISPONIBLE</v>
      </c>
      <c r="I22" s="543"/>
      <c r="J22" s="543"/>
      <c r="K22" s="373">
        <f>IF(J23&lt;60,1,0)</f>
        <v>1</v>
      </c>
      <c r="L22" s="543" t="str">
        <f>IF(DATOS!I13=0,"INFORMACION NO DISPONIBLE",IFERROR(IF(M12&lt;0,"ULTIMO AÑO FISCAL: LIMITADO",IF(OR($N$21&lt;=2,N20&lt;1),"ULTIMO AÑO FISCAL: LIMITADO","ULTIMO AÑO FISCAL: VIABLE")),"ULTIMO AÑO FISCAL: LIMITADO"))</f>
        <v>INFORMACION NO DISPONIBLE</v>
      </c>
      <c r="M22" s="543"/>
      <c r="N22" s="543"/>
      <c r="O22" s="373">
        <f>IF(N23&lt;60,1,0)</f>
        <v>1</v>
      </c>
      <c r="P22" s="348">
        <f>Bancos!L22</f>
        <v>46082</v>
      </c>
      <c r="Q22" s="503">
        <v>0</v>
      </c>
      <c r="R22" s="503">
        <v>0</v>
      </c>
      <c r="S22" s="347">
        <f t="shared" si="1"/>
        <v>0</v>
      </c>
      <c r="T22" s="347">
        <f t="shared" si="2"/>
        <v>0</v>
      </c>
      <c r="U22" s="339" t="s">
        <v>2798</v>
      </c>
    </row>
    <row r="23" spans="2:21" ht="18" customHeight="1" x14ac:dyDescent="0.25">
      <c r="B23" s="381" t="s">
        <v>2853</v>
      </c>
      <c r="C23" s="382"/>
      <c r="D23" s="382"/>
      <c r="E23" s="536" t="s">
        <v>2806</v>
      </c>
      <c r="F23" s="536"/>
      <c r="G23" s="379"/>
      <c r="H23" s="543"/>
      <c r="I23" s="543"/>
      <c r="J23" s="543"/>
      <c r="K23" s="373">
        <f>IF(J24="NO",1,0)</f>
        <v>0</v>
      </c>
      <c r="L23" s="543"/>
      <c r="M23" s="543"/>
      <c r="N23" s="543"/>
      <c r="O23" s="373">
        <f>IF(N24="NO",1,0)</f>
        <v>0</v>
      </c>
      <c r="P23" s="357" t="s">
        <v>2854</v>
      </c>
      <c r="Q23" s="383">
        <f>IFERROR(SUM(Q16:Q22)/T23,0)</f>
        <v>0</v>
      </c>
      <c r="R23" s="383">
        <f>IFERROR(SUM(R16:R22)/S23,0)</f>
        <v>0</v>
      </c>
      <c r="S23" s="347">
        <f>SUM(S16:S22)</f>
        <v>0</v>
      </c>
      <c r="T23" s="347">
        <f>SUM(T16:T22)</f>
        <v>0</v>
      </c>
      <c r="U23" s="339" t="s">
        <v>2798</v>
      </c>
    </row>
    <row r="24" spans="2:21" ht="30" customHeight="1" x14ac:dyDescent="0.25">
      <c r="B24" s="545" t="s">
        <v>2855</v>
      </c>
      <c r="C24" s="545"/>
      <c r="D24" s="545"/>
      <c r="E24" s="546" t="s">
        <v>2806</v>
      </c>
      <c r="F24" s="546"/>
      <c r="G24" s="379"/>
      <c r="H24" s="384"/>
      <c r="I24" s="384"/>
      <c r="J24" s="385"/>
      <c r="K24" s="373"/>
      <c r="L24" s="385"/>
      <c r="M24" s="385"/>
      <c r="N24" s="385"/>
      <c r="O24" s="373"/>
      <c r="P24" s="386" t="s">
        <v>2856</v>
      </c>
      <c r="Q24" s="387">
        <f>+Q12+Q23</f>
        <v>0</v>
      </c>
      <c r="R24" s="388">
        <f>+R12+R23</f>
        <v>0</v>
      </c>
      <c r="S24" s="347"/>
      <c r="T24" s="347"/>
      <c r="U24" s="339"/>
    </row>
    <row r="25" spans="2:21" ht="15" customHeight="1" x14ac:dyDescent="0.3">
      <c r="B25" s="547" t="str">
        <f>IF(TEASER!E21="Si","PROPIETARIO: LIMITADO",IF(OR(E21="N/D"),"PROPIETARIO: INFO INCOMPLETA",IF(E23="No","PROPIETARIO: VIABLE",IF(E24="N/D","PROPIETARIO: INFO INCOMPLETA",IF(E24="No puede firmar","PROPIETARIO: LIMITADO","PROPIETARIO: VIABLE")))))</f>
        <v>PROPIETARIO: INFO INCOMPLETA</v>
      </c>
      <c r="C25" s="547"/>
      <c r="D25" s="547"/>
      <c r="E25" s="547"/>
      <c r="F25" s="547"/>
      <c r="G25" s="349"/>
      <c r="H25" s="362" t="s">
        <v>2857</v>
      </c>
      <c r="I25" s="548" t="str">
        <f>IF(M9=0,"INFORMACION RECIENTE DE VENTAS NO DISPONIBLE",IF($H$26&lt;0,"EVOLUCION RECIENTE DE VENTAS: LIMITADO","EVOLUCION RECIENTE DE VENTAS: VIABLE"))</f>
        <v>INFORMACION RECIENTE DE VENTAS NO DISPONIBLE</v>
      </c>
      <c r="J25" s="548"/>
      <c r="K25" s="548"/>
      <c r="L25" s="548"/>
      <c r="M25" s="548"/>
      <c r="N25" s="548"/>
      <c r="Q25" s="389"/>
      <c r="R25" s="390"/>
      <c r="S25" s="391"/>
      <c r="T25" s="392"/>
      <c r="U25" s="339" t="s">
        <v>2798</v>
      </c>
    </row>
    <row r="26" spans="2:21" ht="13.5" customHeight="1" x14ac:dyDescent="0.25">
      <c r="B26" s="547"/>
      <c r="C26" s="547"/>
      <c r="D26" s="547"/>
      <c r="E26" s="547"/>
      <c r="F26" s="547"/>
      <c r="G26" s="349"/>
      <c r="H26" s="549" t="e">
        <f>M9/I9-1</f>
        <v>#DIV/0!</v>
      </c>
      <c r="I26" s="548"/>
      <c r="J26" s="548"/>
      <c r="K26" s="548"/>
      <c r="L26" s="548"/>
      <c r="M26" s="548"/>
      <c r="N26" s="548"/>
      <c r="O26" s="373"/>
      <c r="P26" s="553" t="s">
        <v>2858</v>
      </c>
      <c r="Q26" s="553"/>
      <c r="R26" s="394" t="e">
        <f>(R24/1000)/((N11+M14)/12)</f>
        <v>#NUM!</v>
      </c>
      <c r="S26" s="395"/>
      <c r="T26" s="392"/>
      <c r="U26" s="339" t="s">
        <v>2798</v>
      </c>
    </row>
    <row r="27" spans="2:21" ht="14.25" customHeight="1" x14ac:dyDescent="0.25">
      <c r="B27" s="547"/>
      <c r="C27" s="547"/>
      <c r="D27" s="547"/>
      <c r="E27" s="547"/>
      <c r="F27" s="547"/>
      <c r="G27" s="349"/>
      <c r="H27" s="549"/>
      <c r="I27" s="548"/>
      <c r="J27" s="548"/>
      <c r="K27" s="548"/>
      <c r="L27" s="548"/>
      <c r="M27" s="548"/>
      <c r="N27" s="548"/>
      <c r="P27" s="554" t="s">
        <v>2859</v>
      </c>
      <c r="Q27" s="554"/>
      <c r="R27" s="396" t="str">
        <f>IF(M9=0,"N/D",(M9/12*1000)/Q24)</f>
        <v>N/D</v>
      </c>
      <c r="S27" s="391"/>
      <c r="T27" s="397"/>
      <c r="U27" s="339" t="s">
        <v>2798</v>
      </c>
    </row>
    <row r="28" spans="2:21" ht="16.5" customHeight="1" x14ac:dyDescent="0.25">
      <c r="B28" s="522" t="s">
        <v>2860</v>
      </c>
      <c r="C28" s="522"/>
      <c r="D28" s="522"/>
      <c r="E28" s="522"/>
      <c r="F28" s="522"/>
      <c r="G28" s="349"/>
      <c r="J28" s="398"/>
      <c r="K28" s="398"/>
      <c r="L28" s="398"/>
      <c r="M28" s="398"/>
      <c r="N28" s="398"/>
      <c r="P28" s="385"/>
      <c r="Q28" s="385"/>
      <c r="R28" s="385"/>
      <c r="S28" s="391"/>
      <c r="T28" s="392"/>
      <c r="U28" s="339" t="s">
        <v>2798</v>
      </c>
    </row>
    <row r="29" spans="2:21" ht="17.25" customHeight="1" x14ac:dyDescent="0.25">
      <c r="B29" s="555"/>
      <c r="C29" s="555"/>
      <c r="D29" s="555"/>
      <c r="E29" s="555"/>
      <c r="F29" s="555"/>
      <c r="G29" s="134"/>
      <c r="H29" s="362" t="s">
        <v>2861</v>
      </c>
      <c r="I29" s="556" t="str">
        <f>IF(H30="N/A","INFORMACION HISTORICA NO DISPONIBLE",IF(H30&gt;=66%,"EVOLUCIÓN HISTÓRICA DE VENTAS: VIABLE","EVOLUCIÓN HISTÓRICA DE VENTAS: LIMITADO"))</f>
        <v>EVOLUCIÓN HISTÓRICA DE VENTAS: LIMITADO</v>
      </c>
      <c r="J29" s="556"/>
      <c r="K29" s="556"/>
      <c r="L29" s="556"/>
      <c r="M29" s="556"/>
      <c r="N29" s="556"/>
      <c r="P29" s="543" t="str">
        <f>IFERROR(IF($R$26&lt;1.2,"COBERTURA BANCARIA: LIMITADO","COBERTURA BANCARIA: VIABLE"),"INFO NO DISPONIBLE")</f>
        <v>INFO NO DISPONIBLE</v>
      </c>
      <c r="Q29" s="543"/>
      <c r="R29" s="543"/>
      <c r="S29" s="391"/>
      <c r="T29" s="392"/>
      <c r="U29" s="339" t="s">
        <v>2798</v>
      </c>
    </row>
    <row r="30" spans="2:21" ht="17.25" customHeight="1" x14ac:dyDescent="0.25">
      <c r="B30" s="555"/>
      <c r="C30" s="555"/>
      <c r="D30" s="555"/>
      <c r="E30" s="555"/>
      <c r="F30" s="555"/>
      <c r="G30" s="349"/>
      <c r="H30" s="393">
        <f>IF(MAX($B$35:$F$35)=5,((C36+D36+E36+F36)/4),IF(MAX($B$35:$F$35)=4,((D36+E36+F36)/3),IF(MAX($B$35:$F$35)=3,((E36+F36)/2),IF(MAX($B$35:$F$35)=2,((C36+D36+E36+F36)/1),"N/A"))))</f>
        <v>0</v>
      </c>
      <c r="I30" s="556"/>
      <c r="J30" s="556"/>
      <c r="K30" s="556"/>
      <c r="L30" s="556"/>
      <c r="M30" s="556"/>
      <c r="N30" s="556"/>
      <c r="P30" s="543"/>
      <c r="Q30" s="543"/>
      <c r="R30" s="543"/>
      <c r="S30" s="391"/>
      <c r="T30" s="392"/>
      <c r="U30" s="339" t="s">
        <v>2798</v>
      </c>
    </row>
    <row r="31" spans="2:21" ht="12.75" customHeight="1" x14ac:dyDescent="0.25">
      <c r="B31" s="555"/>
      <c r="C31" s="555"/>
      <c r="D31" s="555"/>
      <c r="E31" s="555"/>
      <c r="F31" s="555"/>
      <c r="G31" s="349"/>
      <c r="J31" s="399"/>
      <c r="K31" s="399"/>
      <c r="L31" s="399"/>
      <c r="M31" s="399"/>
      <c r="N31" s="399"/>
      <c r="P31" s="543"/>
      <c r="Q31" s="543"/>
      <c r="R31" s="543"/>
      <c r="S31" s="391"/>
      <c r="T31" s="392"/>
      <c r="U31" s="339" t="s">
        <v>2798</v>
      </c>
    </row>
    <row r="32" spans="2:21" ht="15.75" customHeight="1" x14ac:dyDescent="0.25">
      <c r="B32" s="550" t="s">
        <v>2862</v>
      </c>
      <c r="C32" s="550"/>
      <c r="D32" s="550"/>
      <c r="E32" s="550"/>
      <c r="F32" s="550"/>
      <c r="G32" s="349"/>
      <c r="H32" s="551" t="s">
        <v>2863</v>
      </c>
      <c r="I32" s="552"/>
      <c r="J32" s="552"/>
      <c r="K32" s="552"/>
      <c r="L32" s="552"/>
      <c r="M32" s="552"/>
      <c r="N32" s="552"/>
      <c r="P32" s="134"/>
      <c r="R32" s="134"/>
      <c r="S32" s="391"/>
      <c r="T32" s="392"/>
      <c r="U32" s="339" t="s">
        <v>2798</v>
      </c>
    </row>
    <row r="33" spans="1:21" ht="26.4" x14ac:dyDescent="0.25">
      <c r="B33" s="364">
        <f>C33-1</f>
        <v>2022</v>
      </c>
      <c r="C33" s="364">
        <f>D33-1</f>
        <v>2023</v>
      </c>
      <c r="D33" s="364">
        <f>E33-1</f>
        <v>2024</v>
      </c>
      <c r="E33" s="364">
        <f>DATOS!O4</f>
        <v>2025</v>
      </c>
      <c r="F33" s="400" t="str">
        <f>DATOS!S4</f>
        <v>Febrero 2026</v>
      </c>
      <c r="G33" s="349"/>
      <c r="H33" s="551"/>
      <c r="I33" s="552"/>
      <c r="J33" s="552"/>
      <c r="K33" s="552"/>
      <c r="L33" s="552"/>
      <c r="M33" s="552"/>
      <c r="N33" s="552"/>
      <c r="P33" s="543" t="str">
        <f>IF(R27="N/D","INFO NO DISPONIBLE",IFERROR(IF(R27&gt;=2,"INGRESOS VS. BANCO: LIMITADO", "INGRESOS VS. BANCO: VIABLE"),"ERROR"))</f>
        <v>INFO NO DISPONIBLE</v>
      </c>
      <c r="Q33" s="543"/>
      <c r="R33" s="543"/>
      <c r="S33" s="391"/>
      <c r="T33" s="392"/>
      <c r="U33" s="339" t="s">
        <v>2798</v>
      </c>
    </row>
    <row r="34" spans="1:21" ht="24.75" customHeight="1" x14ac:dyDescent="0.25">
      <c r="B34" s="401"/>
      <c r="C34" s="401"/>
      <c r="D34" s="401"/>
      <c r="E34" s="402">
        <f>+DATOS!O6</f>
        <v>0</v>
      </c>
      <c r="F34" s="402">
        <f>+DATOS!S6</f>
        <v>0</v>
      </c>
      <c r="G34" s="349"/>
      <c r="H34" s="403" t="s">
        <v>2806</v>
      </c>
      <c r="I34" s="552"/>
      <c r="J34" s="552"/>
      <c r="K34" s="552"/>
      <c r="L34" s="552"/>
      <c r="M34" s="552"/>
      <c r="N34" s="552"/>
      <c r="P34" s="543"/>
      <c r="Q34" s="543"/>
      <c r="R34" s="543"/>
      <c r="S34" s="391"/>
      <c r="T34" s="392"/>
      <c r="U34" s="339" t="s">
        <v>2798</v>
      </c>
    </row>
    <row r="35" spans="1:21" ht="12.75" customHeight="1" x14ac:dyDescent="0.25">
      <c r="B35" s="334">
        <f>IF(ISNUMBER(B34),5,0)</f>
        <v>0</v>
      </c>
      <c r="C35" s="334">
        <f>IF(ISNUMBER(C34),4,0)</f>
        <v>0</v>
      </c>
      <c r="D35" s="334">
        <f>IF(ISNUMBER(D34),3,0)</f>
        <v>0</v>
      </c>
      <c r="E35" s="334">
        <f>IF(ISNUMBER(E34),2,0)</f>
        <v>2</v>
      </c>
      <c r="F35" s="334">
        <f>IF(ISNUMBER(F34),1,0)</f>
        <v>1</v>
      </c>
      <c r="H35" s="404"/>
      <c r="L35" s="334"/>
      <c r="M35" s="334"/>
      <c r="N35" s="404"/>
      <c r="Q35" s="155"/>
      <c r="S35" s="391"/>
      <c r="T35" s="392"/>
      <c r="U35" s="339" t="s">
        <v>2798</v>
      </c>
    </row>
    <row r="36" spans="1:21" ht="12.75" customHeight="1" x14ac:dyDescent="0.25">
      <c r="B36" s="334"/>
      <c r="C36" s="511">
        <f>IF(C34-B34&gt;0,1,0)</f>
        <v>0</v>
      </c>
      <c r="D36" s="511">
        <f>IF(D34-C34&gt;0,1,0)</f>
        <v>0</v>
      </c>
      <c r="E36" s="511">
        <f>IF(E34-D34&gt;0,1,0)</f>
        <v>0</v>
      </c>
      <c r="F36" s="334">
        <f>IF($F$34*(12/DATOS!$V$4)-E34&gt;0,1,0)</f>
        <v>0</v>
      </c>
      <c r="H36" s="404"/>
      <c r="L36" s="334"/>
      <c r="M36" s="334"/>
      <c r="N36" s="404"/>
      <c r="Q36" s="155"/>
      <c r="S36" s="391"/>
      <c r="T36" s="392"/>
      <c r="U36" s="339"/>
    </row>
    <row r="37" spans="1:21" ht="12.75" customHeight="1" x14ac:dyDescent="0.25">
      <c r="A37" s="339" t="s">
        <v>2864</v>
      </c>
      <c r="B37" s="339" t="s">
        <v>2864</v>
      </c>
      <c r="C37" s="339" t="s">
        <v>2864</v>
      </c>
      <c r="D37" s="339" t="s">
        <v>2864</v>
      </c>
      <c r="E37" s="339" t="s">
        <v>2864</v>
      </c>
      <c r="F37" s="339" t="s">
        <v>2864</v>
      </c>
      <c r="G37" s="339" t="s">
        <v>2864</v>
      </c>
      <c r="H37" s="339" t="s">
        <v>2864</v>
      </c>
      <c r="I37" s="339" t="s">
        <v>2864</v>
      </c>
      <c r="J37" s="339" t="s">
        <v>2864</v>
      </c>
      <c r="K37" s="339" t="s">
        <v>2864</v>
      </c>
      <c r="L37" s="339" t="s">
        <v>2864</v>
      </c>
      <c r="M37" s="339" t="s">
        <v>2864</v>
      </c>
      <c r="N37" s="339" t="s">
        <v>2864</v>
      </c>
      <c r="O37" s="339" t="s">
        <v>2864</v>
      </c>
      <c r="P37" s="339" t="s">
        <v>2864</v>
      </c>
      <c r="Q37" s="339" t="s">
        <v>2864</v>
      </c>
      <c r="R37" s="339" t="s">
        <v>2864</v>
      </c>
      <c r="S37" s="339" t="s">
        <v>2864</v>
      </c>
      <c r="T37" s="392"/>
      <c r="U37" s="339" t="s">
        <v>2798</v>
      </c>
    </row>
  </sheetData>
  <mergeCells count="73">
    <mergeCell ref="B32:F32"/>
    <mergeCell ref="H32:H33"/>
    <mergeCell ref="I32:N34"/>
    <mergeCell ref="P33:R34"/>
    <mergeCell ref="P26:Q26"/>
    <mergeCell ref="P27:Q27"/>
    <mergeCell ref="B28:F28"/>
    <mergeCell ref="B29:F31"/>
    <mergeCell ref="I29:N30"/>
    <mergeCell ref="P29:R31"/>
    <mergeCell ref="B24:D24"/>
    <mergeCell ref="E24:F24"/>
    <mergeCell ref="B25:F27"/>
    <mergeCell ref="I25:N27"/>
    <mergeCell ref="H26:H27"/>
    <mergeCell ref="B21:D22"/>
    <mergeCell ref="E21:F22"/>
    <mergeCell ref="H22:J23"/>
    <mergeCell ref="L22:N23"/>
    <mergeCell ref="E23:F23"/>
    <mergeCell ref="D15:E15"/>
    <mergeCell ref="B16:C17"/>
    <mergeCell ref="D16:F17"/>
    <mergeCell ref="B18:F19"/>
    <mergeCell ref="B20:F20"/>
    <mergeCell ref="B14:D14"/>
    <mergeCell ref="E14:F14"/>
    <mergeCell ref="I14:J14"/>
    <mergeCell ref="M14:N14"/>
    <mergeCell ref="Q14:R14"/>
    <mergeCell ref="M12:N12"/>
    <mergeCell ref="B13:D13"/>
    <mergeCell ref="E13:F13"/>
    <mergeCell ref="I13:J13"/>
    <mergeCell ref="M13:N13"/>
    <mergeCell ref="B11:D11"/>
    <mergeCell ref="E11:F11"/>
    <mergeCell ref="B12:D12"/>
    <mergeCell ref="E12:F12"/>
    <mergeCell ref="I12:J12"/>
    <mergeCell ref="M8:N8"/>
    <mergeCell ref="B9:F9"/>
    <mergeCell ref="I9:J9"/>
    <mergeCell ref="M9:N9"/>
    <mergeCell ref="B10:F10"/>
    <mergeCell ref="I10:J10"/>
    <mergeCell ref="M10:N10"/>
    <mergeCell ref="L1:L2"/>
    <mergeCell ref="B6:C6"/>
    <mergeCell ref="D6:F6"/>
    <mergeCell ref="I6:J6"/>
    <mergeCell ref="B7:C7"/>
    <mergeCell ref="D7:F7"/>
    <mergeCell ref="H7:H8"/>
    <mergeCell ref="L7:L8"/>
    <mergeCell ref="B8:F8"/>
    <mergeCell ref="I8:J8"/>
    <mergeCell ref="M1:N2"/>
    <mergeCell ref="P1:R1"/>
    <mergeCell ref="I2:J2"/>
    <mergeCell ref="P2:Q2"/>
    <mergeCell ref="B3:C4"/>
    <mergeCell ref="D3:F4"/>
    <mergeCell ref="I3:J3"/>
    <mergeCell ref="L3:L5"/>
    <mergeCell ref="M3:N5"/>
    <mergeCell ref="Q3:R3"/>
    <mergeCell ref="I4:J4"/>
    <mergeCell ref="B5:F5"/>
    <mergeCell ref="I5:J5"/>
    <mergeCell ref="B1:D1"/>
    <mergeCell ref="F1:G1"/>
    <mergeCell ref="I1:J1"/>
  </mergeCells>
  <conditionalFormatting sqref="B18">
    <cfRule type="cellIs" dxfId="67" priority="38" operator="equal">
      <formula>"GARANTIA: INFORMACION INCOMPLETA"</formula>
    </cfRule>
    <cfRule type="cellIs" dxfId="66" priority="40" operator="equal">
      <formula>"GARANTIA: VIABLE"</formula>
    </cfRule>
    <cfRule type="cellIs" dxfId="65" priority="39" operator="equal">
      <formula>"GARANTIA: LIMITADO"</formula>
    </cfRule>
  </conditionalFormatting>
  <conditionalFormatting sqref="B25">
    <cfRule type="cellIs" dxfId="64" priority="70" operator="equal">
      <formula>"PROPIETARIO: VIABLE"</formula>
    </cfRule>
    <cfRule type="cellIs" dxfId="63" priority="71" operator="equal">
      <formula>"PROPIETARIO: INFO INCOMPLETA"</formula>
    </cfRule>
    <cfRule type="cellIs" dxfId="62" priority="69" operator="equal">
      <formula>"PROPIETARIO: LIMITADO"</formula>
    </cfRule>
  </conditionalFormatting>
  <conditionalFormatting sqref="D6">
    <cfRule type="cellIs" dxfId="61" priority="68" operator="notEqual">
      <formula>"Otros"</formula>
    </cfRule>
    <cfRule type="cellIs" dxfId="60" priority="67" operator="equal">
      <formula>"Otros"</formula>
    </cfRule>
    <cfRule type="cellIs" dxfId="59" priority="66" operator="equal">
      <formula>"N/D"</formula>
    </cfRule>
  </conditionalFormatting>
  <conditionalFormatting sqref="H22">
    <cfRule type="cellIs" dxfId="58" priority="54" operator="equal">
      <formula>"ULTIMO AÑO FISCAL: LIMITADO"</formula>
    </cfRule>
    <cfRule type="cellIs" dxfId="57" priority="55" operator="equal">
      <formula>"ULTIMO AÑO FISCAL: VIABLE"</formula>
    </cfRule>
  </conditionalFormatting>
  <conditionalFormatting sqref="H34">
    <cfRule type="cellIs" dxfId="56" priority="61" operator="equal">
      <formula>"No"</formula>
    </cfRule>
    <cfRule type="cellIs" dxfId="55" priority="63" operator="equal">
      <formula>"N/D"</formula>
    </cfRule>
    <cfRule type="cellIs" dxfId="54" priority="62" operator="equal">
      <formula>"Si"</formula>
    </cfRule>
  </conditionalFormatting>
  <conditionalFormatting sqref="I25">
    <cfRule type="cellIs" dxfId="53" priority="49" operator="equal">
      <formula>"EVOLUCION RECIENTE DE VENTAS: LIMITADO"</formula>
    </cfRule>
    <cfRule type="cellIs" dxfId="52" priority="50" operator="equal">
      <formula>"EVOLUCION RECIENTE DE VENTAS: VIABLE"</formula>
    </cfRule>
  </conditionalFormatting>
  <conditionalFormatting sqref="I29 J31:N31">
    <cfRule type="cellIs" dxfId="51" priority="53" operator="equal">
      <formula>"INFORMACION HISTORICA NO DISPONIBLE"</formula>
    </cfRule>
  </conditionalFormatting>
  <conditionalFormatting sqref="I29">
    <cfRule type="cellIs" dxfId="50" priority="51" operator="equal">
      <formula>"EVOLUCIÓN HISTÓRICA DE VENTAS: LIMITADO"</formula>
    </cfRule>
    <cfRule type="cellIs" dxfId="49" priority="52" operator="equal">
      <formula>"EVOLUCIÓN HISTÓRICA DE VENTAS: VIABLE"</formula>
    </cfRule>
  </conditionalFormatting>
  <conditionalFormatting sqref="I12:J12">
    <cfRule type="containsText" dxfId="48" priority="9" operator="containsText" text="Quiebra Técnica">
      <formula>NOT(ISERROR(SEARCH("Quiebra Técnica",I12)))</formula>
    </cfRule>
  </conditionalFormatting>
  <conditionalFormatting sqref="I13:J13">
    <cfRule type="cellIs" dxfId="47" priority="10" operator="lessThan">
      <formula>0</formula>
    </cfRule>
  </conditionalFormatting>
  <conditionalFormatting sqref="I25:N27">
    <cfRule type="cellIs" dxfId="46" priority="59" operator="equal">
      <formula>"INFORMACION RECIENTE DE VENTAS NO DISPONIBLE"</formula>
    </cfRule>
  </conditionalFormatting>
  <conditionalFormatting sqref="J17">
    <cfRule type="cellIs" dxfId="45" priority="8" operator="between">
      <formula>0</formula>
      <formula>3.99999999999999</formula>
    </cfRule>
    <cfRule type="cellIs" dxfId="44" priority="7" operator="lessThan">
      <formula>0</formula>
    </cfRule>
    <cfRule type="cellIs" dxfId="43" priority="6" operator="greaterThanOrEqual">
      <formula>4</formula>
    </cfRule>
  </conditionalFormatting>
  <conditionalFormatting sqref="J18">
    <cfRule type="cellIs" dxfId="42" priority="17" operator="lessThan">
      <formula>0.7</formula>
    </cfRule>
    <cfRule type="cellIs" dxfId="41" priority="18" operator="greaterThanOrEqual">
      <formula>0.7</formula>
    </cfRule>
  </conditionalFormatting>
  <conditionalFormatting sqref="J19">
    <cfRule type="cellIs" dxfId="40" priority="11" operator="lessThan">
      <formula>0</formula>
    </cfRule>
    <cfRule type="cellIs" dxfId="39" priority="12" operator="greaterThan">
      <formula>1</formula>
    </cfRule>
  </conditionalFormatting>
  <conditionalFormatting sqref="J20">
    <cfRule type="cellIs" dxfId="38" priority="5" operator="greaterThanOrEqual">
      <formula>1.2</formula>
    </cfRule>
    <cfRule type="cellIs" dxfId="37" priority="4" operator="lessThan">
      <formula>1.2</formula>
    </cfRule>
  </conditionalFormatting>
  <conditionalFormatting sqref="K17:K24 O17:O24 J21 N21 O26">
    <cfRule type="containsText" dxfId="36" priority="2" operator="containsText" text="NO">
      <formula>NOT(ISERROR(SEARCH("NO",J17)))</formula>
    </cfRule>
    <cfRule type="containsText" dxfId="35" priority="3" operator="containsText" text="SI">
      <formula>NOT(ISERROR(SEARCH("SI",J17)))</formula>
    </cfRule>
  </conditionalFormatting>
  <conditionalFormatting sqref="L22 H22:J23">
    <cfRule type="cellIs" dxfId="34" priority="64" operator="equal">
      <formula>"INFORMACION NO DISPONIBLE"</formula>
    </cfRule>
  </conditionalFormatting>
  <conditionalFormatting sqref="L22">
    <cfRule type="cellIs" dxfId="33" priority="56" operator="equal">
      <formula>"ULTIMO AÑO FISCAL: LIMITADO"</formula>
    </cfRule>
    <cfRule type="cellIs" dxfId="32" priority="57" operator="equal">
      <formula>"ULTIMO AÑO FISCAL: VIABLE"</formula>
    </cfRule>
  </conditionalFormatting>
  <conditionalFormatting sqref="M1">
    <cfRule type="cellIs" dxfId="31" priority="35" operator="equal">
      <formula>"VIABLE"</formula>
    </cfRule>
    <cfRule type="cellIs" dxfId="30" priority="34" operator="equal">
      <formula>"LIMITADO"</formula>
    </cfRule>
  </conditionalFormatting>
  <conditionalFormatting sqref="M1:N2">
    <cfRule type="cellIs" dxfId="29" priority="58" operator="equal">
      <formula>"INFO NO DISPONIBLE"</formula>
    </cfRule>
  </conditionalFormatting>
  <conditionalFormatting sqref="M12:N12">
    <cfRule type="containsText" dxfId="28" priority="21" operator="containsText" text="Quiebra Técnica">
      <formula>NOT(ISERROR(SEARCH("Quiebra Técnica",M12)))</formula>
    </cfRule>
  </conditionalFormatting>
  <conditionalFormatting sqref="M12:N13">
    <cfRule type="cellIs" dxfId="27" priority="20" operator="lessThan">
      <formula>0</formula>
    </cfRule>
  </conditionalFormatting>
  <conditionalFormatting sqref="M13:N13">
    <cfRule type="containsText" dxfId="26" priority="19" operator="containsText" text="Sin Liquidez">
      <formula>NOT(ISERROR(SEARCH("Sin Liquidez",M13)))</formula>
    </cfRule>
  </conditionalFormatting>
  <conditionalFormatting sqref="N17">
    <cfRule type="cellIs" dxfId="25" priority="26" operator="greaterThan">
      <formula>4</formula>
    </cfRule>
    <cfRule type="cellIs" dxfId="24" priority="25" operator="lessThan">
      <formula>0</formula>
    </cfRule>
    <cfRule type="cellIs" dxfId="23" priority="27" operator="lessThan">
      <formula>4</formula>
    </cfRule>
  </conditionalFormatting>
  <conditionalFormatting sqref="N18">
    <cfRule type="cellIs" dxfId="22" priority="31" operator="greaterThan">
      <formula>"69.50%"</formula>
    </cfRule>
    <cfRule type="cellIs" dxfId="21" priority="30" operator="lessThan">
      <formula>"69.50%"</formula>
    </cfRule>
  </conditionalFormatting>
  <conditionalFormatting sqref="N19">
    <cfRule type="cellIs" dxfId="20" priority="29" operator="greaterThan">
      <formula>1</formula>
    </cfRule>
    <cfRule type="cellIs" dxfId="19" priority="28" operator="lessThan">
      <formula>0</formula>
    </cfRule>
  </conditionalFormatting>
  <conditionalFormatting sqref="N20">
    <cfRule type="cellIs" dxfId="18" priority="24" operator="greaterThan">
      <formula>1.19</formula>
    </cfRule>
    <cfRule type="cellIs" dxfId="17" priority="23" operator="lessThan">
      <formula>1.19</formula>
    </cfRule>
  </conditionalFormatting>
  <conditionalFormatting sqref="P28:P29">
    <cfRule type="cellIs" dxfId="16" priority="14" operator="equal">
      <formula>"COBERTURA BANCARIA: VIABLE"</formula>
    </cfRule>
    <cfRule type="cellIs" dxfId="15" priority="13" operator="equal">
      <formula>"COBERTURA BANCARIA: LIMITADO"</formula>
    </cfRule>
  </conditionalFormatting>
  <conditionalFormatting sqref="P33">
    <cfRule type="cellIs" dxfId="14" priority="43" operator="equal">
      <formula>"INGRESOS VS. BANCO: LIMITADO"</formula>
    </cfRule>
    <cfRule type="cellIs" dxfId="13" priority="44" operator="equal">
      <formula>"INGRESOS VS. BANCO: VIABLE"</formula>
    </cfRule>
  </conditionalFormatting>
  <conditionalFormatting sqref="P29:R31">
    <cfRule type="cellIs" dxfId="12" priority="60" operator="equal">
      <formula>"INFO NO DISPONIBLE"</formula>
    </cfRule>
  </conditionalFormatting>
  <conditionalFormatting sqref="P33:R34">
    <cfRule type="cellIs" dxfId="11" priority="65" operator="equal">
      <formula>"INFO NO DISPONIBLE"</formula>
    </cfRule>
  </conditionalFormatting>
  <conditionalFormatting sqref="R26">
    <cfRule type="cellIs" dxfId="10" priority="16" operator="greaterThan">
      <formula>1.2</formula>
    </cfRule>
    <cfRule type="cellIs" dxfId="9" priority="15" operator="lessThan">
      <formula>1.19</formula>
    </cfRule>
  </conditionalFormatting>
  <conditionalFormatting sqref="R27">
    <cfRule type="cellIs" dxfId="8" priority="45" operator="equal">
      <formula>"N/D"</formula>
    </cfRule>
    <cfRule type="cellIs" dxfId="7" priority="46" operator="between">
      <formula>0</formula>
      <formula>1.9999999999</formula>
    </cfRule>
    <cfRule type="cellIs" dxfId="6" priority="47" operator="lessThan">
      <formula>0</formula>
    </cfRule>
    <cfRule type="cellIs" dxfId="5" priority="48" operator="greaterThanOrEqual">
      <formula>2</formula>
    </cfRule>
  </conditionalFormatting>
  <printOptions horizontalCentered="1" verticalCentered="1"/>
  <pageMargins left="0" right="0.70972222222222203" top="0" bottom="0" header="0.51180555555555496" footer="0.51180555555555496"/>
  <pageSetup firstPageNumber="0" orientation="landscape"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1300-000000000000}">
          <x14:formula1>
            <xm:f>Input!$B$11:$B$13</xm:f>
          </x14:formula1>
          <x14:formula2>
            <xm:f>0</xm:f>
          </x14:formula2>
          <xm:sqref>M3 E12:F12 E21 E23:F23 H34</xm:sqref>
        </x14:dataValidation>
        <x14:dataValidation type="list" allowBlank="1" showInputMessage="1" showErrorMessage="1" xr:uid="{00000000-0002-0000-1300-000001000000}">
          <x14:formula1>
            <xm:f>Input!$B$3:$B$4</xm:f>
          </x14:formula1>
          <x14:formula2>
            <xm:f>0</xm:f>
          </x14:formula2>
          <xm:sqref>I3</xm:sqref>
        </x14:dataValidation>
        <x14:dataValidation type="list" allowBlank="1" showInputMessage="1" showErrorMessage="1" xr:uid="{00000000-0002-0000-1300-000002000000}">
          <x14:formula1>
            <xm:f>Input!$B$16:$B$21</xm:f>
          </x14:formula1>
          <x14:formula2>
            <xm:f>0</xm:f>
          </x14:formula2>
          <xm:sqref>E11:F11</xm:sqref>
        </x14:dataValidation>
        <x14:dataValidation type="list" allowBlank="1" showInputMessage="1" showErrorMessage="1" xr:uid="{00000000-0002-0000-1300-000003000000}">
          <x14:formula1>
            <xm:f>Input!$B$62:$B$73</xm:f>
          </x14:formula1>
          <x14:formula2>
            <xm:f>0</xm:f>
          </x14:formula2>
          <xm:sqref>D6</xm:sqref>
        </x14:dataValidation>
        <x14:dataValidation type="list" allowBlank="1" showInputMessage="1" showErrorMessage="1" xr:uid="{00000000-0002-0000-1300-000004000000}">
          <x14:formula1>
            <xm:f>Input!$B$77:$B$81</xm:f>
          </x14:formula1>
          <x14:formula2>
            <xm:f>0</xm:f>
          </x14:formula2>
          <xm:sqref>E13:F13</xm:sqref>
        </x14:dataValidation>
        <x14:dataValidation type="list" allowBlank="1" showInputMessage="1" showErrorMessage="1" xr:uid="{00000000-0002-0000-1300-000005000000}">
          <x14:formula1>
            <xm:f>Input!$B$85:$B$88</xm:f>
          </x14:formula1>
          <x14:formula2>
            <xm:f>0</xm:f>
          </x14:formula2>
          <xm:sqref>E24:F24</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ED7D31"/>
    <pageSetUpPr fitToPage="1"/>
  </sheetPr>
  <dimension ref="B2:AMK35"/>
  <sheetViews>
    <sheetView topLeftCell="A2" zoomScaleNormal="100" workbookViewId="0">
      <selection activeCell="S7" sqref="S7"/>
    </sheetView>
  </sheetViews>
  <sheetFormatPr baseColWidth="10" defaultColWidth="14.33203125" defaultRowHeight="13.2" zeroHeight="1" x14ac:dyDescent="0.25"/>
  <cols>
    <col min="1" max="1" width="3" customWidth="1"/>
    <col min="2" max="2" width="2.109375" customWidth="1"/>
    <col min="3" max="3" width="7.88671875" customWidth="1"/>
    <col min="4" max="4" width="39.5546875" customWidth="1"/>
    <col min="5" max="5" width="12.6640625" bestFit="1" customWidth="1"/>
    <col min="6" max="6" width="1.88671875" customWidth="1"/>
    <col min="7" max="7" width="8" customWidth="1"/>
    <col min="8" max="8" width="2" customWidth="1"/>
    <col min="9" max="9" width="15.33203125" customWidth="1"/>
    <col min="10" max="10" width="1.44140625" style="405" customWidth="1"/>
    <col min="11" max="11" width="2.5546875" customWidth="1"/>
    <col min="12" max="12" width="4.88671875" customWidth="1"/>
    <col min="13" max="13" width="40.109375" customWidth="1"/>
    <col min="14" max="14" width="4.6640625" customWidth="1"/>
    <col min="15" max="15" width="11.6640625" customWidth="1"/>
    <col min="16" max="16" width="1.88671875" customWidth="1"/>
    <col min="17" max="17" width="8.5546875" customWidth="1"/>
    <col min="18" max="18" width="4.88671875" customWidth="1"/>
    <col min="20" max="20" width="1.109375" customWidth="1"/>
    <col min="21" max="21" width="13" customWidth="1"/>
    <col min="22" max="22" width="5.109375" bestFit="1" customWidth="1"/>
    <col min="23" max="24" width="11.6640625" hidden="1" customWidth="1"/>
    <col min="25" max="1025" width="14.33203125" hidden="1"/>
  </cols>
  <sheetData>
    <row r="2" spans="2:22" ht="18" customHeight="1" x14ac:dyDescent="0.25">
      <c r="B2" s="642" t="s">
        <v>5</v>
      </c>
      <c r="C2" s="642"/>
      <c r="D2" s="642"/>
      <c r="E2" s="642"/>
      <c r="F2" s="642"/>
      <c r="G2" s="642"/>
      <c r="H2" s="642"/>
      <c r="I2" s="642"/>
      <c r="J2" s="642"/>
      <c r="K2" s="406"/>
      <c r="L2" s="642" t="s">
        <v>38</v>
      </c>
      <c r="M2" s="642"/>
      <c r="N2" s="642"/>
      <c r="O2" s="642"/>
      <c r="P2" s="642"/>
      <c r="Q2" s="642"/>
      <c r="R2" s="642"/>
      <c r="S2" s="642"/>
      <c r="T2" s="642"/>
      <c r="U2" s="642"/>
    </row>
    <row r="3" spans="2:22" ht="32.25" customHeight="1" thickBot="1" x14ac:dyDescent="0.3">
      <c r="B3" s="80"/>
      <c r="C3" s="80"/>
      <c r="D3" s="80"/>
      <c r="E3" s="407" t="s">
        <v>2865</v>
      </c>
      <c r="F3" s="80"/>
      <c r="G3" s="80"/>
      <c r="H3" s="83"/>
      <c r="I3" s="408" t="s">
        <v>2866</v>
      </c>
      <c r="J3" s="312"/>
      <c r="K3" s="406"/>
      <c r="L3" s="80"/>
      <c r="M3" s="80"/>
      <c r="N3" s="80"/>
      <c r="O3" s="407" t="s">
        <v>2865</v>
      </c>
      <c r="P3" s="80"/>
      <c r="Q3" s="80"/>
      <c r="R3" s="83"/>
      <c r="S3" s="408" t="s">
        <v>2866</v>
      </c>
      <c r="U3" s="334">
        <f>VLOOKUP($S$4,Input!$B$24:$C$35,2,0)</f>
        <v>2</v>
      </c>
    </row>
    <row r="4" spans="2:22" ht="27.75" customHeight="1" thickBot="1" x14ac:dyDescent="0.4">
      <c r="B4" s="409"/>
      <c r="C4" s="410"/>
      <c r="D4" s="411" t="s">
        <v>2867</v>
      </c>
      <c r="E4" s="412">
        <v>2025</v>
      </c>
      <c r="F4" s="413"/>
      <c r="G4" s="414" t="s">
        <v>1</v>
      </c>
      <c r="H4" s="415"/>
      <c r="I4" s="416" t="s">
        <v>2957</v>
      </c>
      <c r="J4" s="417"/>
      <c r="K4" s="418"/>
      <c r="L4" s="419"/>
      <c r="M4" s="415"/>
      <c r="N4" s="411" t="s">
        <v>2867</v>
      </c>
      <c r="O4" s="420">
        <f>E4</f>
        <v>2025</v>
      </c>
      <c r="P4" s="421"/>
      <c r="Q4" s="414" t="s">
        <v>1</v>
      </c>
      <c r="R4" s="422"/>
      <c r="S4" s="416" t="str">
        <f>I4</f>
        <v>Febrero 2026</v>
      </c>
      <c r="T4" s="417"/>
      <c r="U4" s="423" t="s">
        <v>2868</v>
      </c>
      <c r="V4">
        <f>IF(S4=Input!B24,Input!C24,IF(S4=Input!B25,Input!C25,IF(S4=Input!B26,3,IF(S4=Input!B27,Input!C27,IF(S4=Input!B28,Input!C28,IF(S4=Input!B29,Input!C29,IF(S4=Input!B30,Input!C30,IF(S4=Input!B31,Input!C31,IF(S4=Input!B32,Input!C32,IF(S4=Input!B33,Input!C33,IF(S4=Input!B34,Input!C34,IF(S4=Input!B35,Input!C35))))))))))))</f>
        <v>2</v>
      </c>
    </row>
    <row r="5" spans="2:22" ht="12.75" customHeight="1" x14ac:dyDescent="0.3">
      <c r="B5" s="424"/>
      <c r="C5" s="425"/>
      <c r="D5" s="426"/>
      <c r="E5" s="426"/>
      <c r="F5" s="426"/>
      <c r="G5" s="426"/>
      <c r="H5" s="427"/>
      <c r="I5" s="502"/>
      <c r="J5" s="429"/>
      <c r="K5" s="428"/>
      <c r="L5" s="430"/>
      <c r="M5" s="431"/>
      <c r="N5" s="431"/>
      <c r="O5" s="643" t="s">
        <v>2869</v>
      </c>
      <c r="P5" s="643"/>
      <c r="Q5" s="643"/>
      <c r="R5" s="432"/>
      <c r="S5" s="428"/>
      <c r="T5" s="429"/>
      <c r="U5" s="428"/>
    </row>
    <row r="6" spans="2:22" ht="15.6" x14ac:dyDescent="0.3">
      <c r="B6" s="433"/>
      <c r="C6" s="434" t="s">
        <v>2870</v>
      </c>
      <c r="D6" s="428"/>
      <c r="E6" s="644" t="s">
        <v>2869</v>
      </c>
      <c r="F6" s="644"/>
      <c r="G6" s="644"/>
      <c r="H6" s="435"/>
      <c r="I6" s="428"/>
      <c r="J6" s="429"/>
      <c r="K6" s="428"/>
      <c r="L6" s="436"/>
      <c r="M6" s="437" t="s">
        <v>2871</v>
      </c>
      <c r="N6" s="437"/>
      <c r="O6" s="438">
        <f>Input!K12/1000</f>
        <v>0</v>
      </c>
      <c r="P6" s="437"/>
      <c r="Q6" s="439" t="str">
        <f>IF(O$6=0,"",O6/O$6)</f>
        <v/>
      </c>
      <c r="R6" s="440"/>
      <c r="S6" s="441">
        <f>Input!L12/1000</f>
        <v>0</v>
      </c>
      <c r="T6" s="442"/>
      <c r="U6" s="443">
        <f>+(S6/$V$4)*12</f>
        <v>0</v>
      </c>
    </row>
    <row r="7" spans="2:22" ht="15.6" x14ac:dyDescent="0.3">
      <c r="B7" s="433"/>
      <c r="C7" s="434"/>
      <c r="D7" s="437" t="s">
        <v>2872</v>
      </c>
      <c r="E7" s="441">
        <f>Input!K3/1000</f>
        <v>0</v>
      </c>
      <c r="F7" s="437"/>
      <c r="G7" s="439" t="str">
        <f>IF(E$13=0,"",E7/E$13)</f>
        <v/>
      </c>
      <c r="H7" s="435"/>
      <c r="I7" s="441">
        <f>Input!L3/1000</f>
        <v>0</v>
      </c>
      <c r="J7" s="442"/>
      <c r="K7" s="428"/>
      <c r="L7" s="436"/>
      <c r="M7" s="437"/>
      <c r="N7" s="437"/>
      <c r="O7" s="444"/>
      <c r="P7" s="437"/>
      <c r="Q7" s="445"/>
      <c r="R7" s="440"/>
      <c r="S7" s="446"/>
      <c r="T7" s="447"/>
      <c r="U7" s="442"/>
    </row>
    <row r="8" spans="2:22" ht="15" customHeight="1" x14ac:dyDescent="0.3">
      <c r="B8" s="433"/>
      <c r="C8" s="434"/>
      <c r="D8" s="448"/>
      <c r="E8" s="446"/>
      <c r="F8" s="437"/>
      <c r="G8" s="449"/>
      <c r="H8" s="435"/>
      <c r="I8" s="442"/>
      <c r="J8" s="447"/>
      <c r="K8" s="428"/>
      <c r="L8" s="436"/>
      <c r="M8" s="645" t="s">
        <v>2873</v>
      </c>
      <c r="N8" s="437"/>
      <c r="O8" s="438">
        <f>Input!K13/1000</f>
        <v>0</v>
      </c>
      <c r="P8" s="437"/>
      <c r="Q8" s="450" t="str">
        <f>IF(O$6=0,"",O8/O$6)</f>
        <v/>
      </c>
      <c r="R8" s="440"/>
      <c r="S8" s="441">
        <f>Input!L13/1000</f>
        <v>0</v>
      </c>
      <c r="T8" s="442"/>
      <c r="U8" s="443">
        <f>+(S8/$V$4)*12</f>
        <v>0</v>
      </c>
    </row>
    <row r="9" spans="2:22" ht="15.6" x14ac:dyDescent="0.3">
      <c r="B9" s="433"/>
      <c r="C9" s="434"/>
      <c r="D9" s="448" t="s">
        <v>2874</v>
      </c>
      <c r="E9" s="441">
        <f>Input!K4/1000</f>
        <v>0</v>
      </c>
      <c r="F9" s="437"/>
      <c r="G9" s="439" t="str">
        <f>IF(E$13=0,"",E9/E$13)</f>
        <v/>
      </c>
      <c r="H9" s="435"/>
      <c r="I9" s="441">
        <f>Input!L4/1000</f>
        <v>0</v>
      </c>
      <c r="J9" s="442"/>
      <c r="K9" s="428"/>
      <c r="L9" s="436"/>
      <c r="M9" s="645"/>
      <c r="N9" s="437"/>
      <c r="O9" s="449"/>
      <c r="P9" s="437"/>
      <c r="Q9" s="449"/>
      <c r="R9" s="440"/>
      <c r="S9" s="444"/>
      <c r="T9" s="442"/>
      <c r="U9" s="442"/>
    </row>
    <row r="10" spans="2:22" ht="15.6" x14ac:dyDescent="0.3">
      <c r="B10" s="433"/>
      <c r="C10" s="434"/>
      <c r="D10" s="448"/>
      <c r="E10" s="444"/>
      <c r="F10" s="437"/>
      <c r="G10" s="449"/>
      <c r="H10" s="435"/>
      <c r="I10" s="442"/>
      <c r="J10" s="442"/>
      <c r="K10" s="428"/>
      <c r="L10" s="436"/>
      <c r="R10" s="440"/>
    </row>
    <row r="11" spans="2:22" ht="15" customHeight="1" x14ac:dyDescent="0.3">
      <c r="B11" s="433"/>
      <c r="C11" s="434"/>
      <c r="D11" s="448" t="s">
        <v>2875</v>
      </c>
      <c r="E11" s="441">
        <f>Input!K5/1000</f>
        <v>0</v>
      </c>
      <c r="F11" s="437"/>
      <c r="G11" s="439" t="str">
        <f>IF(E$13=0,"",E11/E$13)</f>
        <v/>
      </c>
      <c r="H11" s="435"/>
      <c r="I11" s="441">
        <f>Input!L5/1000</f>
        <v>0</v>
      </c>
      <c r="J11" s="442"/>
      <c r="K11" s="428"/>
      <c r="L11" s="436"/>
      <c r="M11" s="646" t="s">
        <v>2876</v>
      </c>
      <c r="N11" s="437"/>
      <c r="O11" s="438">
        <f>Input!K14/1000</f>
        <v>0</v>
      </c>
      <c r="P11" s="437"/>
      <c r="Q11" s="451"/>
      <c r="R11" s="440"/>
      <c r="S11" s="441">
        <f>Input!L14/1000</f>
        <v>0</v>
      </c>
      <c r="T11" s="442"/>
      <c r="U11" s="443">
        <f>+(S11/$V$4)*12</f>
        <v>0</v>
      </c>
    </row>
    <row r="12" spans="2:22" ht="15" customHeight="1" x14ac:dyDescent="0.3">
      <c r="B12" s="433"/>
      <c r="C12" s="434"/>
      <c r="D12" s="448"/>
      <c r="E12" s="444"/>
      <c r="F12" s="437"/>
      <c r="G12" s="449"/>
      <c r="H12" s="435"/>
      <c r="I12" s="442"/>
      <c r="J12" s="442"/>
      <c r="K12" s="428"/>
      <c r="L12" s="452"/>
      <c r="M12" s="646"/>
      <c r="N12" s="437"/>
      <c r="O12" s="437"/>
      <c r="P12" s="437"/>
      <c r="Q12" s="437"/>
      <c r="R12" s="440"/>
      <c r="S12" s="442"/>
      <c r="T12" s="442"/>
      <c r="U12" s="442"/>
    </row>
    <row r="13" spans="2:22" ht="17.25" customHeight="1" x14ac:dyDescent="0.3">
      <c r="B13" s="433"/>
      <c r="C13" s="453"/>
      <c r="D13" s="454" t="s">
        <v>2877</v>
      </c>
      <c r="E13" s="455">
        <f>+E11+E9+E7</f>
        <v>0</v>
      </c>
      <c r="F13" s="437"/>
      <c r="G13" s="439" t="str">
        <f>IF(E$31=0,"",E13/E$31)</f>
        <v/>
      </c>
      <c r="H13" s="435"/>
      <c r="I13" s="455">
        <f>+I11+I9+I7</f>
        <v>0</v>
      </c>
      <c r="J13" s="456"/>
      <c r="K13" s="428"/>
      <c r="L13" s="452"/>
      <c r="M13" s="646" t="s">
        <v>2878</v>
      </c>
      <c r="O13" s="441"/>
      <c r="R13" s="457"/>
    </row>
    <row r="14" spans="2:22" ht="3" customHeight="1" x14ac:dyDescent="0.3">
      <c r="B14" s="433"/>
      <c r="C14" s="453"/>
      <c r="D14" s="458"/>
      <c r="E14" s="459"/>
      <c r="F14" s="437"/>
      <c r="G14" s="449"/>
      <c r="H14" s="435"/>
      <c r="I14" s="459"/>
      <c r="J14" s="459"/>
      <c r="K14" s="428"/>
      <c r="L14" s="452"/>
      <c r="M14" s="646"/>
      <c r="R14" s="457"/>
    </row>
    <row r="15" spans="2:22" ht="16.5" customHeight="1" x14ac:dyDescent="0.3">
      <c r="B15" s="433"/>
      <c r="C15" s="434"/>
      <c r="D15" s="448"/>
      <c r="E15" s="504"/>
      <c r="F15" s="437"/>
      <c r="G15" s="449"/>
      <c r="H15" s="435"/>
      <c r="I15" s="460" t="str">
        <f>IF(OR(E13=I13,E23=I23),"Error: ultimo parcial no puede ser igual al año completo","")</f>
        <v>Error: ultimo parcial no puede ser igual al año completo</v>
      </c>
      <c r="J15" s="461"/>
      <c r="K15" s="428"/>
      <c r="L15" s="462"/>
      <c r="M15" s="646"/>
      <c r="R15" s="457"/>
      <c r="T15" s="463"/>
      <c r="U15" s="463"/>
    </row>
    <row r="16" spans="2:22" ht="18" x14ac:dyDescent="0.3">
      <c r="B16" s="433"/>
      <c r="C16" s="434" t="s">
        <v>2879</v>
      </c>
      <c r="D16" s="448"/>
      <c r="E16" s="444"/>
      <c r="F16" s="437"/>
      <c r="G16" s="449"/>
      <c r="H16" s="435"/>
      <c r="I16" s="428"/>
      <c r="J16" s="429"/>
      <c r="K16" s="428"/>
      <c r="L16" s="462"/>
      <c r="R16" s="457"/>
      <c r="S16" s="464"/>
    </row>
    <row r="17" spans="3:21" ht="18" x14ac:dyDescent="0.3">
      <c r="C17" s="434"/>
      <c r="D17" s="448" t="s">
        <v>2880</v>
      </c>
      <c r="E17" s="441">
        <f>Input!K6/1000</f>
        <v>0</v>
      </c>
      <c r="F17" s="437"/>
      <c r="G17" s="439" t="str">
        <f>IF(E$31=0,"",E17/E$31)</f>
        <v/>
      </c>
      <c r="H17" s="435"/>
      <c r="I17" s="441">
        <f>Input!L6/1000</f>
        <v>0</v>
      </c>
      <c r="J17" s="442"/>
      <c r="K17" s="428"/>
      <c r="L17" s="465"/>
      <c r="M17" s="465"/>
      <c r="N17" s="465"/>
      <c r="O17" s="466" t="str">
        <f>IF(OR(ISBLANK(O6),ISBLANK(O8),ISBLANK(depreciacion_PL_full_year)),"N/D","")</f>
        <v/>
      </c>
      <c r="P17" s="465"/>
      <c r="Q17" s="465"/>
      <c r="R17" s="465"/>
      <c r="S17" s="466" t="str">
        <f>IF(OR(ISBLANK(S6),ISBLANK(S8),ISBLANK(depreciacion_PL_last_partial)),"N/D","")</f>
        <v/>
      </c>
    </row>
    <row r="18" spans="3:21" ht="18" x14ac:dyDescent="0.3">
      <c r="C18" s="434"/>
      <c r="D18" s="448"/>
      <c r="E18" s="444"/>
      <c r="F18" s="437"/>
      <c r="G18" s="449"/>
      <c r="H18" s="435"/>
      <c r="I18" s="428"/>
      <c r="J18" s="429"/>
      <c r="K18" s="428"/>
      <c r="S18" s="463"/>
    </row>
    <row r="19" spans="3:21" ht="12.75" customHeight="1" x14ac:dyDescent="0.3">
      <c r="C19" s="434"/>
      <c r="D19" s="448" t="s">
        <v>2881</v>
      </c>
      <c r="E19" s="441">
        <f>Input!K7/1000</f>
        <v>0</v>
      </c>
      <c r="F19" s="437"/>
      <c r="G19" s="439" t="str">
        <f>IF(E$31=0,"",E19/E$31)</f>
        <v/>
      </c>
      <c r="H19" s="435"/>
      <c r="I19" s="441">
        <f>Input!L7/1000</f>
        <v>0</v>
      </c>
      <c r="J19" s="442"/>
      <c r="K19" s="428"/>
    </row>
    <row r="20" spans="3:21" ht="15.6" x14ac:dyDescent="0.3">
      <c r="C20" s="434"/>
      <c r="D20" s="448"/>
      <c r="E20" s="444"/>
      <c r="F20" s="437"/>
      <c r="G20" s="449"/>
      <c r="H20" s="435"/>
      <c r="I20" s="428"/>
      <c r="J20" s="429"/>
      <c r="K20" s="428"/>
    </row>
    <row r="21" spans="3:21" ht="15.6" x14ac:dyDescent="0.3">
      <c r="C21" s="434"/>
      <c r="D21" s="448" t="s">
        <v>2882</v>
      </c>
      <c r="E21" s="441">
        <f>Input!K8/1000</f>
        <v>0</v>
      </c>
      <c r="F21" s="437"/>
      <c r="G21" s="439" t="str">
        <f>IF(E$31=0,"",E21/E$31)</f>
        <v/>
      </c>
      <c r="H21" s="435"/>
      <c r="I21" s="441">
        <f>Input!L8/1000</f>
        <v>0</v>
      </c>
      <c r="J21" s="442"/>
      <c r="K21" s="428"/>
    </row>
    <row r="22" spans="3:21" ht="18" x14ac:dyDescent="0.3">
      <c r="C22" s="434"/>
      <c r="D22" s="448"/>
      <c r="E22" s="444"/>
      <c r="F22" s="437"/>
      <c r="G22" s="449"/>
      <c r="H22" s="435"/>
      <c r="I22" s="428"/>
      <c r="J22" s="429"/>
      <c r="K22" s="428"/>
      <c r="L22" s="647" t="s">
        <v>255</v>
      </c>
      <c r="M22" s="647"/>
      <c r="N22" s="647"/>
      <c r="O22" s="647"/>
      <c r="P22" s="647"/>
      <c r="Q22" s="647"/>
      <c r="R22" s="647"/>
      <c r="S22" s="647"/>
      <c r="T22" s="647"/>
      <c r="U22" s="647"/>
    </row>
    <row r="23" spans="3:21" ht="15.6" x14ac:dyDescent="0.3">
      <c r="C23" s="453"/>
      <c r="D23" s="467" t="s">
        <v>135</v>
      </c>
      <c r="E23" s="455">
        <f>SUM(E17,E19,E21)</f>
        <v>0</v>
      </c>
      <c r="F23" s="437"/>
      <c r="G23" s="439" t="str">
        <f>IF(E$31=0,"",E23/E$31)</f>
        <v/>
      </c>
      <c r="H23" s="435"/>
      <c r="I23" s="455">
        <f>SUM(I17,I19,I21)</f>
        <v>0</v>
      </c>
      <c r="J23" s="456"/>
      <c r="K23" s="428"/>
      <c r="L23" s="430"/>
      <c r="M23" s="431"/>
      <c r="N23" s="431"/>
      <c r="O23" s="648"/>
      <c r="P23" s="648"/>
      <c r="Q23" s="648"/>
      <c r="R23" s="431"/>
      <c r="S23" s="468"/>
      <c r="T23" s="468"/>
      <c r="U23" s="469"/>
    </row>
    <row r="24" spans="3:21" ht="15.6" x14ac:dyDescent="0.3">
      <c r="C24" s="434"/>
      <c r="D24" s="448"/>
      <c r="E24" s="444"/>
      <c r="F24" s="437"/>
      <c r="G24" s="449"/>
      <c r="H24" s="435"/>
      <c r="I24" s="428"/>
      <c r="J24" s="429"/>
      <c r="K24" s="428"/>
      <c r="L24" s="436"/>
      <c r="Q24" s="470" t="s">
        <v>2883</v>
      </c>
      <c r="R24" s="437"/>
      <c r="S24" s="448"/>
      <c r="T24" s="444"/>
      <c r="U24" s="457"/>
    </row>
    <row r="25" spans="3:21" ht="15.6" x14ac:dyDescent="0.3">
      <c r="C25" s="434"/>
      <c r="D25" s="437" t="s">
        <v>2884</v>
      </c>
      <c r="E25" s="441">
        <f>Input!K9/1000</f>
        <v>0</v>
      </c>
      <c r="G25" s="449"/>
      <c r="H25" s="435"/>
      <c r="I25" s="441">
        <f>Input!L9/1000</f>
        <v>0</v>
      </c>
      <c r="J25" s="429"/>
      <c r="K25" s="428"/>
      <c r="L25" s="436"/>
      <c r="R25" s="437"/>
      <c r="U25" s="457"/>
    </row>
    <row r="26" spans="3:21" ht="15.6" x14ac:dyDescent="0.3">
      <c r="C26" s="434"/>
      <c r="D26" s="437"/>
      <c r="E26" s="444"/>
      <c r="G26" s="449"/>
      <c r="H26" s="435"/>
      <c r="I26" s="428"/>
      <c r="J26" s="429"/>
      <c r="K26" s="428"/>
      <c r="L26" s="436"/>
      <c r="M26" s="448" t="s">
        <v>2885</v>
      </c>
      <c r="O26" s="438" t="s">
        <v>2806</v>
      </c>
      <c r="Q26" s="471">
        <f>IF($O$26="60 o mas",-0.5,0)</f>
        <v>0</v>
      </c>
      <c r="U26" s="457"/>
    </row>
    <row r="27" spans="3:21" ht="17.399999999999999" x14ac:dyDescent="0.4">
      <c r="C27" s="434"/>
      <c r="D27" s="448"/>
      <c r="E27" s="444"/>
      <c r="F27" s="437"/>
      <c r="G27" s="449"/>
      <c r="H27" s="435"/>
      <c r="I27" s="428"/>
      <c r="J27" s="429"/>
      <c r="K27" s="428"/>
      <c r="L27" s="436"/>
      <c r="M27" s="448"/>
      <c r="N27" s="448"/>
      <c r="O27" s="444"/>
      <c r="P27" s="437"/>
      <c r="Q27" s="451"/>
      <c r="R27" s="437"/>
      <c r="U27" s="457"/>
    </row>
    <row r="28" spans="3:21" ht="17.399999999999999" x14ac:dyDescent="0.4">
      <c r="C28" s="434" t="s">
        <v>2886</v>
      </c>
      <c r="D28" s="448"/>
      <c r="E28" s="444"/>
      <c r="F28" s="437"/>
      <c r="G28" s="449"/>
      <c r="H28" s="435"/>
      <c r="I28" s="428"/>
      <c r="J28" s="429"/>
      <c r="K28" s="428"/>
      <c r="L28" s="436"/>
      <c r="M28" s="448" t="s">
        <v>2887</v>
      </c>
      <c r="O28" s="438" t="s">
        <v>2806</v>
      </c>
      <c r="P28" s="437"/>
      <c r="Q28" s="471">
        <f>IF($O$28="Si",-0.5,0)</f>
        <v>0</v>
      </c>
      <c r="R28" s="437"/>
      <c r="T28" s="444"/>
      <c r="U28" s="472"/>
    </row>
    <row r="29" spans="3:21" ht="17.399999999999999" x14ac:dyDescent="0.4">
      <c r="C29" s="453"/>
      <c r="D29" s="458" t="s">
        <v>2888</v>
      </c>
      <c r="E29" s="441">
        <f>Input!K10/1000</f>
        <v>0</v>
      </c>
      <c r="F29" s="437"/>
      <c r="G29" s="439" t="str">
        <f>IF(E$31=0,"",E29/E$31)</f>
        <v/>
      </c>
      <c r="H29" s="435"/>
      <c r="I29" s="441">
        <f>Input!L10/1000</f>
        <v>0</v>
      </c>
      <c r="J29" s="442"/>
      <c r="K29" s="428"/>
      <c r="L29" s="436"/>
      <c r="M29" s="437"/>
      <c r="N29" s="437"/>
      <c r="O29" s="444"/>
      <c r="P29" s="437"/>
      <c r="Q29" s="473">
        <f>SUM($Q$26,$Q$28)</f>
        <v>0</v>
      </c>
      <c r="R29" s="437"/>
      <c r="U29" s="457"/>
    </row>
    <row r="30" spans="3:21" ht="21" customHeight="1" x14ac:dyDescent="0.4">
      <c r="C30" s="434"/>
      <c r="D30" s="448"/>
      <c r="E30" s="444"/>
      <c r="F30" s="437"/>
      <c r="G30" s="449"/>
      <c r="H30" s="435"/>
      <c r="I30" s="428"/>
      <c r="J30" s="429"/>
      <c r="K30" s="428"/>
      <c r="L30" s="474"/>
      <c r="M30" s="475"/>
      <c r="N30" s="475"/>
      <c r="O30" s="476"/>
      <c r="P30" s="475"/>
      <c r="Q30" s="477">
        <f>SUM(Q26,Q28)</f>
        <v>0</v>
      </c>
      <c r="R30" s="475"/>
      <c r="S30" s="478"/>
      <c r="T30" s="478"/>
      <c r="U30" s="479"/>
    </row>
    <row r="31" spans="3:21" ht="15.75" customHeight="1" x14ac:dyDescent="0.4">
      <c r="C31" s="453"/>
      <c r="D31" s="458" t="s">
        <v>2889</v>
      </c>
      <c r="E31" s="455">
        <f>+E29+E23</f>
        <v>0</v>
      </c>
      <c r="F31" s="437"/>
      <c r="G31" s="439" t="str">
        <f>IF(E$31=0,"",E31/E$31)</f>
        <v/>
      </c>
      <c r="H31" s="435"/>
      <c r="I31" s="455">
        <f>+I29+I23</f>
        <v>0</v>
      </c>
      <c r="J31" s="456"/>
      <c r="K31" s="428"/>
      <c r="L31" s="437"/>
      <c r="M31" s="437"/>
      <c r="N31" s="437"/>
      <c r="O31" s="437"/>
      <c r="P31" s="437"/>
      <c r="Q31" s="437"/>
      <c r="R31" s="437"/>
    </row>
    <row r="32" spans="3:21" ht="17.399999999999999" x14ac:dyDescent="0.4">
      <c r="C32" s="434"/>
      <c r="D32" s="429"/>
      <c r="E32" s="505"/>
      <c r="F32" s="480"/>
      <c r="G32" s="481"/>
      <c r="H32" s="482"/>
      <c r="I32" s="483"/>
      <c r="J32" s="480"/>
      <c r="K32" s="428"/>
      <c r="L32" s="428"/>
      <c r="M32" s="428"/>
      <c r="N32" s="428"/>
      <c r="O32" s="649"/>
      <c r="P32" s="649"/>
      <c r="Q32" s="649"/>
      <c r="R32" s="649"/>
      <c r="S32" s="484"/>
    </row>
    <row r="33" spans="4:9" ht="15" x14ac:dyDescent="0.35">
      <c r="D33" s="428"/>
      <c r="E33" s="485" t="b">
        <f>EXACT(E31,E13)</f>
        <v>1</v>
      </c>
      <c r="F33" s="428"/>
      <c r="G33" s="486"/>
      <c r="H33" s="435"/>
      <c r="I33" s="485" t="b">
        <f>EXACT(I31,I13)</f>
        <v>1</v>
      </c>
    </row>
    <row r="34" spans="4:9" ht="15" x14ac:dyDescent="0.35">
      <c r="D34" s="487" t="s">
        <v>2890</v>
      </c>
      <c r="E34" s="488"/>
      <c r="F34" s="489"/>
      <c r="G34" s="490"/>
      <c r="H34" s="491"/>
      <c r="I34" s="428"/>
    </row>
    <row r="35" spans="4:9" ht="3" customHeight="1" x14ac:dyDescent="0.25">
      <c r="E35" s="492">
        <f>+E13-E23-E29</f>
        <v>0</v>
      </c>
      <c r="F35" s="334"/>
      <c r="G35" s="334"/>
    </row>
  </sheetData>
  <mergeCells count="11">
    <mergeCell ref="M11:M12"/>
    <mergeCell ref="M13:M15"/>
    <mergeCell ref="L22:U22"/>
    <mergeCell ref="O23:Q23"/>
    <mergeCell ref="O32:P32"/>
    <mergeCell ref="Q32:R32"/>
    <mergeCell ref="B2:J2"/>
    <mergeCell ref="L2:U2"/>
    <mergeCell ref="O5:Q5"/>
    <mergeCell ref="E6:G6"/>
    <mergeCell ref="M8:M9"/>
  </mergeCells>
  <conditionalFormatting sqref="E33">
    <cfRule type="containsText" dxfId="4" priority="2" operator="containsText" text="FALSO">
      <formula>NOT(ISERROR(SEARCH("FALSO",E33)))</formula>
    </cfRule>
    <cfRule type="containsText" dxfId="3" priority="3" operator="containsText" text="VERDADERO">
      <formula>NOT(ISERROR(SEARCH("VERDADERO",E33)))</formula>
    </cfRule>
  </conditionalFormatting>
  <conditionalFormatting sqref="I15">
    <cfRule type="cellIs" dxfId="2" priority="6" operator="equal">
      <formula>"Error: ultimo parcial no puede ser igual al año completo"</formula>
    </cfRule>
  </conditionalFormatting>
  <conditionalFormatting sqref="I33">
    <cfRule type="containsText" dxfId="1" priority="4" operator="containsText" text="FALSO">
      <formula>NOT(ISERROR(SEARCH("FALSO",I33)))</formula>
    </cfRule>
    <cfRule type="containsText" dxfId="0" priority="5" operator="containsText" text="VERDADERO">
      <formula>NOT(ISERROR(SEARCH("VERDADERO",I33)))</formula>
    </cfRule>
  </conditionalFormatting>
  <hyperlinks>
    <hyperlink ref="M11" location="AYUDA!C4" display="DEPRECIACIÓN (edo. de resúltados)" xr:uid="{00000000-0004-0000-1400-000000000000}"/>
    <hyperlink ref="M13" location="AYUDA!C5" display="Pasivo Arrendamiento ( MENSUAL - OJO: NO DEL BALANCE)" xr:uid="{00000000-0004-0000-1400-000001000000}"/>
  </hyperlinks>
  <pageMargins left="0.70833333333333304" right="0.70833333333333304" top="0.74791666666666701" bottom="0.74791666666666701" header="0.51180555555555496" footer="0.51180555555555496"/>
  <pageSetup firstPageNumber="0" orientation="landscape" horizontalDpi="300" verticalDpi="30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400-000000000000}">
          <x14:formula1>
            <xm:f>Input!$B$24:$B$35</xm:f>
          </x14:formula1>
          <x14:formula2>
            <xm:f>0</xm:f>
          </x14:formula2>
          <xm:sqref>I4</xm:sqref>
        </x14:dataValidation>
        <x14:dataValidation type="list" allowBlank="1" showInputMessage="1" showErrorMessage="1" xr:uid="{00000000-0002-0000-1400-000001000000}">
          <x14:formula1>
            <xm:f>Input!$B$57:$B$59</xm:f>
          </x14:formula1>
          <x14:formula2>
            <xm:f>0</xm:f>
          </x14:formula2>
          <xm:sqref>O26</xm:sqref>
        </x14:dataValidation>
        <x14:dataValidation type="list" allowBlank="1" showErrorMessage="1" xr:uid="{00000000-0002-0000-1400-000002000000}">
          <x14:formula1>
            <xm:f>Input!$B$11:$B$13</xm:f>
          </x14:formula1>
          <x14:formula2>
            <xm:f>0</xm:f>
          </x14:formula2>
          <xm:sqref>O28</xm:sqref>
        </x14:dataValidation>
        <x14:dataValidation type="whole" operator="lessThan" allowBlank="1" showInputMessage="1" showErrorMessage="1" xr:uid="{00000000-0002-0000-1400-000003000000}">
          <x14:formula1>
            <xm:f>Input!B42</xm:f>
          </x14:formula1>
          <x14:formula2>
            <xm:f>0</xm:f>
          </x14:formula2>
          <xm:sqref>E4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BQ24"/>
  <sheetViews>
    <sheetView topLeftCell="B1" workbookViewId="0">
      <selection activeCell="K20" sqref="K20"/>
    </sheetView>
  </sheetViews>
  <sheetFormatPr baseColWidth="10" defaultRowHeight="13.2" x14ac:dyDescent="0.25"/>
  <cols>
    <col min="2" max="2" width="12.88671875" bestFit="1" customWidth="1"/>
    <col min="3" max="3" width="16.6640625" bestFit="1" customWidth="1"/>
    <col min="4" max="4" width="18.109375" bestFit="1" customWidth="1"/>
    <col min="5" max="5" width="3.109375" customWidth="1"/>
    <col min="6" max="6" width="16.6640625" bestFit="1" customWidth="1"/>
    <col min="7" max="7" width="18.109375" bestFit="1" customWidth="1"/>
    <col min="8" max="8" width="16.6640625" bestFit="1" customWidth="1"/>
    <col min="9" max="9" width="18.109375" bestFit="1" customWidth="1"/>
    <col min="10" max="10" width="2.88671875" customWidth="1"/>
    <col min="11" max="11" width="6.44140625" customWidth="1"/>
    <col min="12" max="12" width="15.5546875" bestFit="1" customWidth="1"/>
    <col min="13" max="13" width="16.6640625" bestFit="1" customWidth="1"/>
    <col min="14" max="14" width="18.109375" bestFit="1" customWidth="1"/>
    <col min="15" max="15" width="2" bestFit="1" customWidth="1"/>
    <col min="16" max="16" width="5.88671875" customWidth="1"/>
    <col min="17" max="17" width="12.88671875" bestFit="1" customWidth="1"/>
    <col min="18" max="18" width="16.6640625" bestFit="1" customWidth="1"/>
    <col min="19" max="19" width="18.109375" bestFit="1" customWidth="1"/>
    <col min="20" max="20" width="2" bestFit="1" customWidth="1"/>
    <col min="21" max="21" width="12.88671875" bestFit="1" customWidth="1"/>
    <col min="22" max="22" width="16.6640625" bestFit="1" customWidth="1"/>
    <col min="23" max="23" width="18.109375" bestFit="1" customWidth="1"/>
    <col min="24" max="24" width="2" bestFit="1" customWidth="1"/>
    <col min="25" max="25" width="7.6640625" customWidth="1"/>
    <col min="26" max="26" width="12.88671875" bestFit="1" customWidth="1"/>
    <col min="27" max="27" width="16.6640625" bestFit="1" customWidth="1"/>
    <col min="28" max="28" width="18.109375" bestFit="1" customWidth="1"/>
    <col min="29" max="29" width="2" bestFit="1" customWidth="1"/>
    <col min="30" max="30" width="5.44140625" customWidth="1"/>
    <col min="31" max="31" width="12.88671875" bestFit="1" customWidth="1"/>
    <col min="32" max="32" width="16.6640625" bestFit="1" customWidth="1"/>
    <col min="33" max="33" width="18.109375" bestFit="1" customWidth="1"/>
    <col min="34" max="34" width="2" bestFit="1" customWidth="1"/>
    <col min="35" max="35" width="10.6640625" customWidth="1"/>
    <col min="36" max="36" width="12.88671875" bestFit="1" customWidth="1"/>
    <col min="37" max="37" width="16.6640625" bestFit="1" customWidth="1"/>
    <col min="38" max="38" width="18.109375" bestFit="1" customWidth="1"/>
    <col min="39" max="39" width="2" bestFit="1" customWidth="1"/>
    <col min="40" max="40" width="7.109375" customWidth="1"/>
    <col min="41" max="41" width="12.88671875" bestFit="1" customWidth="1"/>
    <col min="42" max="42" width="16.6640625" bestFit="1" customWidth="1"/>
    <col min="43" max="43" width="18.109375" bestFit="1" customWidth="1"/>
    <col min="44" max="44" width="2" bestFit="1" customWidth="1"/>
    <col min="45" max="45" width="7.33203125" customWidth="1"/>
    <col min="46" max="46" width="13.88671875" bestFit="1" customWidth="1"/>
    <col min="47" max="47" width="16.6640625" bestFit="1" customWidth="1"/>
    <col min="48" max="48" width="18.109375" bestFit="1" customWidth="1"/>
    <col min="49" max="49" width="2" bestFit="1" customWidth="1"/>
    <col min="50" max="50" width="8.109375" customWidth="1"/>
    <col min="51" max="51" width="13.88671875" bestFit="1" customWidth="1"/>
    <col min="52" max="52" width="16.6640625" bestFit="1" customWidth="1"/>
    <col min="53" max="53" width="18.109375" bestFit="1" customWidth="1"/>
    <col min="54" max="54" width="2" bestFit="1" customWidth="1"/>
    <col min="55" max="55" width="7.88671875" customWidth="1"/>
    <col min="56" max="56" width="13.88671875" bestFit="1" customWidth="1"/>
    <col min="57" max="57" width="16.6640625" bestFit="1" customWidth="1"/>
    <col min="58" max="58" width="18.109375" bestFit="1" customWidth="1"/>
    <col min="59" max="59" width="2" bestFit="1" customWidth="1"/>
    <col min="60" max="60" width="6.6640625" customWidth="1"/>
    <col min="61" max="61" width="13.88671875" bestFit="1" customWidth="1"/>
    <col min="62" max="62" width="16.6640625" bestFit="1" customWidth="1"/>
    <col min="63" max="63" width="18.109375" bestFit="1" customWidth="1"/>
    <col min="64" max="64" width="2" bestFit="1" customWidth="1"/>
    <col min="65" max="65" width="6.5546875" customWidth="1"/>
    <col min="66" max="66" width="13.88671875" bestFit="1" customWidth="1"/>
    <col min="67" max="67" width="16.6640625" bestFit="1" customWidth="1"/>
    <col min="68" max="68" width="18.109375" bestFit="1" customWidth="1"/>
    <col min="69" max="69" width="2" bestFit="1" customWidth="1"/>
  </cols>
  <sheetData>
    <row r="1" spans="2:69" x14ac:dyDescent="0.25">
      <c r="F1" s="510"/>
    </row>
    <row r="2" spans="2:69" x14ac:dyDescent="0.25">
      <c r="B2" s="345" t="s">
        <v>2807</v>
      </c>
      <c r="C2" s="520">
        <v>0</v>
      </c>
      <c r="D2" s="520"/>
      <c r="G2" s="345" t="s">
        <v>2835</v>
      </c>
      <c r="H2" s="520">
        <v>0</v>
      </c>
      <c r="I2" s="520"/>
      <c r="L2" s="345" t="s">
        <v>2955</v>
      </c>
      <c r="M2" s="520">
        <v>0</v>
      </c>
      <c r="N2" s="520"/>
      <c r="Q2" s="345" t="s">
        <v>2960</v>
      </c>
      <c r="R2" s="520">
        <v>0</v>
      </c>
      <c r="S2" s="520"/>
      <c r="U2" s="345" t="s">
        <v>2961</v>
      </c>
      <c r="V2" s="520">
        <v>0</v>
      </c>
      <c r="W2" s="520"/>
      <c r="Z2" s="345" t="s">
        <v>2962</v>
      </c>
      <c r="AA2" s="520">
        <v>0</v>
      </c>
      <c r="AB2" s="520"/>
      <c r="AE2" s="345" t="s">
        <v>2963</v>
      </c>
      <c r="AF2" s="520">
        <v>0</v>
      </c>
      <c r="AG2" s="520"/>
      <c r="AJ2" s="345" t="s">
        <v>2964</v>
      </c>
      <c r="AK2" s="520">
        <v>0</v>
      </c>
      <c r="AL2" s="520"/>
      <c r="AO2" s="345" t="s">
        <v>2965</v>
      </c>
      <c r="AP2" s="520">
        <v>0</v>
      </c>
      <c r="AQ2" s="520"/>
      <c r="AT2" s="345" t="s">
        <v>2966</v>
      </c>
      <c r="AU2" s="520">
        <v>0</v>
      </c>
      <c r="AV2" s="520"/>
      <c r="AY2" s="345" t="s">
        <v>2967</v>
      </c>
      <c r="AZ2" s="520">
        <v>0</v>
      </c>
      <c r="BA2" s="520"/>
      <c r="BD2" s="345" t="s">
        <v>2968</v>
      </c>
      <c r="BE2" s="520">
        <v>0</v>
      </c>
      <c r="BF2" s="520"/>
      <c r="BI2" s="345" t="s">
        <v>2969</v>
      </c>
      <c r="BJ2" s="520">
        <v>0</v>
      </c>
      <c r="BK2" s="520"/>
      <c r="BN2" s="345" t="s">
        <v>2970</v>
      </c>
      <c r="BO2" s="520">
        <v>0</v>
      </c>
      <c r="BP2" s="520"/>
    </row>
    <row r="3" spans="2:69" x14ac:dyDescent="0.25">
      <c r="C3" s="51" t="s">
        <v>2809</v>
      </c>
      <c r="D3" s="50" t="s">
        <v>2810</v>
      </c>
      <c r="H3" s="51" t="s">
        <v>2809</v>
      </c>
      <c r="I3" s="50" t="s">
        <v>2810</v>
      </c>
      <c r="M3" s="51" t="s">
        <v>2809</v>
      </c>
      <c r="N3" s="50" t="s">
        <v>2810</v>
      </c>
      <c r="R3" s="51" t="s">
        <v>2809</v>
      </c>
      <c r="S3" s="50" t="s">
        <v>2810</v>
      </c>
      <c r="V3" s="51" t="s">
        <v>2809</v>
      </c>
      <c r="W3" s="50" t="s">
        <v>2810</v>
      </c>
      <c r="AA3" s="51" t="s">
        <v>2809</v>
      </c>
      <c r="AB3" s="50" t="s">
        <v>2810</v>
      </c>
      <c r="AF3" s="51" t="s">
        <v>2809</v>
      </c>
      <c r="AG3" s="50" t="s">
        <v>2810</v>
      </c>
      <c r="AK3" s="51" t="s">
        <v>2809</v>
      </c>
      <c r="AL3" s="50" t="s">
        <v>2810</v>
      </c>
      <c r="AP3" s="51" t="s">
        <v>2809</v>
      </c>
      <c r="AQ3" s="50" t="s">
        <v>2810</v>
      </c>
      <c r="AU3" s="51" t="s">
        <v>2809</v>
      </c>
      <c r="AV3" s="50" t="s">
        <v>2810</v>
      </c>
      <c r="AZ3" s="51" t="s">
        <v>2809</v>
      </c>
      <c r="BA3" s="50" t="s">
        <v>2810</v>
      </c>
      <c r="BE3" s="51" t="s">
        <v>2809</v>
      </c>
      <c r="BF3" s="50" t="s">
        <v>2810</v>
      </c>
      <c r="BJ3" s="51" t="s">
        <v>2809</v>
      </c>
      <c r="BK3" s="50" t="s">
        <v>2810</v>
      </c>
      <c r="BO3" s="51" t="s">
        <v>2809</v>
      </c>
      <c r="BP3" s="50" t="s">
        <v>2810</v>
      </c>
    </row>
    <row r="4" spans="2:69" x14ac:dyDescent="0.25">
      <c r="B4" s="348">
        <v>45901</v>
      </c>
      <c r="C4" s="346">
        <v>0</v>
      </c>
      <c r="D4" s="346">
        <v>0</v>
      </c>
      <c r="G4" s="348">
        <f>B4</f>
        <v>45901</v>
      </c>
      <c r="H4" s="346">
        <v>0</v>
      </c>
      <c r="I4" s="346">
        <v>0</v>
      </c>
      <c r="L4" s="348">
        <f>B4</f>
        <v>45901</v>
      </c>
      <c r="M4" s="346">
        <v>0</v>
      </c>
      <c r="N4" s="346">
        <v>0</v>
      </c>
      <c r="Q4" s="348">
        <f t="shared" ref="Q4:Q10" si="0">B4</f>
        <v>45901</v>
      </c>
      <c r="R4" s="346">
        <v>0</v>
      </c>
      <c r="S4" s="346">
        <v>0</v>
      </c>
      <c r="U4" s="348">
        <f t="shared" ref="U4:U10" si="1">B4</f>
        <v>45901</v>
      </c>
      <c r="V4" s="346">
        <v>0</v>
      </c>
      <c r="W4" s="346">
        <v>0</v>
      </c>
      <c r="Z4" s="348">
        <f t="shared" ref="Z4:Z10" si="2">B4</f>
        <v>45901</v>
      </c>
      <c r="AA4" s="346">
        <v>0</v>
      </c>
      <c r="AB4" s="346">
        <v>0</v>
      </c>
      <c r="AE4" s="348">
        <f t="shared" ref="AE4:AE10" si="3">B4</f>
        <v>45901</v>
      </c>
      <c r="AF4" s="346">
        <v>0</v>
      </c>
      <c r="AG4" s="346">
        <v>0</v>
      </c>
      <c r="AJ4" s="348">
        <f t="shared" ref="AJ4:AJ10" si="4">B4</f>
        <v>45901</v>
      </c>
      <c r="AK4" s="346">
        <v>0</v>
      </c>
      <c r="AL4" s="346">
        <v>0</v>
      </c>
      <c r="AO4" s="348">
        <f t="shared" ref="AO4:AO10" si="5">B4</f>
        <v>45901</v>
      </c>
      <c r="AP4" s="346">
        <v>0</v>
      </c>
      <c r="AQ4" s="346">
        <v>0</v>
      </c>
      <c r="AT4" s="348">
        <f t="shared" ref="AT4:AT10" si="6">B4</f>
        <v>45901</v>
      </c>
      <c r="AU4" s="346">
        <v>0</v>
      </c>
      <c r="AV4" s="346">
        <v>0</v>
      </c>
      <c r="AY4" s="348">
        <f>AT4</f>
        <v>45901</v>
      </c>
      <c r="AZ4" s="346">
        <v>0</v>
      </c>
      <c r="BA4" s="346">
        <v>0</v>
      </c>
      <c r="BD4" s="348">
        <v>45901</v>
      </c>
      <c r="BE4" s="346">
        <v>0</v>
      </c>
      <c r="BF4" s="346">
        <v>0</v>
      </c>
      <c r="BI4" s="348">
        <f>BD4</f>
        <v>45901</v>
      </c>
      <c r="BJ4" s="346">
        <v>0</v>
      </c>
      <c r="BK4" s="346">
        <v>0</v>
      </c>
      <c r="BN4" s="348">
        <f>BI4</f>
        <v>45901</v>
      </c>
      <c r="BO4" s="346">
        <v>0</v>
      </c>
      <c r="BP4" s="346">
        <v>0</v>
      </c>
    </row>
    <row r="5" spans="2:69" x14ac:dyDescent="0.25">
      <c r="B5" s="348">
        <v>45931</v>
      </c>
      <c r="C5" s="346">
        <v>0</v>
      </c>
      <c r="D5" s="346">
        <v>0</v>
      </c>
      <c r="G5" s="348">
        <f t="shared" ref="G5:G10" si="7">B5</f>
        <v>45931</v>
      </c>
      <c r="H5" s="346">
        <v>0</v>
      </c>
      <c r="I5" s="346">
        <v>0</v>
      </c>
      <c r="L5" s="348">
        <f t="shared" ref="L5:L10" si="8">B5</f>
        <v>45931</v>
      </c>
      <c r="M5" s="346">
        <v>0</v>
      </c>
      <c r="N5" s="346">
        <v>0</v>
      </c>
      <c r="Q5" s="348">
        <f t="shared" si="0"/>
        <v>45931</v>
      </c>
      <c r="R5" s="346">
        <v>0</v>
      </c>
      <c r="S5" s="346">
        <v>0</v>
      </c>
      <c r="U5" s="348">
        <f t="shared" si="1"/>
        <v>45931</v>
      </c>
      <c r="V5" s="346">
        <v>0</v>
      </c>
      <c r="W5" s="346">
        <v>0</v>
      </c>
      <c r="Z5" s="348">
        <f t="shared" si="2"/>
        <v>45931</v>
      </c>
      <c r="AA5" s="346">
        <v>0</v>
      </c>
      <c r="AB5" s="346">
        <v>0</v>
      </c>
      <c r="AE5" s="348">
        <f t="shared" si="3"/>
        <v>45931</v>
      </c>
      <c r="AF5" s="346">
        <v>0</v>
      </c>
      <c r="AG5" s="346">
        <v>0</v>
      </c>
      <c r="AJ5" s="348">
        <f t="shared" si="4"/>
        <v>45931</v>
      </c>
      <c r="AK5" s="346">
        <v>0</v>
      </c>
      <c r="AL5" s="346">
        <v>0</v>
      </c>
      <c r="AO5" s="348">
        <f t="shared" si="5"/>
        <v>45931</v>
      </c>
      <c r="AP5" s="346">
        <v>0</v>
      </c>
      <c r="AQ5" s="346">
        <v>0</v>
      </c>
      <c r="AT5" s="348">
        <f t="shared" si="6"/>
        <v>45931</v>
      </c>
      <c r="AU5" s="346">
        <v>0</v>
      </c>
      <c r="AV5" s="346">
        <v>0</v>
      </c>
      <c r="AY5" s="348">
        <f t="shared" ref="AY5:AY10" si="9">AT5</f>
        <v>45931</v>
      </c>
      <c r="AZ5" s="346">
        <v>0</v>
      </c>
      <c r="BA5" s="346">
        <v>0</v>
      </c>
      <c r="BD5" s="348">
        <v>45931</v>
      </c>
      <c r="BE5" s="346">
        <v>0</v>
      </c>
      <c r="BF5" s="346">
        <v>0</v>
      </c>
      <c r="BI5" s="348">
        <f t="shared" ref="BI5:BI10" si="10">BD5</f>
        <v>45931</v>
      </c>
      <c r="BJ5" s="346">
        <v>0</v>
      </c>
      <c r="BK5" s="346">
        <v>0</v>
      </c>
      <c r="BN5" s="348">
        <f t="shared" ref="BN5:BN10" si="11">BI5</f>
        <v>45931</v>
      </c>
      <c r="BO5" s="346">
        <v>0</v>
      </c>
      <c r="BP5" s="346">
        <v>0</v>
      </c>
    </row>
    <row r="6" spans="2:69" x14ac:dyDescent="0.25">
      <c r="B6" s="348">
        <v>45962</v>
      </c>
      <c r="C6" s="346">
        <v>0</v>
      </c>
      <c r="D6" s="346">
        <v>0</v>
      </c>
      <c r="G6" s="348">
        <f t="shared" si="7"/>
        <v>45962</v>
      </c>
      <c r="H6" s="346">
        <v>0</v>
      </c>
      <c r="I6" s="346">
        <v>0</v>
      </c>
      <c r="L6" s="348">
        <f t="shared" si="8"/>
        <v>45962</v>
      </c>
      <c r="M6" s="346">
        <v>0</v>
      </c>
      <c r="N6" s="346">
        <v>0</v>
      </c>
      <c r="Q6" s="348">
        <f t="shared" si="0"/>
        <v>45962</v>
      </c>
      <c r="R6" s="346">
        <v>0</v>
      </c>
      <c r="S6" s="346">
        <v>0</v>
      </c>
      <c r="U6" s="348">
        <f t="shared" si="1"/>
        <v>45962</v>
      </c>
      <c r="V6" s="346">
        <v>0</v>
      </c>
      <c r="W6" s="346">
        <v>0</v>
      </c>
      <c r="Z6" s="348">
        <f t="shared" si="2"/>
        <v>45962</v>
      </c>
      <c r="AA6" s="346">
        <v>0</v>
      </c>
      <c r="AB6" s="346">
        <v>0</v>
      </c>
      <c r="AE6" s="348">
        <f t="shared" si="3"/>
        <v>45962</v>
      </c>
      <c r="AF6" s="346">
        <v>0</v>
      </c>
      <c r="AG6" s="346">
        <v>0</v>
      </c>
      <c r="AJ6" s="348">
        <f t="shared" si="4"/>
        <v>45962</v>
      </c>
      <c r="AK6" s="346">
        <v>0</v>
      </c>
      <c r="AL6" s="346">
        <v>0</v>
      </c>
      <c r="AO6" s="348">
        <f t="shared" si="5"/>
        <v>45962</v>
      </c>
      <c r="AP6" s="346">
        <v>0</v>
      </c>
      <c r="AQ6" s="346">
        <v>0</v>
      </c>
      <c r="AT6" s="348">
        <f t="shared" si="6"/>
        <v>45962</v>
      </c>
      <c r="AU6" s="346">
        <v>0</v>
      </c>
      <c r="AV6" s="346">
        <v>0</v>
      </c>
      <c r="AY6" s="348">
        <f t="shared" si="9"/>
        <v>45962</v>
      </c>
      <c r="AZ6" s="346">
        <v>0</v>
      </c>
      <c r="BA6" s="346">
        <v>0</v>
      </c>
      <c r="BD6" s="348">
        <v>45962</v>
      </c>
      <c r="BE6" s="346">
        <v>0</v>
      </c>
      <c r="BF6" s="346">
        <v>0</v>
      </c>
      <c r="BI6" s="348">
        <f t="shared" si="10"/>
        <v>45962</v>
      </c>
      <c r="BJ6" s="346">
        <v>0</v>
      </c>
      <c r="BK6" s="346">
        <v>0</v>
      </c>
      <c r="BN6" s="348">
        <f t="shared" si="11"/>
        <v>45962</v>
      </c>
      <c r="BO6" s="346">
        <v>0</v>
      </c>
      <c r="BP6" s="346">
        <v>0</v>
      </c>
    </row>
    <row r="7" spans="2:69" x14ac:dyDescent="0.25">
      <c r="B7" s="348">
        <v>45992</v>
      </c>
      <c r="C7" s="346">
        <v>0</v>
      </c>
      <c r="D7" s="346">
        <v>0</v>
      </c>
      <c r="G7" s="348">
        <f t="shared" si="7"/>
        <v>45992</v>
      </c>
      <c r="H7" s="346">
        <v>0</v>
      </c>
      <c r="I7" s="346">
        <v>0</v>
      </c>
      <c r="L7" s="348">
        <f t="shared" si="8"/>
        <v>45992</v>
      </c>
      <c r="M7" s="346">
        <v>0</v>
      </c>
      <c r="N7" s="346">
        <v>0</v>
      </c>
      <c r="Q7" s="348">
        <f t="shared" si="0"/>
        <v>45992</v>
      </c>
      <c r="R7" s="346">
        <v>0</v>
      </c>
      <c r="S7" s="346">
        <v>0</v>
      </c>
      <c r="U7" s="348">
        <f t="shared" si="1"/>
        <v>45992</v>
      </c>
      <c r="V7" s="346">
        <v>0</v>
      </c>
      <c r="W7" s="346">
        <v>0</v>
      </c>
      <c r="Z7" s="348">
        <f t="shared" si="2"/>
        <v>45992</v>
      </c>
      <c r="AA7" s="346">
        <v>0</v>
      </c>
      <c r="AB7" s="346">
        <v>0</v>
      </c>
      <c r="AE7" s="348">
        <f t="shared" si="3"/>
        <v>45992</v>
      </c>
      <c r="AF7" s="346">
        <v>0</v>
      </c>
      <c r="AG7" s="346">
        <v>0</v>
      </c>
      <c r="AJ7" s="348">
        <f t="shared" si="4"/>
        <v>45992</v>
      </c>
      <c r="AK7" s="346">
        <v>0</v>
      </c>
      <c r="AL7" s="346">
        <v>0</v>
      </c>
      <c r="AO7" s="348">
        <f t="shared" si="5"/>
        <v>45992</v>
      </c>
      <c r="AP7" s="346">
        <v>0</v>
      </c>
      <c r="AQ7" s="346">
        <v>0</v>
      </c>
      <c r="AT7" s="348">
        <f t="shared" si="6"/>
        <v>45992</v>
      </c>
      <c r="AU7" s="346">
        <v>0</v>
      </c>
      <c r="AV7" s="346">
        <v>0</v>
      </c>
      <c r="AY7" s="348">
        <f t="shared" si="9"/>
        <v>45992</v>
      </c>
      <c r="AZ7" s="346">
        <v>0</v>
      </c>
      <c r="BA7" s="346">
        <v>0</v>
      </c>
      <c r="BD7" s="348">
        <v>45992</v>
      </c>
      <c r="BE7" s="346">
        <v>0</v>
      </c>
      <c r="BF7" s="346">
        <v>0</v>
      </c>
      <c r="BI7" s="348">
        <f t="shared" si="10"/>
        <v>45992</v>
      </c>
      <c r="BJ7" s="346">
        <v>0</v>
      </c>
      <c r="BK7" s="346">
        <v>0</v>
      </c>
      <c r="BN7" s="348">
        <f t="shared" si="11"/>
        <v>45992</v>
      </c>
      <c r="BO7" s="346">
        <v>0</v>
      </c>
      <c r="BP7" s="346">
        <v>0</v>
      </c>
    </row>
    <row r="8" spans="2:69" x14ac:dyDescent="0.25">
      <c r="B8" s="348">
        <v>46023</v>
      </c>
      <c r="C8" s="346">
        <v>0</v>
      </c>
      <c r="D8" s="346">
        <v>0</v>
      </c>
      <c r="G8" s="348">
        <f t="shared" si="7"/>
        <v>46023</v>
      </c>
      <c r="H8" s="346">
        <v>0</v>
      </c>
      <c r="I8" s="346">
        <v>0</v>
      </c>
      <c r="L8" s="348">
        <f t="shared" si="8"/>
        <v>46023</v>
      </c>
      <c r="M8" s="346">
        <v>0</v>
      </c>
      <c r="N8" s="346">
        <v>0</v>
      </c>
      <c r="Q8" s="348">
        <f t="shared" si="0"/>
        <v>46023</v>
      </c>
      <c r="R8" s="346">
        <v>0</v>
      </c>
      <c r="S8" s="346">
        <v>0</v>
      </c>
      <c r="U8" s="348">
        <f t="shared" si="1"/>
        <v>46023</v>
      </c>
      <c r="V8" s="346">
        <v>0</v>
      </c>
      <c r="W8" s="346">
        <v>0</v>
      </c>
      <c r="Z8" s="348">
        <f t="shared" si="2"/>
        <v>46023</v>
      </c>
      <c r="AA8" s="346">
        <v>0</v>
      </c>
      <c r="AB8" s="346">
        <v>0</v>
      </c>
      <c r="AE8" s="348">
        <f t="shared" si="3"/>
        <v>46023</v>
      </c>
      <c r="AF8" s="346">
        <v>0</v>
      </c>
      <c r="AG8" s="346">
        <v>0</v>
      </c>
      <c r="AJ8" s="348">
        <f t="shared" si="4"/>
        <v>46023</v>
      </c>
      <c r="AK8" s="346">
        <v>0</v>
      </c>
      <c r="AL8" s="346">
        <v>0</v>
      </c>
      <c r="AO8" s="348">
        <f t="shared" si="5"/>
        <v>46023</v>
      </c>
      <c r="AP8" s="346">
        <v>0</v>
      </c>
      <c r="AQ8" s="346">
        <v>0</v>
      </c>
      <c r="AT8" s="348">
        <f t="shared" si="6"/>
        <v>46023</v>
      </c>
      <c r="AU8" s="346">
        <v>0</v>
      </c>
      <c r="AV8" s="346">
        <v>0</v>
      </c>
      <c r="AY8" s="348">
        <f t="shared" si="9"/>
        <v>46023</v>
      </c>
      <c r="AZ8" s="346">
        <v>0</v>
      </c>
      <c r="BA8" s="346">
        <v>0</v>
      </c>
      <c r="BD8" s="348">
        <v>46023</v>
      </c>
      <c r="BE8" s="346">
        <v>0</v>
      </c>
      <c r="BF8" s="346">
        <v>0</v>
      </c>
      <c r="BI8" s="348">
        <f t="shared" si="10"/>
        <v>46023</v>
      </c>
      <c r="BJ8" s="346">
        <v>0</v>
      </c>
      <c r="BK8" s="346">
        <v>0</v>
      </c>
      <c r="BN8" s="348">
        <f t="shared" si="11"/>
        <v>46023</v>
      </c>
      <c r="BO8" s="346">
        <v>0</v>
      </c>
      <c r="BP8" s="346">
        <v>0</v>
      </c>
    </row>
    <row r="9" spans="2:69" x14ac:dyDescent="0.25">
      <c r="B9" s="348">
        <v>46054</v>
      </c>
      <c r="C9" s="346">
        <v>0</v>
      </c>
      <c r="D9" s="346">
        <v>0</v>
      </c>
      <c r="G9" s="348">
        <f t="shared" si="7"/>
        <v>46054</v>
      </c>
      <c r="H9" s="346">
        <v>0</v>
      </c>
      <c r="I9" s="346">
        <v>0</v>
      </c>
      <c r="L9" s="348">
        <f t="shared" si="8"/>
        <v>46054</v>
      </c>
      <c r="M9" s="346">
        <v>0</v>
      </c>
      <c r="N9" s="346">
        <v>0</v>
      </c>
      <c r="Q9" s="348">
        <f t="shared" si="0"/>
        <v>46054</v>
      </c>
      <c r="R9" s="346">
        <v>0</v>
      </c>
      <c r="S9" s="346">
        <v>0</v>
      </c>
      <c r="U9" s="348">
        <f t="shared" si="1"/>
        <v>46054</v>
      </c>
      <c r="V9" s="346">
        <v>0</v>
      </c>
      <c r="W9" s="346">
        <v>0</v>
      </c>
      <c r="Z9" s="348">
        <f t="shared" si="2"/>
        <v>46054</v>
      </c>
      <c r="AA9" s="346">
        <v>0</v>
      </c>
      <c r="AB9" s="346">
        <v>0</v>
      </c>
      <c r="AE9" s="348">
        <f t="shared" si="3"/>
        <v>46054</v>
      </c>
      <c r="AF9" s="346">
        <v>0</v>
      </c>
      <c r="AG9" s="346">
        <v>0</v>
      </c>
      <c r="AJ9" s="348">
        <f t="shared" si="4"/>
        <v>46054</v>
      </c>
      <c r="AK9" s="346">
        <v>0</v>
      </c>
      <c r="AL9" s="346">
        <v>0</v>
      </c>
      <c r="AO9" s="348">
        <f t="shared" si="5"/>
        <v>46054</v>
      </c>
      <c r="AP9" s="346">
        <v>0</v>
      </c>
      <c r="AQ9" s="346">
        <v>0</v>
      </c>
      <c r="AT9" s="348">
        <f t="shared" si="6"/>
        <v>46054</v>
      </c>
      <c r="AU9" s="346">
        <v>0</v>
      </c>
      <c r="AV9" s="346">
        <v>0</v>
      </c>
      <c r="AY9" s="348">
        <f t="shared" si="9"/>
        <v>46054</v>
      </c>
      <c r="AZ9" s="346">
        <v>0</v>
      </c>
      <c r="BA9" s="346">
        <v>0</v>
      </c>
      <c r="BD9" s="348">
        <v>46054</v>
      </c>
      <c r="BE9" s="346">
        <v>0</v>
      </c>
      <c r="BF9" s="346">
        <v>0</v>
      </c>
      <c r="BI9" s="348">
        <f t="shared" si="10"/>
        <v>46054</v>
      </c>
      <c r="BJ9" s="346">
        <v>0</v>
      </c>
      <c r="BK9" s="346">
        <v>0</v>
      </c>
      <c r="BN9" s="348">
        <f t="shared" si="11"/>
        <v>46054</v>
      </c>
      <c r="BO9" s="346">
        <v>0</v>
      </c>
      <c r="BP9" s="346">
        <v>0</v>
      </c>
    </row>
    <row r="10" spans="2:69" x14ac:dyDescent="0.25">
      <c r="B10" s="348">
        <v>46082</v>
      </c>
      <c r="C10" s="346">
        <v>0</v>
      </c>
      <c r="D10" s="346">
        <v>0</v>
      </c>
      <c r="G10" s="348">
        <f t="shared" si="7"/>
        <v>46082</v>
      </c>
      <c r="H10" s="346">
        <v>0</v>
      </c>
      <c r="I10" s="346">
        <v>0</v>
      </c>
      <c r="L10" s="348">
        <f t="shared" si="8"/>
        <v>46082</v>
      </c>
      <c r="M10" s="346">
        <v>0</v>
      </c>
      <c r="N10" s="346">
        <v>0</v>
      </c>
      <c r="Q10" s="348">
        <f t="shared" si="0"/>
        <v>46082</v>
      </c>
      <c r="R10" s="346">
        <v>0</v>
      </c>
      <c r="S10" s="346">
        <v>0</v>
      </c>
      <c r="U10" s="348">
        <f t="shared" si="1"/>
        <v>46082</v>
      </c>
      <c r="V10" s="346">
        <v>0</v>
      </c>
      <c r="W10" s="346">
        <v>0</v>
      </c>
      <c r="Z10" s="348">
        <f t="shared" si="2"/>
        <v>46082</v>
      </c>
      <c r="AA10" s="346">
        <v>0</v>
      </c>
      <c r="AB10" s="346">
        <v>0</v>
      </c>
      <c r="AE10" s="348">
        <f t="shared" si="3"/>
        <v>46082</v>
      </c>
      <c r="AF10" s="346">
        <v>0</v>
      </c>
      <c r="AG10" s="346">
        <v>0</v>
      </c>
      <c r="AJ10" s="348">
        <f t="shared" si="4"/>
        <v>46082</v>
      </c>
      <c r="AK10" s="346">
        <v>0</v>
      </c>
      <c r="AL10" s="346">
        <v>0</v>
      </c>
      <c r="AO10" s="348">
        <f t="shared" si="5"/>
        <v>46082</v>
      </c>
      <c r="AP10" s="346">
        <v>0</v>
      </c>
      <c r="AQ10" s="346">
        <v>0</v>
      </c>
      <c r="AT10" s="348">
        <f t="shared" si="6"/>
        <v>46082</v>
      </c>
      <c r="AU10" s="346">
        <v>0</v>
      </c>
      <c r="AV10" s="346">
        <v>0</v>
      </c>
      <c r="AY10" s="348">
        <f t="shared" si="9"/>
        <v>46082</v>
      </c>
      <c r="AZ10" s="346">
        <v>0</v>
      </c>
      <c r="BA10" s="346">
        <v>0</v>
      </c>
      <c r="BD10" s="348">
        <v>46082</v>
      </c>
      <c r="BE10" s="346">
        <v>0</v>
      </c>
      <c r="BF10" s="346">
        <v>0</v>
      </c>
      <c r="BI10" s="348">
        <f t="shared" si="10"/>
        <v>46082</v>
      </c>
      <c r="BJ10" s="346">
        <v>0</v>
      </c>
      <c r="BK10" s="346">
        <v>0</v>
      </c>
      <c r="BN10" s="348">
        <f t="shared" si="11"/>
        <v>46082</v>
      </c>
      <c r="BO10" s="346">
        <v>0</v>
      </c>
      <c r="BP10" s="346">
        <v>0</v>
      </c>
    </row>
    <row r="11" spans="2:69" x14ac:dyDescent="0.25">
      <c r="B11" s="357" t="s">
        <v>2830</v>
      </c>
      <c r="C11" s="358">
        <f>IFERROR(SUM(C4:C10)/E11,0)</f>
        <v>0</v>
      </c>
      <c r="D11" s="358">
        <f>IFERROR(SUM(D4:D10)/E11,0)</f>
        <v>0</v>
      </c>
      <c r="E11">
        <v>7</v>
      </c>
      <c r="G11" s="357" t="s">
        <v>2854</v>
      </c>
      <c r="H11" s="358">
        <f>IFERROR(SUM(H4:H10)/J11,0)</f>
        <v>0</v>
      </c>
      <c r="I11" s="358">
        <f>IFERROR(SUM(I4:I10)/J11,0)</f>
        <v>0</v>
      </c>
      <c r="J11">
        <v>7</v>
      </c>
      <c r="L11" s="357" t="s">
        <v>2958</v>
      </c>
      <c r="M11" s="358">
        <f>IFERROR(SUM(M4:M10)/O11,0)</f>
        <v>0</v>
      </c>
      <c r="N11" s="358">
        <f>IFERROR(SUM(N4:N10)/O11,0)</f>
        <v>0</v>
      </c>
      <c r="O11">
        <v>7</v>
      </c>
      <c r="Q11" s="357" t="s">
        <v>2971</v>
      </c>
      <c r="R11" s="358">
        <f>IFERROR(SUM(R4:R10)/T11,0)</f>
        <v>0</v>
      </c>
      <c r="S11" s="358">
        <f>IFERROR(SUM(S4:S10)/T11,0)</f>
        <v>0</v>
      </c>
      <c r="T11">
        <v>7</v>
      </c>
      <c r="U11" s="357" t="s">
        <v>2972</v>
      </c>
      <c r="V11" s="358">
        <f>IFERROR(SUM(V4:V10)/X11,0)</f>
        <v>0</v>
      </c>
      <c r="W11" s="358">
        <f>IFERROR(SUM(W4:W10)/X11,0)</f>
        <v>0</v>
      </c>
      <c r="X11">
        <v>7</v>
      </c>
      <c r="Z11" s="357" t="s">
        <v>2973</v>
      </c>
      <c r="AA11" s="358">
        <f>IFERROR(SUM(AA4:AA10)/AC11,0)</f>
        <v>0</v>
      </c>
      <c r="AB11" s="358">
        <f>IFERROR(SUM(AB4:AB10)/AC11,0)</f>
        <v>0</v>
      </c>
      <c r="AC11">
        <v>7</v>
      </c>
      <c r="AE11" s="357" t="s">
        <v>2974</v>
      </c>
      <c r="AF11" s="358">
        <f>IFERROR(SUM(AF4:AF10)/AH11,0)</f>
        <v>0</v>
      </c>
      <c r="AG11" s="358">
        <f>IFERROR(SUM(AG4:AG10)/AH11,0)</f>
        <v>0</v>
      </c>
      <c r="AH11">
        <v>7</v>
      </c>
      <c r="AJ11" s="357" t="s">
        <v>2975</v>
      </c>
      <c r="AK11" s="358">
        <f>IFERROR(SUM(AK4:AK10)/AM11,0)</f>
        <v>0</v>
      </c>
      <c r="AL11" s="358">
        <f>IFERROR(SUM(AL4:AL10)/AM11,0)</f>
        <v>0</v>
      </c>
      <c r="AM11">
        <v>7</v>
      </c>
      <c r="AO11" s="357" t="s">
        <v>2976</v>
      </c>
      <c r="AP11" s="358">
        <f>IFERROR(SUM(AP4:AP10)/AR11,0)</f>
        <v>0</v>
      </c>
      <c r="AQ11" s="358">
        <f>IFERROR(SUM(AQ4:AQ10)/AR11,0)</f>
        <v>0</v>
      </c>
      <c r="AR11">
        <v>7</v>
      </c>
      <c r="AT11" s="357" t="s">
        <v>2977</v>
      </c>
      <c r="AU11" s="358">
        <f>IFERROR(SUM(AU4:AU10)/AW11,0)</f>
        <v>0</v>
      </c>
      <c r="AV11" s="358">
        <f>IFERROR(SUM(AV4:AV10)/AW11,0)</f>
        <v>0</v>
      </c>
      <c r="AW11">
        <v>7</v>
      </c>
      <c r="AY11" s="357" t="s">
        <v>2978</v>
      </c>
      <c r="AZ11" s="358">
        <f>IFERROR(SUM(AZ4:AZ10)/BB11,0)</f>
        <v>0</v>
      </c>
      <c r="BA11" s="358">
        <f>IFERROR(SUM(BA4:BA10)/BB11,0)</f>
        <v>0</v>
      </c>
      <c r="BB11">
        <v>7</v>
      </c>
      <c r="BD11" s="357" t="s">
        <v>2979</v>
      </c>
      <c r="BE11" s="358">
        <f>IFERROR(SUM(BE4:BE10)/BG11,0)</f>
        <v>0</v>
      </c>
      <c r="BF11" s="358">
        <f>IFERROR(SUM(BF4:BF10)/BG11,0)</f>
        <v>0</v>
      </c>
      <c r="BG11">
        <v>7</v>
      </c>
      <c r="BI11" s="357" t="s">
        <v>2980</v>
      </c>
      <c r="BJ11" s="358">
        <f>IFERROR(SUM(BJ4:BJ10)/BL11,0)</f>
        <v>0</v>
      </c>
      <c r="BK11" s="358">
        <f>IFERROR(SUM(BK4:BK10)/BL11,0)</f>
        <v>0</v>
      </c>
      <c r="BL11">
        <v>7</v>
      </c>
      <c r="BN11" s="357" t="s">
        <v>2981</v>
      </c>
      <c r="BO11" s="358">
        <f>IFERROR(SUM(BO4:BO10)/BQ11,0)</f>
        <v>0</v>
      </c>
      <c r="BP11" s="358">
        <f>IFERROR(SUM(BP4:BP10)/BQ11,0)</f>
        <v>0</v>
      </c>
      <c r="BQ11">
        <v>7</v>
      </c>
    </row>
    <row r="14" spans="2:69" x14ac:dyDescent="0.25">
      <c r="L14" s="345" t="s">
        <v>2952</v>
      </c>
      <c r="M14" s="520"/>
      <c r="N14" s="520"/>
    </row>
    <row r="15" spans="2:69" x14ac:dyDescent="0.25">
      <c r="B15" s="345" t="s">
        <v>2956</v>
      </c>
      <c r="C15" s="520"/>
      <c r="D15" s="520"/>
      <c r="E15" s="506" t="s">
        <v>2949</v>
      </c>
      <c r="F15" s="520"/>
      <c r="G15" s="520"/>
      <c r="M15" s="51" t="s">
        <v>2809</v>
      </c>
      <c r="N15" s="50" t="s">
        <v>2810</v>
      </c>
    </row>
    <row r="16" spans="2:69" x14ac:dyDescent="0.25">
      <c r="C16" s="51" t="s">
        <v>2950</v>
      </c>
      <c r="D16" s="50" t="s">
        <v>2951</v>
      </c>
      <c r="F16" s="51" t="s">
        <v>2809</v>
      </c>
      <c r="G16" s="50" t="s">
        <v>2810</v>
      </c>
      <c r="L16" s="348">
        <f t="shared" ref="L16:L22" si="12">B4</f>
        <v>45901</v>
      </c>
      <c r="M16" s="346">
        <f t="shared" ref="M16:N22" si="13">C4+H4+M4+F17+R4+V4+AA4+AF4+AK4+AP4+AU4+AZ4+BE4+BJ4+BO4</f>
        <v>0</v>
      </c>
      <c r="N16" s="346">
        <f t="shared" si="13"/>
        <v>0</v>
      </c>
    </row>
    <row r="17" spans="2:15" x14ac:dyDescent="0.25">
      <c r="B17" s="348">
        <f t="shared" ref="B17:B23" si="14">B4</f>
        <v>45901</v>
      </c>
      <c r="C17" s="346">
        <v>0</v>
      </c>
      <c r="D17" s="346">
        <v>0</v>
      </c>
      <c r="E17" s="507">
        <v>16.9377</v>
      </c>
      <c r="F17" s="346">
        <f>+C17*E17</f>
        <v>0</v>
      </c>
      <c r="G17" s="346">
        <f>+D17*E17</f>
        <v>0</v>
      </c>
      <c r="L17" s="348">
        <f t="shared" si="12"/>
        <v>45931</v>
      </c>
      <c r="M17" s="346">
        <f t="shared" si="13"/>
        <v>0</v>
      </c>
      <c r="N17" s="346">
        <f t="shared" si="13"/>
        <v>0</v>
      </c>
    </row>
    <row r="18" spans="2:15" x14ac:dyDescent="0.25">
      <c r="B18" s="348">
        <f t="shared" si="14"/>
        <v>45931</v>
      </c>
      <c r="C18" s="346">
        <v>0</v>
      </c>
      <c r="D18" s="346">
        <v>0</v>
      </c>
      <c r="E18" s="507">
        <v>18.377300000000002</v>
      </c>
      <c r="F18" s="346">
        <f t="shared" ref="F18:F23" si="15">+C18*E18</f>
        <v>0</v>
      </c>
      <c r="G18" s="346">
        <f t="shared" ref="G18:G23" si="16">+D18*E18</f>
        <v>0</v>
      </c>
      <c r="L18" s="348">
        <f t="shared" si="12"/>
        <v>45962</v>
      </c>
      <c r="M18" s="346">
        <f t="shared" si="13"/>
        <v>0</v>
      </c>
      <c r="N18" s="346">
        <f t="shared" si="13"/>
        <v>0</v>
      </c>
    </row>
    <row r="19" spans="2:15" x14ac:dyDescent="0.25">
      <c r="B19" s="348">
        <f t="shared" si="14"/>
        <v>45962</v>
      </c>
      <c r="C19" s="346">
        <v>0</v>
      </c>
      <c r="D19" s="346">
        <v>0</v>
      </c>
      <c r="E19" s="507">
        <v>18.79</v>
      </c>
      <c r="F19" s="346">
        <f t="shared" si="15"/>
        <v>0</v>
      </c>
      <c r="G19" s="346">
        <f t="shared" si="16"/>
        <v>0</v>
      </c>
      <c r="L19" s="348">
        <f t="shared" si="12"/>
        <v>45992</v>
      </c>
      <c r="M19" s="346">
        <f t="shared" si="13"/>
        <v>0</v>
      </c>
      <c r="N19" s="346">
        <f t="shared" si="13"/>
        <v>0</v>
      </c>
    </row>
    <row r="20" spans="2:15" x14ac:dyDescent="0.25">
      <c r="B20" s="348">
        <f t="shared" si="14"/>
        <v>45992</v>
      </c>
      <c r="C20" s="346">
        <v>0</v>
      </c>
      <c r="D20" s="346">
        <v>0</v>
      </c>
      <c r="E20" s="507">
        <v>19.816800000000001</v>
      </c>
      <c r="F20" s="346">
        <f t="shared" si="15"/>
        <v>0</v>
      </c>
      <c r="G20" s="346">
        <f t="shared" si="16"/>
        <v>0</v>
      </c>
      <c r="L20" s="348">
        <f t="shared" si="12"/>
        <v>46023</v>
      </c>
      <c r="M20" s="346">
        <f t="shared" si="13"/>
        <v>0</v>
      </c>
      <c r="N20" s="346">
        <f t="shared" si="13"/>
        <v>0</v>
      </c>
    </row>
    <row r="21" spans="2:15" x14ac:dyDescent="0.25">
      <c r="B21" s="348">
        <f t="shared" si="14"/>
        <v>46023</v>
      </c>
      <c r="C21" s="346">
        <v>0</v>
      </c>
      <c r="D21" s="346">
        <v>0</v>
      </c>
      <c r="E21" s="507">
        <v>19.669699999999999</v>
      </c>
      <c r="F21" s="346">
        <f t="shared" si="15"/>
        <v>0</v>
      </c>
      <c r="G21" s="346">
        <f t="shared" si="16"/>
        <v>0</v>
      </c>
      <c r="L21" s="348">
        <f t="shared" si="12"/>
        <v>46054</v>
      </c>
      <c r="M21" s="346">
        <f t="shared" si="13"/>
        <v>0</v>
      </c>
      <c r="N21" s="346">
        <f t="shared" si="13"/>
        <v>0</v>
      </c>
    </row>
    <row r="22" spans="2:15" x14ac:dyDescent="0.25">
      <c r="B22" s="348">
        <f t="shared" si="14"/>
        <v>46054</v>
      </c>
      <c r="C22" s="346">
        <v>0</v>
      </c>
      <c r="D22" s="346">
        <v>0</v>
      </c>
      <c r="E22" s="507">
        <v>20.1617</v>
      </c>
      <c r="F22" s="346">
        <f t="shared" si="15"/>
        <v>0</v>
      </c>
      <c r="G22" s="346">
        <f t="shared" si="16"/>
        <v>0</v>
      </c>
      <c r="L22" s="348">
        <f t="shared" si="12"/>
        <v>46082</v>
      </c>
      <c r="M22" s="346">
        <f t="shared" si="13"/>
        <v>0</v>
      </c>
      <c r="N22" s="346">
        <f t="shared" si="13"/>
        <v>0</v>
      </c>
    </row>
    <row r="23" spans="2:15" x14ac:dyDescent="0.25">
      <c r="B23" s="348">
        <f t="shared" si="14"/>
        <v>46082</v>
      </c>
      <c r="C23" s="346">
        <v>0</v>
      </c>
      <c r="D23" s="346">
        <v>0</v>
      </c>
      <c r="E23" s="507"/>
      <c r="F23" s="346">
        <f t="shared" si="15"/>
        <v>0</v>
      </c>
      <c r="G23" s="346">
        <f t="shared" si="16"/>
        <v>0</v>
      </c>
      <c r="L23" s="357" t="s">
        <v>2953</v>
      </c>
      <c r="M23" s="358">
        <f>IFERROR(SUM(M16:M22)/#REF!,0)</f>
        <v>0</v>
      </c>
      <c r="N23" s="358">
        <f>IFERROR(SUM(N16:N22)/#REF!,0)</f>
        <v>0</v>
      </c>
      <c r="O23">
        <v>7</v>
      </c>
    </row>
    <row r="24" spans="2:15" x14ac:dyDescent="0.25">
      <c r="B24" s="357" t="s">
        <v>2959</v>
      </c>
      <c r="C24" s="358">
        <f>IFERROR(SUM(C17:C23)/F24,0)</f>
        <v>0</v>
      </c>
      <c r="D24" s="358">
        <f>IFERROR(SUM(D17:D23)/F24,0)</f>
        <v>0</v>
      </c>
      <c r="F24" s="358">
        <f>IFERROR(SUM(F17:F23)/M11,0)</f>
        <v>0</v>
      </c>
      <c r="G24" s="358">
        <f>IFERROR(SUM(G17:G23)/M11,0)</f>
        <v>0</v>
      </c>
    </row>
  </sheetData>
  <mergeCells count="17">
    <mergeCell ref="BO2:BP2"/>
    <mergeCell ref="AP2:AQ2"/>
    <mergeCell ref="AU2:AV2"/>
    <mergeCell ref="AZ2:BA2"/>
    <mergeCell ref="BE2:BF2"/>
    <mergeCell ref="BJ2:BK2"/>
    <mergeCell ref="R2:S2"/>
    <mergeCell ref="V2:W2"/>
    <mergeCell ref="AA2:AB2"/>
    <mergeCell ref="AF2:AG2"/>
    <mergeCell ref="AK2:AL2"/>
    <mergeCell ref="M2:N2"/>
    <mergeCell ref="C2:D2"/>
    <mergeCell ref="C15:D15"/>
    <mergeCell ref="M14:N14"/>
    <mergeCell ref="F15:G15"/>
    <mergeCell ref="H2:I2"/>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MK5"/>
  <sheetViews>
    <sheetView zoomScaleNormal="100" workbookViewId="0">
      <selection activeCell="C5" sqref="C5"/>
    </sheetView>
  </sheetViews>
  <sheetFormatPr baseColWidth="10" defaultColWidth="11.44140625" defaultRowHeight="13.2" x14ac:dyDescent="0.25"/>
  <cols>
    <col min="1" max="1" width="3.109375" customWidth="1"/>
    <col min="2" max="2" width="17.44140625" customWidth="1"/>
    <col min="3" max="3" width="66.6640625" customWidth="1"/>
    <col min="5" max="1025" width="11.44140625" hidden="1"/>
  </cols>
  <sheetData>
    <row r="1" spans="2:3" ht="39" customHeight="1" x14ac:dyDescent="0.25">
      <c r="B1" s="650" t="s">
        <v>2891</v>
      </c>
      <c r="C1" s="650"/>
    </row>
    <row r="3" spans="2:3" x14ac:dyDescent="0.25">
      <c r="B3" s="493" t="s">
        <v>2892</v>
      </c>
      <c r="C3" s="493" t="s">
        <v>2893</v>
      </c>
    </row>
    <row r="4" spans="2:3" ht="184.8" x14ac:dyDescent="0.25">
      <c r="B4" s="494" t="s">
        <v>2876</v>
      </c>
      <c r="C4" s="495" t="s">
        <v>2894</v>
      </c>
    </row>
    <row r="5" spans="2:3" ht="52.8" x14ac:dyDescent="0.25">
      <c r="B5" s="496" t="s">
        <v>2895</v>
      </c>
      <c r="C5" s="497" t="s">
        <v>2896</v>
      </c>
    </row>
  </sheetData>
  <mergeCells count="1">
    <mergeCell ref="B1:C1"/>
  </mergeCells>
  <pageMargins left="0.7" right="0.7" top="0.75" bottom="0.75" header="0.51180555555555496" footer="0.51180555555555496"/>
  <pageSetup firstPageNumber="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L88"/>
  <sheetViews>
    <sheetView tabSelected="1" zoomScaleNormal="100" workbookViewId="0">
      <selection activeCell="G12" sqref="G12"/>
    </sheetView>
  </sheetViews>
  <sheetFormatPr baseColWidth="10" defaultColWidth="10.6640625" defaultRowHeight="13.2" x14ac:dyDescent="0.25"/>
  <cols>
    <col min="2" max="2" width="12.33203125" customWidth="1"/>
    <col min="4" max="4" width="14.44140625" customWidth="1"/>
    <col min="10" max="10" width="33.33203125" bestFit="1" customWidth="1"/>
    <col min="11" max="11" width="12.109375" customWidth="1"/>
    <col min="12" max="12" width="14.88671875" bestFit="1" customWidth="1"/>
  </cols>
  <sheetData>
    <row r="1" spans="2:12" x14ac:dyDescent="0.25">
      <c r="B1" s="498" t="s">
        <v>2897</v>
      </c>
      <c r="J1" s="498" t="s">
        <v>2954</v>
      </c>
    </row>
    <row r="2" spans="2:12" x14ac:dyDescent="0.25">
      <c r="J2" s="498"/>
      <c r="K2" s="508">
        <f>DATOS!E4</f>
        <v>2025</v>
      </c>
      <c r="L2" s="509" t="str">
        <f>DATOS!I4</f>
        <v>Febrero 2026</v>
      </c>
    </row>
    <row r="3" spans="2:12" x14ac:dyDescent="0.25">
      <c r="B3" s="339" t="s">
        <v>2803</v>
      </c>
      <c r="C3" s="339">
        <v>1.2</v>
      </c>
      <c r="D3" s="339"/>
      <c r="J3" t="s">
        <v>2872</v>
      </c>
    </row>
    <row r="4" spans="2:12" x14ac:dyDescent="0.25">
      <c r="B4" s="339" t="s">
        <v>2804</v>
      </c>
      <c r="C4" s="339">
        <v>1.35</v>
      </c>
      <c r="D4" s="339"/>
      <c r="J4" t="s">
        <v>2874</v>
      </c>
    </row>
    <row r="5" spans="2:12" x14ac:dyDescent="0.25">
      <c r="B5" s="339"/>
      <c r="C5" s="339"/>
      <c r="D5" s="339"/>
      <c r="J5" t="s">
        <v>2875</v>
      </c>
    </row>
    <row r="6" spans="2:12" x14ac:dyDescent="0.25">
      <c r="B6" s="339" t="s">
        <v>2898</v>
      </c>
      <c r="C6" s="339"/>
      <c r="D6" s="339"/>
      <c r="J6" t="s">
        <v>2880</v>
      </c>
    </row>
    <row r="7" spans="2:12" x14ac:dyDescent="0.25">
      <c r="B7" s="134" t="s">
        <v>2899</v>
      </c>
      <c r="C7" s="339"/>
      <c r="D7" s="339"/>
      <c r="J7" t="s">
        <v>2881</v>
      </c>
    </row>
    <row r="8" spans="2:12" x14ac:dyDescent="0.25">
      <c r="B8" s="134" t="s">
        <v>2900</v>
      </c>
      <c r="J8" t="s">
        <v>2882</v>
      </c>
    </row>
    <row r="9" spans="2:12" x14ac:dyDescent="0.25">
      <c r="J9" t="s">
        <v>2884</v>
      </c>
    </row>
    <row r="10" spans="2:12" x14ac:dyDescent="0.25">
      <c r="B10" s="103" t="s">
        <v>2901</v>
      </c>
      <c r="D10" s="404" t="s">
        <v>2902</v>
      </c>
      <c r="J10" t="s">
        <v>2888</v>
      </c>
    </row>
    <row r="11" spans="2:12" x14ac:dyDescent="0.25">
      <c r="B11" s="103" t="s">
        <v>2806</v>
      </c>
      <c r="D11" s="404"/>
    </row>
    <row r="12" spans="2:12" x14ac:dyDescent="0.25">
      <c r="B12" s="134" t="s">
        <v>2903</v>
      </c>
      <c r="D12" s="404" t="s">
        <v>2903</v>
      </c>
      <c r="J12" t="s">
        <v>2871</v>
      </c>
    </row>
    <row r="13" spans="2:12" ht="12.75" customHeight="1" x14ac:dyDescent="0.25">
      <c r="B13" s="134" t="s">
        <v>2904</v>
      </c>
      <c r="D13" s="404" t="s">
        <v>2904</v>
      </c>
      <c r="J13" t="s">
        <v>2873</v>
      </c>
    </row>
    <row r="14" spans="2:12" x14ac:dyDescent="0.25">
      <c r="J14" t="s">
        <v>2876</v>
      </c>
    </row>
    <row r="15" spans="2:12" ht="12.75" customHeight="1" x14ac:dyDescent="0.25">
      <c r="B15" s="103" t="s">
        <v>2905</v>
      </c>
    </row>
    <row r="16" spans="2:12" ht="12.75" customHeight="1" x14ac:dyDescent="0.25">
      <c r="B16" s="103" t="s">
        <v>2806</v>
      </c>
    </row>
    <row r="17" spans="2:4" x14ac:dyDescent="0.25">
      <c r="B17" s="134" t="s">
        <v>2906</v>
      </c>
    </row>
    <row r="18" spans="2:4" x14ac:dyDescent="0.25">
      <c r="B18" s="134" t="s">
        <v>2907</v>
      </c>
    </row>
    <row r="19" spans="2:4" x14ac:dyDescent="0.25">
      <c r="B19" s="134" t="s">
        <v>2908</v>
      </c>
    </row>
    <row r="20" spans="2:4" x14ac:dyDescent="0.25">
      <c r="B20" s="134" t="s">
        <v>2909</v>
      </c>
    </row>
    <row r="21" spans="2:4" x14ac:dyDescent="0.25">
      <c r="B21" s="134" t="s">
        <v>2724</v>
      </c>
      <c r="D21" s="404" t="s">
        <v>2910</v>
      </c>
    </row>
    <row r="22" spans="2:4" x14ac:dyDescent="0.25">
      <c r="B22" s="134"/>
      <c r="D22" s="404"/>
    </row>
    <row r="23" spans="2:4" x14ac:dyDescent="0.25">
      <c r="B23" s="499" t="s">
        <v>2911</v>
      </c>
    </row>
    <row r="24" spans="2:4" x14ac:dyDescent="0.25">
      <c r="B24" s="500" t="str">
        <f>CONCATENATE(Input!D24," ",DATOS!$E$4+1)</f>
        <v>Enero 2026</v>
      </c>
      <c r="C24">
        <v>1</v>
      </c>
      <c r="D24" s="404" t="s">
        <v>2912</v>
      </c>
    </row>
    <row r="25" spans="2:4" x14ac:dyDescent="0.25">
      <c r="B25" s="500" t="str">
        <f>CONCATENATE(Input!D25," ",DATOS!$E$4+1)</f>
        <v>Febrero 2026</v>
      </c>
      <c r="C25">
        <v>2</v>
      </c>
      <c r="D25" s="404" t="s">
        <v>2913</v>
      </c>
    </row>
    <row r="26" spans="2:4" x14ac:dyDescent="0.25">
      <c r="B26" s="500" t="str">
        <f>CONCATENATE(Input!D26," ",DATOS!$E$4+1)</f>
        <v>Marzo 2026</v>
      </c>
      <c r="C26">
        <v>3</v>
      </c>
      <c r="D26" s="404" t="s">
        <v>2914</v>
      </c>
    </row>
    <row r="27" spans="2:4" x14ac:dyDescent="0.25">
      <c r="B27" s="500" t="str">
        <f>CONCATENATE(Input!D27," ",DATOS!$E$4+1)</f>
        <v>Abril 2026</v>
      </c>
      <c r="C27">
        <v>4</v>
      </c>
      <c r="D27" s="404" t="s">
        <v>2915</v>
      </c>
    </row>
    <row r="28" spans="2:4" x14ac:dyDescent="0.25">
      <c r="B28" s="500" t="str">
        <f>CONCATENATE(Input!D28," ",DATOS!$E$4+1)</f>
        <v>Mayo 2026</v>
      </c>
      <c r="C28">
        <v>5</v>
      </c>
      <c r="D28" s="404" t="s">
        <v>2916</v>
      </c>
    </row>
    <row r="29" spans="2:4" x14ac:dyDescent="0.25">
      <c r="B29" s="500" t="str">
        <f>CONCATENATE(Input!D29," ",DATOS!$E$4+1)</f>
        <v>Junio 2026</v>
      </c>
      <c r="C29">
        <v>6</v>
      </c>
      <c r="D29" s="404" t="s">
        <v>2917</v>
      </c>
    </row>
    <row r="30" spans="2:4" x14ac:dyDescent="0.25">
      <c r="B30" s="500" t="str">
        <f>CONCATENATE(Input!D30," ",DATOS!$E$4+1)</f>
        <v>Julio 2026</v>
      </c>
      <c r="C30">
        <v>7</v>
      </c>
      <c r="D30" s="404" t="s">
        <v>2918</v>
      </c>
    </row>
    <row r="31" spans="2:4" x14ac:dyDescent="0.25">
      <c r="B31" s="500" t="str">
        <f>CONCATENATE(Input!D31," ",DATOS!$E$4+1)</f>
        <v>Agosto 2026</v>
      </c>
      <c r="C31">
        <v>8</v>
      </c>
      <c r="D31" s="404" t="s">
        <v>2919</v>
      </c>
    </row>
    <row r="32" spans="2:4" x14ac:dyDescent="0.25">
      <c r="B32" s="500" t="str">
        <f>CONCATENATE(Input!D32," ",DATOS!$E$4+1)</f>
        <v>Septiembre 2026</v>
      </c>
      <c r="C32">
        <v>9</v>
      </c>
      <c r="D32" s="404" t="s">
        <v>2920</v>
      </c>
    </row>
    <row r="33" spans="2:4" x14ac:dyDescent="0.25">
      <c r="B33" s="500" t="str">
        <f>CONCATENATE(Input!D33," ",DATOS!$E$4+1)</f>
        <v>Octubre 2026</v>
      </c>
      <c r="C33">
        <v>10</v>
      </c>
      <c r="D33" s="404" t="s">
        <v>2921</v>
      </c>
    </row>
    <row r="34" spans="2:4" x14ac:dyDescent="0.25">
      <c r="B34" s="500" t="str">
        <f>CONCATENATE(Input!D34," ",DATOS!$E$4+1)</f>
        <v>Noviembre 2026</v>
      </c>
      <c r="C34">
        <v>11</v>
      </c>
      <c r="D34" s="404" t="s">
        <v>2922</v>
      </c>
    </row>
    <row r="35" spans="2:4" x14ac:dyDescent="0.25">
      <c r="B35" s="500" t="str">
        <f>CONCATENATE(Input!D35," ",DATOS!$E$4+1)</f>
        <v>Diciembre 2026</v>
      </c>
      <c r="C35">
        <v>12</v>
      </c>
      <c r="D35" s="404" t="s">
        <v>2923</v>
      </c>
    </row>
    <row r="37" spans="2:4" x14ac:dyDescent="0.25">
      <c r="B37" s="498"/>
      <c r="D37" s="404"/>
    </row>
    <row r="38" spans="2:4" x14ac:dyDescent="0.25">
      <c r="B38" s="404"/>
      <c r="D38" s="404"/>
    </row>
    <row r="39" spans="2:4" x14ac:dyDescent="0.25">
      <c r="B39" s="404"/>
      <c r="D39" s="404"/>
    </row>
    <row r="41" spans="2:4" x14ac:dyDescent="0.25">
      <c r="B41" s="134" t="s">
        <v>2924</v>
      </c>
    </row>
    <row r="42" spans="2:4" x14ac:dyDescent="0.25">
      <c r="B42">
        <f ca="1">YEAR(TODAY())</f>
        <v>2026</v>
      </c>
    </row>
    <row r="46" spans="2:4" x14ac:dyDescent="0.25">
      <c r="B46" s="404" t="s">
        <v>2925</v>
      </c>
    </row>
    <row r="47" spans="2:4" x14ac:dyDescent="0.25">
      <c r="B47" s="501">
        <v>0.05</v>
      </c>
    </row>
    <row r="50" spans="2:2" x14ac:dyDescent="0.25">
      <c r="B50" s="498" t="s">
        <v>2902</v>
      </c>
    </row>
    <row r="51" spans="2:2" x14ac:dyDescent="0.25">
      <c r="B51" s="404" t="s">
        <v>2903</v>
      </c>
    </row>
    <row r="52" spans="2:2" x14ac:dyDescent="0.25">
      <c r="B52" s="404" t="s">
        <v>2904</v>
      </c>
    </row>
    <row r="53" spans="2:2" x14ac:dyDescent="0.25">
      <c r="B53" s="404" t="s">
        <v>2806</v>
      </c>
    </row>
    <row r="56" spans="2:2" x14ac:dyDescent="0.25">
      <c r="B56" s="404" t="s">
        <v>2926</v>
      </c>
    </row>
    <row r="57" spans="2:2" x14ac:dyDescent="0.25">
      <c r="B57" s="404" t="s">
        <v>2806</v>
      </c>
    </row>
    <row r="58" spans="2:2" x14ac:dyDescent="0.25">
      <c r="B58" s="404" t="s">
        <v>2927</v>
      </c>
    </row>
    <row r="59" spans="2:2" x14ac:dyDescent="0.25">
      <c r="B59" s="404" t="s">
        <v>2928</v>
      </c>
    </row>
    <row r="61" spans="2:2" x14ac:dyDescent="0.25">
      <c r="B61" s="498" t="s">
        <v>407</v>
      </c>
    </row>
    <row r="62" spans="2:2" x14ac:dyDescent="0.25">
      <c r="B62" s="404" t="s">
        <v>2929</v>
      </c>
    </row>
    <row r="63" spans="2:2" x14ac:dyDescent="0.25">
      <c r="B63" s="404" t="s">
        <v>2930</v>
      </c>
    </row>
    <row r="64" spans="2:2" x14ac:dyDescent="0.25">
      <c r="B64" s="404" t="s">
        <v>2931</v>
      </c>
    </row>
    <row r="65" spans="2:3" x14ac:dyDescent="0.25">
      <c r="B65" s="404" t="s">
        <v>2932</v>
      </c>
    </row>
    <row r="66" spans="2:3" x14ac:dyDescent="0.25">
      <c r="B66" s="404" t="s">
        <v>2933</v>
      </c>
    </row>
    <row r="67" spans="2:3" x14ac:dyDescent="0.25">
      <c r="B67" s="404" t="s">
        <v>2934</v>
      </c>
    </row>
    <row r="68" spans="2:3" x14ac:dyDescent="0.25">
      <c r="B68" s="404" t="s">
        <v>2935</v>
      </c>
    </row>
    <row r="69" spans="2:3" x14ac:dyDescent="0.25">
      <c r="B69" s="404" t="s">
        <v>2936</v>
      </c>
    </row>
    <row r="70" spans="2:3" x14ac:dyDescent="0.25">
      <c r="B70" s="404" t="s">
        <v>2937</v>
      </c>
    </row>
    <row r="71" spans="2:3" x14ac:dyDescent="0.25">
      <c r="B71" s="404" t="s">
        <v>2938</v>
      </c>
    </row>
    <row r="72" spans="2:3" x14ac:dyDescent="0.25">
      <c r="B72" s="404" t="s">
        <v>2724</v>
      </c>
    </row>
    <row r="73" spans="2:3" x14ac:dyDescent="0.25">
      <c r="B73" s="404" t="s">
        <v>2806</v>
      </c>
    </row>
    <row r="74" spans="2:3" x14ac:dyDescent="0.25">
      <c r="B74" s="404"/>
    </row>
    <row r="75" spans="2:3" x14ac:dyDescent="0.25">
      <c r="B75" s="404"/>
    </row>
    <row r="76" spans="2:3" x14ac:dyDescent="0.25">
      <c r="B76" s="498" t="s">
        <v>2831</v>
      </c>
    </row>
    <row r="77" spans="2:3" x14ac:dyDescent="0.25">
      <c r="B77" s="404" t="s">
        <v>2939</v>
      </c>
      <c r="C77">
        <v>2</v>
      </c>
    </row>
    <row r="78" spans="2:3" x14ac:dyDescent="0.25">
      <c r="B78" s="404" t="s">
        <v>2940</v>
      </c>
      <c r="C78">
        <v>2</v>
      </c>
    </row>
    <row r="79" spans="2:3" x14ac:dyDescent="0.25">
      <c r="B79" s="404" t="s">
        <v>2941</v>
      </c>
      <c r="C79">
        <v>2</v>
      </c>
    </row>
    <row r="80" spans="2:3" x14ac:dyDescent="0.25">
      <c r="B80" s="404" t="s">
        <v>2942</v>
      </c>
      <c r="C80">
        <v>3</v>
      </c>
    </row>
    <row r="81" spans="2:3" x14ac:dyDescent="0.25">
      <c r="B81" s="404" t="s">
        <v>2806</v>
      </c>
      <c r="C81" s="404" t="s">
        <v>2806</v>
      </c>
    </row>
    <row r="84" spans="2:3" x14ac:dyDescent="0.25">
      <c r="B84" s="498" t="s">
        <v>2943</v>
      </c>
    </row>
    <row r="85" spans="2:3" x14ac:dyDescent="0.25">
      <c r="B85" s="404" t="s">
        <v>2806</v>
      </c>
    </row>
    <row r="86" spans="2:3" x14ac:dyDescent="0.25">
      <c r="B86" s="404" t="s">
        <v>2944</v>
      </c>
    </row>
    <row r="87" spans="2:3" x14ac:dyDescent="0.25">
      <c r="B87" s="404" t="s">
        <v>2945</v>
      </c>
    </row>
    <row r="88" spans="2:3" x14ac:dyDescent="0.25">
      <c r="B88" s="404" t="s">
        <v>2946</v>
      </c>
    </row>
  </sheetData>
  <pageMargins left="0.7" right="0.7" top="0.75" bottom="0.75" header="0.51180555555555496" footer="0.51180555555555496"/>
  <pageSetup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4281</TotalTime>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10</vt:i4>
      </vt:variant>
    </vt:vector>
  </HeadingPairs>
  <TitlesOfParts>
    <vt:vector size="34" baseType="lpstr">
      <vt:lpstr>Bal</vt:lpstr>
      <vt:lpstr>resumen ejecutivo</vt:lpstr>
      <vt:lpstr>RIESGO ACTUAL</vt:lpstr>
      <vt:lpstr>TERRENOS</vt:lpstr>
      <vt:lpstr>ANEXO1</vt:lpstr>
      <vt:lpstr>CALIF</vt:lpstr>
      <vt:lpstr>Pre_calif</vt:lpstr>
      <vt:lpstr>sectores</vt:lpstr>
      <vt:lpstr>Hoja10</vt:lpstr>
      <vt:lpstr>Base</vt:lpstr>
      <vt:lpstr>Bal2</vt:lpstr>
      <vt:lpstr>PROY CLIENTE</vt:lpstr>
      <vt:lpstr>PROYECCIONES</vt:lpstr>
      <vt:lpstr>Flujo</vt:lpstr>
      <vt:lpstr>Proy banco</vt:lpstr>
      <vt:lpstr>Flujo banco</vt:lpstr>
      <vt:lpstr>ACS</vt:lpstr>
      <vt:lpstr>AF</vt:lpstr>
      <vt:lpstr>Sheet1</vt:lpstr>
      <vt:lpstr>TEASER</vt:lpstr>
      <vt:lpstr>DATOS</vt:lpstr>
      <vt:lpstr>Bancos</vt:lpstr>
      <vt:lpstr>AYUDA</vt:lpstr>
      <vt:lpstr>Input</vt:lpstr>
      <vt:lpstr>__xlnm._FilterDatabase</vt:lpstr>
      <vt:lpstr>Input!_FilterDatabase</vt:lpstr>
      <vt:lpstr>depreciacion_last_partial_anualizado</vt:lpstr>
      <vt:lpstr>depreciacion_PL_full_year</vt:lpstr>
      <vt:lpstr>depreciacion_PL_last_partial</vt:lpstr>
      <vt:lpstr>Excel_BuiltIn_Print_Area_5_1</vt:lpstr>
      <vt:lpstr>Excel_BuiltIn_Print_Area_5_1_3</vt:lpstr>
      <vt:lpstr>pagos_arrendamiento_mensual_full_year</vt:lpstr>
      <vt:lpstr>rating_buro</vt:lpstr>
      <vt:lpstr>TEASER!Texto1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Owen Black Brewer</dc:creator>
  <dc:description/>
  <cp:lastModifiedBy>BRYAN ALEXANDER BASTARRACHEA SANCHEZ</cp:lastModifiedBy>
  <cp:revision>7</cp:revision>
  <cp:lastPrinted>2019-02-21T16:19:29Z</cp:lastPrinted>
  <dcterms:created xsi:type="dcterms:W3CDTF">2018-11-21T04:52:07Z</dcterms:created>
  <dcterms:modified xsi:type="dcterms:W3CDTF">2026-05-15T19:21:59Z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