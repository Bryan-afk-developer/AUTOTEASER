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ryal\Downloads\"/>
    </mc:Choice>
  </mc:AlternateContent>
  <xr:revisionPtr revIDLastSave="0" documentId="13_ncr:1_{7754BD21-D104-4628-86C9-0406C69928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lance" sheetId="1" r:id="rId1"/>
    <sheet name="Edo de resultados" sheetId="2" r:id="rId2"/>
    <sheet name="Flujo" sheetId="3" r:id="rId3"/>
    <sheet name="Edo de res AN HORIZ" sheetId="4" r:id="rId4"/>
    <sheet name="inpu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43" i="1" s="1"/>
  <c r="D88" i="1" s="1"/>
  <c r="C12" i="5"/>
  <c r="B12" i="5"/>
  <c r="C9" i="5"/>
  <c r="B9" i="5"/>
  <c r="C7" i="5"/>
  <c r="B7" i="5"/>
  <c r="B6" i="5"/>
  <c r="B5" i="5"/>
  <c r="B92" i="4"/>
  <c r="W90" i="4"/>
  <c r="V90" i="4"/>
  <c r="S90" i="4"/>
  <c r="I90" i="4"/>
  <c r="H90" i="4"/>
  <c r="F90" i="4"/>
  <c r="U90" i="4" s="1"/>
  <c r="D90" i="4"/>
  <c r="B90" i="4"/>
  <c r="W89" i="4"/>
  <c r="O89" i="4"/>
  <c r="M89" i="4"/>
  <c r="N89" i="4" s="1"/>
  <c r="H89" i="4"/>
  <c r="G89" i="4"/>
  <c r="F89" i="4"/>
  <c r="D89" i="4"/>
  <c r="B89" i="4"/>
  <c r="U88" i="4"/>
  <c r="V88" i="4" s="1"/>
  <c r="S88" i="4"/>
  <c r="Q88" i="4"/>
  <c r="R88" i="4" s="1"/>
  <c r="O88" i="4"/>
  <c r="I88" i="4"/>
  <c r="H88" i="4"/>
  <c r="W88" i="4" s="1"/>
  <c r="G88" i="4"/>
  <c r="F88" i="4"/>
  <c r="D88" i="4"/>
  <c r="M88" i="4" s="1"/>
  <c r="N88" i="4" s="1"/>
  <c r="B88" i="4"/>
  <c r="H87" i="4"/>
  <c r="I87" i="4" s="1"/>
  <c r="F87" i="4"/>
  <c r="W87" i="4" s="1"/>
  <c r="D87" i="4"/>
  <c r="O87" i="4" s="1"/>
  <c r="B87" i="4"/>
  <c r="S86" i="4"/>
  <c r="R86" i="4"/>
  <c r="Q86" i="4"/>
  <c r="N86" i="4"/>
  <c r="M86" i="4"/>
  <c r="I86" i="4"/>
  <c r="H86" i="4"/>
  <c r="W86" i="4" s="1"/>
  <c r="G86" i="4"/>
  <c r="F86" i="4"/>
  <c r="F92" i="4" s="1"/>
  <c r="D86" i="4"/>
  <c r="B86" i="4"/>
  <c r="O86" i="4" s="1"/>
  <c r="H79" i="4"/>
  <c r="W77" i="4"/>
  <c r="H77" i="4"/>
  <c r="I77" i="4" s="1"/>
  <c r="F77" i="4"/>
  <c r="D77" i="4"/>
  <c r="M77" i="4" s="1"/>
  <c r="N77" i="4" s="1"/>
  <c r="B77" i="4"/>
  <c r="W76" i="4"/>
  <c r="M76" i="4"/>
  <c r="N76" i="4" s="1"/>
  <c r="I76" i="4"/>
  <c r="H76" i="4"/>
  <c r="U76" i="4" s="1"/>
  <c r="V76" i="4" s="1"/>
  <c r="F76" i="4"/>
  <c r="D76" i="4"/>
  <c r="B76" i="4"/>
  <c r="B79" i="4" s="1"/>
  <c r="S69" i="4"/>
  <c r="H69" i="4"/>
  <c r="W69" i="4" s="1"/>
  <c r="F69" i="4"/>
  <c r="D69" i="4"/>
  <c r="B69" i="4"/>
  <c r="M68" i="4"/>
  <c r="N68" i="4" s="1"/>
  <c r="H68" i="4"/>
  <c r="F68" i="4"/>
  <c r="B68" i="4"/>
  <c r="S67" i="4"/>
  <c r="I67" i="4"/>
  <c r="H67" i="4"/>
  <c r="F67" i="4"/>
  <c r="U67" i="4" s="1"/>
  <c r="V67" i="4" s="1"/>
  <c r="D67" i="4"/>
  <c r="B67" i="4"/>
  <c r="O66" i="4"/>
  <c r="M66" i="4"/>
  <c r="N66" i="4" s="1"/>
  <c r="H66" i="4"/>
  <c r="F66" i="4"/>
  <c r="D66" i="4"/>
  <c r="B66" i="4"/>
  <c r="U65" i="4"/>
  <c r="V65" i="4" s="1"/>
  <c r="I65" i="4"/>
  <c r="H65" i="4"/>
  <c r="F65" i="4"/>
  <c r="W65" i="4" s="1"/>
  <c r="D65" i="4"/>
  <c r="M65" i="4" s="1"/>
  <c r="N65" i="4" s="1"/>
  <c r="B65" i="4"/>
  <c r="H64" i="4"/>
  <c r="F64" i="4"/>
  <c r="D64" i="4"/>
  <c r="O64" i="4" s="1"/>
  <c r="B64" i="4"/>
  <c r="F53" i="4"/>
  <c r="D53" i="4"/>
  <c r="Q51" i="4"/>
  <c r="R51" i="4" s="1"/>
  <c r="O51" i="4"/>
  <c r="M51" i="4"/>
  <c r="N51" i="4" s="1"/>
  <c r="H51" i="4"/>
  <c r="F51" i="4"/>
  <c r="S51" i="4" s="1"/>
  <c r="D51" i="4"/>
  <c r="B51" i="4"/>
  <c r="W50" i="4"/>
  <c r="U50" i="4"/>
  <c r="V50" i="4" s="1"/>
  <c r="S50" i="4"/>
  <c r="Q50" i="4"/>
  <c r="R50" i="4" s="1"/>
  <c r="H50" i="4"/>
  <c r="I50" i="4" s="1"/>
  <c r="F50" i="4"/>
  <c r="D50" i="4"/>
  <c r="B50" i="4"/>
  <c r="O50" i="4" s="1"/>
  <c r="U44" i="4"/>
  <c r="V44" i="4" s="1"/>
  <c r="O44" i="4"/>
  <c r="H44" i="4"/>
  <c r="W44" i="4" s="1"/>
  <c r="F44" i="4"/>
  <c r="D44" i="4"/>
  <c r="S44" i="4" s="1"/>
  <c r="B44" i="4"/>
  <c r="U43" i="4"/>
  <c r="V43" i="4" s="1"/>
  <c r="H43" i="4"/>
  <c r="W43" i="4" s="1"/>
  <c r="F43" i="4"/>
  <c r="G51" i="4" s="1"/>
  <c r="D43" i="4"/>
  <c r="S43" i="4" s="1"/>
  <c r="B43" i="4"/>
  <c r="Q42" i="4"/>
  <c r="R42" i="4" s="1"/>
  <c r="O42" i="4"/>
  <c r="M42" i="4"/>
  <c r="N42" i="4" s="1"/>
  <c r="H42" i="4"/>
  <c r="F42" i="4"/>
  <c r="S42" i="4" s="1"/>
  <c r="D42" i="4"/>
  <c r="B42" i="4"/>
  <c r="R41" i="4"/>
  <c r="Q41" i="4"/>
  <c r="H41" i="4"/>
  <c r="G41" i="4"/>
  <c r="F41" i="4"/>
  <c r="W41" i="4" s="1"/>
  <c r="D41" i="4"/>
  <c r="B41" i="4"/>
  <c r="O40" i="4"/>
  <c r="M40" i="4"/>
  <c r="N40" i="4" s="1"/>
  <c r="H40" i="4"/>
  <c r="U40" i="4" s="1"/>
  <c r="V40" i="4" s="1"/>
  <c r="G40" i="4"/>
  <c r="F40" i="4"/>
  <c r="D40" i="4"/>
  <c r="B40" i="4"/>
  <c r="V39" i="4"/>
  <c r="U39" i="4"/>
  <c r="O39" i="4"/>
  <c r="H39" i="4"/>
  <c r="F39" i="4"/>
  <c r="W39" i="4" s="1"/>
  <c r="D39" i="4"/>
  <c r="S39" i="4" s="1"/>
  <c r="B39" i="4"/>
  <c r="H38" i="4"/>
  <c r="H46" i="4" s="1"/>
  <c r="G38" i="4"/>
  <c r="F38" i="4"/>
  <c r="D38" i="4"/>
  <c r="O38" i="4" s="1"/>
  <c r="B38" i="4"/>
  <c r="S37" i="4"/>
  <c r="Q37" i="4"/>
  <c r="R37" i="4" s="1"/>
  <c r="O37" i="4"/>
  <c r="M37" i="4"/>
  <c r="N37" i="4" s="1"/>
  <c r="H37" i="4"/>
  <c r="W37" i="4" s="1"/>
  <c r="F37" i="4"/>
  <c r="D37" i="4"/>
  <c r="B37" i="4"/>
  <c r="H32" i="4"/>
  <c r="Q29" i="4"/>
  <c r="R29" i="4" s="1"/>
  <c r="O29" i="4"/>
  <c r="M29" i="4"/>
  <c r="N29" i="4" s="1"/>
  <c r="H29" i="4"/>
  <c r="F29" i="4"/>
  <c r="S29" i="4" s="1"/>
  <c r="D29" i="4"/>
  <c r="B29" i="4"/>
  <c r="U28" i="4"/>
  <c r="V28" i="4" s="1"/>
  <c r="H28" i="4"/>
  <c r="F28" i="4"/>
  <c r="B28" i="4"/>
  <c r="M27" i="4"/>
  <c r="N27" i="4" s="1"/>
  <c r="H27" i="4"/>
  <c r="F27" i="4"/>
  <c r="D27" i="4"/>
  <c r="O27" i="4" s="1"/>
  <c r="B27" i="4"/>
  <c r="U26" i="4"/>
  <c r="V26" i="4" s="1"/>
  <c r="H26" i="4"/>
  <c r="W26" i="4" s="1"/>
  <c r="F26" i="4"/>
  <c r="D26" i="4"/>
  <c r="B26" i="4"/>
  <c r="H25" i="4"/>
  <c r="F25" i="4"/>
  <c r="D25" i="4"/>
  <c r="B25" i="4"/>
  <c r="R24" i="4"/>
  <c r="Q24" i="4"/>
  <c r="H24" i="4"/>
  <c r="F24" i="4"/>
  <c r="S24" i="4" s="1"/>
  <c r="D24" i="4"/>
  <c r="B24" i="4"/>
  <c r="W23" i="4"/>
  <c r="H23" i="4"/>
  <c r="F23" i="4"/>
  <c r="U23" i="4" s="1"/>
  <c r="V23" i="4" s="1"/>
  <c r="D23" i="4"/>
  <c r="B23" i="4"/>
  <c r="B32" i="4" s="1"/>
  <c r="O22" i="4"/>
  <c r="M22" i="4"/>
  <c r="N22" i="4" s="1"/>
  <c r="H22" i="4"/>
  <c r="F22" i="4"/>
  <c r="D22" i="4"/>
  <c r="B22" i="4"/>
  <c r="W12" i="4"/>
  <c r="O12" i="4"/>
  <c r="N12" i="4"/>
  <c r="M12" i="4"/>
  <c r="H12" i="4"/>
  <c r="U12" i="4" s="1"/>
  <c r="V12" i="4" s="1"/>
  <c r="F12" i="4"/>
  <c r="S12" i="4" s="1"/>
  <c r="D12" i="4"/>
  <c r="B12" i="4"/>
  <c r="H10" i="4"/>
  <c r="J10" i="4" s="1"/>
  <c r="F10" i="4"/>
  <c r="D10" i="4"/>
  <c r="C10" i="4"/>
  <c r="B10" i="4"/>
  <c r="J9" i="4"/>
  <c r="K9" i="4" s="1"/>
  <c r="H9" i="4"/>
  <c r="H6" i="4"/>
  <c r="S5" i="4"/>
  <c r="Q5" i="4"/>
  <c r="R5" i="4" s="1"/>
  <c r="K5" i="4"/>
  <c r="J5" i="4"/>
  <c r="I5" i="4"/>
  <c r="H5" i="4"/>
  <c r="U5" i="4" s="1"/>
  <c r="V5" i="4" s="1"/>
  <c r="F5" i="4"/>
  <c r="D5" i="4"/>
  <c r="B5" i="4"/>
  <c r="C5" i="4" s="1"/>
  <c r="H4" i="4"/>
  <c r="J4" i="4" s="1"/>
  <c r="J6" i="4" s="1"/>
  <c r="F4" i="4"/>
  <c r="D4" i="4"/>
  <c r="B4" i="4"/>
  <c r="C12" i="4" s="1"/>
  <c r="K2" i="4"/>
  <c r="A1" i="4"/>
  <c r="J29" i="2"/>
  <c r="H29" i="2"/>
  <c r="C14" i="5" s="1"/>
  <c r="F29" i="2"/>
  <c r="B14" i="5" s="1"/>
  <c r="D29" i="2"/>
  <c r="K24" i="2"/>
  <c r="J24" i="2"/>
  <c r="I24" i="2"/>
  <c r="G24" i="2"/>
  <c r="E24" i="2"/>
  <c r="C24" i="2"/>
  <c r="J21" i="2"/>
  <c r="I21" i="2"/>
  <c r="G21" i="2"/>
  <c r="E21" i="2"/>
  <c r="C21" i="2"/>
  <c r="J20" i="2"/>
  <c r="I20" i="2"/>
  <c r="G20" i="2"/>
  <c r="E20" i="2"/>
  <c r="C20" i="2"/>
  <c r="I18" i="2"/>
  <c r="H18" i="2"/>
  <c r="F18" i="2"/>
  <c r="D18" i="2"/>
  <c r="C18" i="2"/>
  <c r="B18" i="2"/>
  <c r="B9" i="4" s="1"/>
  <c r="C9" i="4" s="1"/>
  <c r="J17" i="2"/>
  <c r="I17" i="2"/>
  <c r="G17" i="2"/>
  <c r="E17" i="2"/>
  <c r="C17" i="2"/>
  <c r="J16" i="2"/>
  <c r="K16" i="2" s="1"/>
  <c r="I16" i="2"/>
  <c r="G16" i="2"/>
  <c r="E16" i="2"/>
  <c r="C16" i="2"/>
  <c r="J15" i="2"/>
  <c r="I15" i="2"/>
  <c r="G15" i="2"/>
  <c r="E15" i="2"/>
  <c r="C15" i="2"/>
  <c r="H14" i="2"/>
  <c r="F14" i="2"/>
  <c r="B13" i="5" s="1"/>
  <c r="H12" i="2"/>
  <c r="I12" i="2" s="1"/>
  <c r="F12" i="2"/>
  <c r="F7" i="4" s="1"/>
  <c r="E12" i="2"/>
  <c r="D12" i="2"/>
  <c r="D7" i="4" s="1"/>
  <c r="C12" i="2"/>
  <c r="B12" i="2"/>
  <c r="B7" i="4" s="1"/>
  <c r="C7" i="4" s="1"/>
  <c r="J11" i="2"/>
  <c r="I11" i="2"/>
  <c r="G11" i="2"/>
  <c r="E11" i="2"/>
  <c r="C11" i="2"/>
  <c r="J10" i="2"/>
  <c r="J12" i="2" s="1"/>
  <c r="I10" i="2"/>
  <c r="G10" i="2"/>
  <c r="E10" i="2"/>
  <c r="C10" i="2"/>
  <c r="I9" i="2"/>
  <c r="H9" i="2"/>
  <c r="G9" i="2"/>
  <c r="F9" i="2"/>
  <c r="E9" i="2"/>
  <c r="D9" i="2"/>
  <c r="B9" i="2"/>
  <c r="J8" i="2"/>
  <c r="K8" i="2" s="1"/>
  <c r="I8" i="2"/>
  <c r="G8" i="2"/>
  <c r="E8" i="2"/>
  <c r="C8" i="2"/>
  <c r="J7" i="2"/>
  <c r="B3" i="2"/>
  <c r="A1" i="2"/>
  <c r="K112" i="1"/>
  <c r="K105" i="1"/>
  <c r="N103" i="1"/>
  <c r="M103" i="1"/>
  <c r="L103" i="1"/>
  <c r="K103" i="1"/>
  <c r="N101" i="1"/>
  <c r="N105" i="1" s="1"/>
  <c r="L101" i="1"/>
  <c r="L105" i="1" s="1"/>
  <c r="N100" i="1"/>
  <c r="M100" i="1"/>
  <c r="L100" i="1"/>
  <c r="K100" i="1"/>
  <c r="N99" i="1"/>
  <c r="M99" i="1"/>
  <c r="M101" i="1" s="1"/>
  <c r="M105" i="1" s="1"/>
  <c r="L99" i="1"/>
  <c r="K99" i="1"/>
  <c r="K101" i="1" s="1"/>
  <c r="D82" i="1"/>
  <c r="B82" i="1"/>
  <c r="H80" i="1"/>
  <c r="H82" i="1" s="1"/>
  <c r="F80" i="1"/>
  <c r="F82" i="1" s="1"/>
  <c r="D80" i="1"/>
  <c r="B80" i="1"/>
  <c r="M75" i="1"/>
  <c r="H67" i="1"/>
  <c r="F67" i="1"/>
  <c r="D67" i="1"/>
  <c r="B67" i="1"/>
  <c r="B70" i="1" s="1"/>
  <c r="F61" i="1"/>
  <c r="B61" i="1"/>
  <c r="D68" i="4"/>
  <c r="Q68" i="4" s="1"/>
  <c r="R68" i="4" s="1"/>
  <c r="F45" i="1"/>
  <c r="G45" i="1" s="1"/>
  <c r="F43" i="1"/>
  <c r="G28" i="1" s="1"/>
  <c r="H40" i="1"/>
  <c r="F40" i="1"/>
  <c r="D40" i="1"/>
  <c r="B40" i="1"/>
  <c r="N39" i="1"/>
  <c r="N114" i="1" s="1"/>
  <c r="M39" i="1"/>
  <c r="M114" i="1" s="1"/>
  <c r="K39" i="1"/>
  <c r="K114" i="1" s="1"/>
  <c r="G37" i="1"/>
  <c r="N36" i="1"/>
  <c r="M36" i="1"/>
  <c r="L36" i="1"/>
  <c r="L39" i="1" s="1"/>
  <c r="L114" i="1" s="1"/>
  <c r="K36" i="1"/>
  <c r="H33" i="1"/>
  <c r="C4" i="5" s="1"/>
  <c r="F33" i="1"/>
  <c r="D33" i="1"/>
  <c r="B33" i="1"/>
  <c r="K71" i="1" s="1"/>
  <c r="N32" i="1"/>
  <c r="N111" i="1" s="1"/>
  <c r="M32" i="1"/>
  <c r="M111" i="1" s="1"/>
  <c r="L32" i="1"/>
  <c r="L111" i="1" s="1"/>
  <c r="G30" i="1"/>
  <c r="N28" i="1"/>
  <c r="M28" i="1"/>
  <c r="L28" i="1"/>
  <c r="K28" i="1"/>
  <c r="K32" i="1" s="1"/>
  <c r="K111" i="1" s="1"/>
  <c r="G25" i="1"/>
  <c r="L24" i="1"/>
  <c r="L110" i="1" s="1"/>
  <c r="L112" i="1" s="1"/>
  <c r="N20" i="1"/>
  <c r="N24" i="1" s="1"/>
  <c r="N110" i="1" s="1"/>
  <c r="N112" i="1" s="1"/>
  <c r="M20" i="1"/>
  <c r="M24" i="1" s="1"/>
  <c r="M110" i="1" s="1"/>
  <c r="M112" i="1" s="1"/>
  <c r="L20" i="1"/>
  <c r="K20" i="1"/>
  <c r="K24" i="1" s="1"/>
  <c r="K110" i="1" s="1"/>
  <c r="H19" i="1"/>
  <c r="C3" i="5" s="1"/>
  <c r="F19" i="1"/>
  <c r="B3" i="5" s="1"/>
  <c r="B19" i="1"/>
  <c r="M16" i="1"/>
  <c r="K16" i="1"/>
  <c r="G16" i="1"/>
  <c r="M12" i="1"/>
  <c r="M8" i="1"/>
  <c r="N3" i="1"/>
  <c r="M3" i="1"/>
  <c r="L3" i="1"/>
  <c r="K3" i="1"/>
  <c r="D3" i="1"/>
  <c r="F3" i="1" s="1"/>
  <c r="H54" i="3"/>
  <c r="F54" i="3"/>
  <c r="D54" i="3"/>
  <c r="H50" i="3"/>
  <c r="F50" i="3"/>
  <c r="D50" i="3"/>
  <c r="L49" i="3"/>
  <c r="J49" i="3"/>
  <c r="L48" i="3"/>
  <c r="G41" i="3"/>
  <c r="E41" i="3"/>
  <c r="C41" i="3"/>
  <c r="M40" i="3"/>
  <c r="G40" i="3" s="1"/>
  <c r="L40" i="3"/>
  <c r="J40" i="3"/>
  <c r="G39" i="3"/>
  <c r="E39" i="3"/>
  <c r="C39" i="3"/>
  <c r="M38" i="3"/>
  <c r="L38" i="3"/>
  <c r="K38" i="3"/>
  <c r="C38" i="3" s="1"/>
  <c r="J38" i="3"/>
  <c r="M37" i="3"/>
  <c r="G37" i="3" s="1"/>
  <c r="L37" i="3"/>
  <c r="K37" i="3"/>
  <c r="J37" i="3"/>
  <c r="E37" i="3"/>
  <c r="C37" i="3"/>
  <c r="M36" i="3"/>
  <c r="G36" i="3" s="1"/>
  <c r="L36" i="3"/>
  <c r="K36" i="3"/>
  <c r="C36" i="3" s="1"/>
  <c r="J36" i="3"/>
  <c r="E36" i="3"/>
  <c r="M35" i="3"/>
  <c r="L35" i="3"/>
  <c r="K35" i="3"/>
  <c r="J35" i="3"/>
  <c r="C35" i="3" s="1"/>
  <c r="G35" i="3"/>
  <c r="E35" i="3"/>
  <c r="M31" i="3"/>
  <c r="L31" i="3"/>
  <c r="G31" i="3" s="1"/>
  <c r="K31" i="3"/>
  <c r="J31" i="3"/>
  <c r="E31" i="3"/>
  <c r="C31" i="3"/>
  <c r="M30" i="3"/>
  <c r="G30" i="3" s="1"/>
  <c r="L30" i="3"/>
  <c r="K30" i="3"/>
  <c r="C30" i="3" s="1"/>
  <c r="J30" i="3"/>
  <c r="E30" i="3"/>
  <c r="M29" i="3"/>
  <c r="L29" i="3"/>
  <c r="K29" i="3"/>
  <c r="J29" i="3"/>
  <c r="C29" i="3" s="1"/>
  <c r="G29" i="3"/>
  <c r="E29" i="3"/>
  <c r="M28" i="3"/>
  <c r="L28" i="3"/>
  <c r="G28" i="3" s="1"/>
  <c r="K28" i="3"/>
  <c r="J28" i="3"/>
  <c r="C28" i="3" s="1"/>
  <c r="E28" i="3"/>
  <c r="M27" i="3"/>
  <c r="L27" i="3"/>
  <c r="G27" i="3" s="1"/>
  <c r="K27" i="3"/>
  <c r="J27" i="3"/>
  <c r="C27" i="3" s="1"/>
  <c r="M26" i="3"/>
  <c r="L26" i="3"/>
  <c r="G26" i="3" s="1"/>
  <c r="K26" i="3"/>
  <c r="E26" i="3" s="1"/>
  <c r="J26" i="3"/>
  <c r="C26" i="3"/>
  <c r="M25" i="3"/>
  <c r="L25" i="3"/>
  <c r="K25" i="3"/>
  <c r="J25" i="3"/>
  <c r="C25" i="3"/>
  <c r="J20" i="3"/>
  <c r="G20" i="3"/>
  <c r="E20" i="3"/>
  <c r="C20" i="3"/>
  <c r="M19" i="3"/>
  <c r="L19" i="3"/>
  <c r="E19" i="3" s="1"/>
  <c r="K19" i="3"/>
  <c r="J19" i="3"/>
  <c r="G19" i="3"/>
  <c r="C19" i="3"/>
  <c r="M18" i="3"/>
  <c r="L18" i="3"/>
  <c r="K18" i="3"/>
  <c r="J18" i="3"/>
  <c r="G18" i="3"/>
  <c r="M17" i="3"/>
  <c r="L17" i="3"/>
  <c r="K17" i="3"/>
  <c r="C17" i="3" s="1"/>
  <c r="J17" i="3"/>
  <c r="G17" i="3"/>
  <c r="M16" i="3"/>
  <c r="G16" i="3" s="1"/>
  <c r="L16" i="3"/>
  <c r="K16" i="3"/>
  <c r="C16" i="3" s="1"/>
  <c r="J16" i="3"/>
  <c r="M15" i="3"/>
  <c r="G15" i="3" s="1"/>
  <c r="L15" i="3"/>
  <c r="K15" i="3"/>
  <c r="J15" i="3"/>
  <c r="E15" i="3"/>
  <c r="C15" i="3"/>
  <c r="M14" i="3"/>
  <c r="G14" i="3" s="1"/>
  <c r="L14" i="3"/>
  <c r="K14" i="3"/>
  <c r="C14" i="3" s="1"/>
  <c r="J14" i="3"/>
  <c r="E14" i="3"/>
  <c r="M13" i="3"/>
  <c r="L13" i="3"/>
  <c r="K13" i="3"/>
  <c r="J13" i="3"/>
  <c r="C13" i="3" s="1"/>
  <c r="G13" i="3"/>
  <c r="E13" i="3"/>
  <c r="M12" i="3"/>
  <c r="L12" i="3"/>
  <c r="G12" i="3" s="1"/>
  <c r="K12" i="3"/>
  <c r="J12" i="3"/>
  <c r="C12" i="3" s="1"/>
  <c r="E12" i="3"/>
  <c r="M11" i="3"/>
  <c r="L11" i="3"/>
  <c r="G11" i="3" s="1"/>
  <c r="K11" i="3"/>
  <c r="J11" i="3"/>
  <c r="C11" i="3" s="1"/>
  <c r="M10" i="3"/>
  <c r="L10" i="3"/>
  <c r="G10" i="3" s="1"/>
  <c r="K10" i="3"/>
  <c r="E10" i="3" s="1"/>
  <c r="J10" i="3"/>
  <c r="C10" i="3"/>
  <c r="M9" i="3"/>
  <c r="L9" i="3"/>
  <c r="K9" i="3"/>
  <c r="C9" i="3" s="1"/>
  <c r="J9" i="3"/>
  <c r="M8" i="3"/>
  <c r="L8" i="3"/>
  <c r="K8" i="3"/>
  <c r="J8" i="3"/>
  <c r="G8" i="3"/>
  <c r="E8" i="3"/>
  <c r="C8" i="3"/>
  <c r="M7" i="3"/>
  <c r="L7" i="3"/>
  <c r="E7" i="3" s="1"/>
  <c r="K7" i="3"/>
  <c r="J7" i="3"/>
  <c r="G7" i="3"/>
  <c r="C7" i="3"/>
  <c r="M6" i="3"/>
  <c r="L6" i="3"/>
  <c r="K6" i="3"/>
  <c r="E6" i="3" s="1"/>
  <c r="J6" i="3"/>
  <c r="C6" i="3" s="1"/>
  <c r="G6" i="3"/>
  <c r="M5" i="3"/>
  <c r="L5" i="3"/>
  <c r="K5" i="3"/>
  <c r="E5" i="3" s="1"/>
  <c r="J5" i="3"/>
  <c r="G5" i="3"/>
  <c r="M4" i="3"/>
  <c r="L4" i="3"/>
  <c r="K4" i="3"/>
  <c r="J4" i="3"/>
  <c r="C1" i="3"/>
  <c r="E1" i="3" s="1"/>
  <c r="E16" i="3" l="1"/>
  <c r="N116" i="1"/>
  <c r="N118" i="1"/>
  <c r="E4" i="3"/>
  <c r="C4" i="3"/>
  <c r="C5" i="3"/>
  <c r="B14" i="2"/>
  <c r="C9" i="2"/>
  <c r="H8" i="4"/>
  <c r="C13" i="5"/>
  <c r="N67" i="1"/>
  <c r="N75" i="1"/>
  <c r="I14" i="2"/>
  <c r="G1" i="3"/>
  <c r="K2" i="3"/>
  <c r="B2" i="5"/>
  <c r="H3" i="1"/>
  <c r="C2" i="5" s="1"/>
  <c r="K47" i="1"/>
  <c r="B10" i="5"/>
  <c r="Q4" i="4"/>
  <c r="R4" i="4" s="1"/>
  <c r="G5" i="4"/>
  <c r="G12" i="4"/>
  <c r="S4" i="4"/>
  <c r="F6" i="4"/>
  <c r="C10" i="5"/>
  <c r="I6" i="4"/>
  <c r="W6" i="4"/>
  <c r="U6" i="4"/>
  <c r="V6" i="4" s="1"/>
  <c r="Q25" i="4"/>
  <c r="R25" i="4" s="1"/>
  <c r="W25" i="4"/>
  <c r="U25" i="4"/>
  <c r="V25" i="4" s="1"/>
  <c r="S25" i="4"/>
  <c r="F32" i="4"/>
  <c r="W32" i="4"/>
  <c r="U32" i="4"/>
  <c r="V32" i="4" s="1"/>
  <c r="L118" i="1"/>
  <c r="L116" i="1"/>
  <c r="B8" i="5"/>
  <c r="B84" i="1"/>
  <c r="K118" i="1"/>
  <c r="K116" i="1"/>
  <c r="E38" i="3"/>
  <c r="B3" i="4"/>
  <c r="D3" i="2"/>
  <c r="G38" i="3"/>
  <c r="L71" i="1"/>
  <c r="E33" i="1"/>
  <c r="B43" i="1"/>
  <c r="K43" i="1" s="1"/>
  <c r="C40" i="1"/>
  <c r="F70" i="1"/>
  <c r="G9" i="3"/>
  <c r="E9" i="3"/>
  <c r="J48" i="3"/>
  <c r="E17" i="3"/>
  <c r="G18" i="1"/>
  <c r="M71" i="1"/>
  <c r="G33" i="1"/>
  <c r="B4" i="5"/>
  <c r="D9" i="4"/>
  <c r="E18" i="2"/>
  <c r="O24" i="4"/>
  <c r="M24" i="4"/>
  <c r="N24" i="4" s="1"/>
  <c r="F9" i="4"/>
  <c r="G18" i="2"/>
  <c r="G4" i="3"/>
  <c r="E11" i="3"/>
  <c r="C18" i="3"/>
  <c r="E18" i="3"/>
  <c r="E27" i="3"/>
  <c r="I40" i="1"/>
  <c r="D32" i="3"/>
  <c r="G25" i="3"/>
  <c r="H32" i="3" s="1"/>
  <c r="E25" i="3"/>
  <c r="F32" i="3" s="1"/>
  <c r="M116" i="1"/>
  <c r="M118" i="1"/>
  <c r="K8" i="1"/>
  <c r="K12" i="1"/>
  <c r="E19" i="1"/>
  <c r="H44" i="3"/>
  <c r="G19" i="1"/>
  <c r="M83" i="1"/>
  <c r="G39" i="1"/>
  <c r="G29" i="1"/>
  <c r="G27" i="1"/>
  <c r="G17" i="1"/>
  <c r="G15" i="1"/>
  <c r="M55" i="1"/>
  <c r="G38" i="1"/>
  <c r="G31" i="1"/>
  <c r="G26" i="1"/>
  <c r="G24" i="1"/>
  <c r="G43" i="1"/>
  <c r="G14" i="1"/>
  <c r="G12" i="1"/>
  <c r="G9" i="1"/>
  <c r="G13" i="1"/>
  <c r="G11" i="1"/>
  <c r="G40" i="1"/>
  <c r="G10" i="1"/>
  <c r="H19" i="2"/>
  <c r="U29" i="4"/>
  <c r="V29" i="4" s="1"/>
  <c r="W29" i="4"/>
  <c r="C33" i="1"/>
  <c r="C67" i="1"/>
  <c r="G14" i="2"/>
  <c r="E5" i="4"/>
  <c r="M4" i="4"/>
  <c r="N4" i="4" s="1"/>
  <c r="E12" i="4"/>
  <c r="O4" i="4"/>
  <c r="H7" i="4"/>
  <c r="F8" i="4"/>
  <c r="I9" i="4"/>
  <c r="D28" i="4"/>
  <c r="Q28" i="4" s="1"/>
  <c r="R28" i="4" s="1"/>
  <c r="Q38" i="4"/>
  <c r="R38" i="4" s="1"/>
  <c r="S38" i="4"/>
  <c r="M67" i="4"/>
  <c r="N67" i="4" s="1"/>
  <c r="O67" i="4"/>
  <c r="S68" i="4"/>
  <c r="U87" i="4"/>
  <c r="V87" i="4" s="1"/>
  <c r="O25" i="4"/>
  <c r="M25" i="4"/>
  <c r="N25" i="4" s="1"/>
  <c r="U68" i="4"/>
  <c r="V68" i="4" s="1"/>
  <c r="W68" i="4"/>
  <c r="O7" i="4"/>
  <c r="E7" i="4"/>
  <c r="K6" i="4"/>
  <c r="M23" i="4"/>
  <c r="N23" i="4" s="1"/>
  <c r="O23" i="4"/>
  <c r="Q27" i="4"/>
  <c r="R27" i="4" s="1"/>
  <c r="S27" i="4"/>
  <c r="Q44" i="4"/>
  <c r="R44" i="4" s="1"/>
  <c r="B53" i="4"/>
  <c r="Q64" i="4"/>
  <c r="R64" i="4" s="1"/>
  <c r="F73" i="4"/>
  <c r="S64" i="4"/>
  <c r="S66" i="4"/>
  <c r="Q66" i="4"/>
  <c r="R66" i="4" s="1"/>
  <c r="I68" i="4"/>
  <c r="I69" i="4"/>
  <c r="C5" i="5"/>
  <c r="K12" i="2"/>
  <c r="Q7" i="4"/>
  <c r="R7" i="4" s="1"/>
  <c r="S7" i="4"/>
  <c r="F30" i="2"/>
  <c r="M5" i="4"/>
  <c r="N5" i="4" s="1"/>
  <c r="M7" i="4"/>
  <c r="N7" i="4" s="1"/>
  <c r="S22" i="4"/>
  <c r="Q22" i="4"/>
  <c r="R22" i="4" s="1"/>
  <c r="U24" i="4"/>
  <c r="V24" i="4" s="1"/>
  <c r="W24" i="4"/>
  <c r="M26" i="4"/>
  <c r="N26" i="4" s="1"/>
  <c r="U27" i="4"/>
  <c r="V27" i="4" s="1"/>
  <c r="M38" i="4"/>
  <c r="N38" i="4" s="1"/>
  <c r="Q39" i="4"/>
  <c r="R39" i="4" s="1"/>
  <c r="S41" i="4"/>
  <c r="O53" i="4"/>
  <c r="H73" i="4"/>
  <c r="U66" i="4"/>
  <c r="V66" i="4" s="1"/>
  <c r="O68" i="4"/>
  <c r="U69" i="4"/>
  <c r="V69" i="4" s="1"/>
  <c r="D79" i="4"/>
  <c r="M90" i="4"/>
  <c r="N90" i="4" s="1"/>
  <c r="H92" i="4"/>
  <c r="H43" i="1"/>
  <c r="C8" i="5"/>
  <c r="K10" i="2"/>
  <c r="G12" i="2"/>
  <c r="H30" i="2"/>
  <c r="U4" i="4"/>
  <c r="V4" i="4" s="1"/>
  <c r="U38" i="4"/>
  <c r="V38" i="4" s="1"/>
  <c r="U41" i="4"/>
  <c r="V41" i="4" s="1"/>
  <c r="M50" i="4"/>
  <c r="N50" i="4" s="1"/>
  <c r="I64" i="4"/>
  <c r="I66" i="4"/>
  <c r="S77" i="4"/>
  <c r="B94" i="4"/>
  <c r="C92" i="4" s="1"/>
  <c r="N71" i="1"/>
  <c r="O5" i="4"/>
  <c r="U22" i="4"/>
  <c r="V22" i="4" s="1"/>
  <c r="O26" i="4"/>
  <c r="W40" i="4"/>
  <c r="Q53" i="4"/>
  <c r="R53" i="4" s="1"/>
  <c r="M64" i="4"/>
  <c r="N64" i="4" s="1"/>
  <c r="O65" i="4"/>
  <c r="Q67" i="4"/>
  <c r="R67" i="4" s="1"/>
  <c r="B73" i="4"/>
  <c r="Q76" i="4"/>
  <c r="R76" i="4" s="1"/>
  <c r="F79" i="4"/>
  <c r="S76" i="4"/>
  <c r="M67" i="1"/>
  <c r="W4" i="4"/>
  <c r="I12" i="4"/>
  <c r="Q23" i="4"/>
  <c r="R23" i="4" s="1"/>
  <c r="Q26" i="4"/>
  <c r="R26" i="4" s="1"/>
  <c r="W38" i="4"/>
  <c r="F46" i="4"/>
  <c r="U46" i="4" s="1"/>
  <c r="V46" i="4" s="1"/>
  <c r="G50" i="4"/>
  <c r="U64" i="4"/>
  <c r="V64" i="4" s="1"/>
  <c r="Q65" i="4"/>
  <c r="R65" i="4" s="1"/>
  <c r="O77" i="4"/>
  <c r="B82" i="4"/>
  <c r="C77" i="4" s="1"/>
  <c r="D92" i="4"/>
  <c r="S89" i="4"/>
  <c r="Q89" i="4"/>
  <c r="R89" i="4" s="1"/>
  <c r="G90" i="4"/>
  <c r="J9" i="2"/>
  <c r="K21" i="2"/>
  <c r="K20" i="2"/>
  <c r="K12" i="4"/>
  <c r="O43" i="4"/>
  <c r="M43" i="4"/>
  <c r="N43" i="4" s="1"/>
  <c r="U51" i="4"/>
  <c r="V51" i="4" s="1"/>
  <c r="W51" i="4"/>
  <c r="H53" i="4"/>
  <c r="D73" i="4"/>
  <c r="Q77" i="4"/>
  <c r="R77" i="4" s="1"/>
  <c r="F94" i="4"/>
  <c r="G92" i="4" s="1"/>
  <c r="Q87" i="4"/>
  <c r="R87" i="4" s="1"/>
  <c r="G87" i="4"/>
  <c r="S87" i="4"/>
  <c r="Q92" i="4"/>
  <c r="R92" i="4" s="1"/>
  <c r="D61" i="1"/>
  <c r="D70" i="1" s="1"/>
  <c r="D84" i="1" s="1"/>
  <c r="D14" i="2"/>
  <c r="J18" i="2"/>
  <c r="K18" i="2" s="1"/>
  <c r="B6" i="4"/>
  <c r="C6" i="4" s="1"/>
  <c r="E10" i="4"/>
  <c r="S23" i="4"/>
  <c r="S26" i="4"/>
  <c r="W27" i="4"/>
  <c r="B46" i="4"/>
  <c r="M41" i="4"/>
  <c r="N41" i="4" s="1"/>
  <c r="O41" i="4"/>
  <c r="G44" i="4"/>
  <c r="W64" i="4"/>
  <c r="S65" i="4"/>
  <c r="W66" i="4"/>
  <c r="O69" i="4"/>
  <c r="M69" i="4"/>
  <c r="N69" i="4" s="1"/>
  <c r="I89" i="4"/>
  <c r="U89" i="4"/>
  <c r="V89" i="4" s="1"/>
  <c r="I19" i="1"/>
  <c r="K15" i="2"/>
  <c r="K17" i="2"/>
  <c r="G10" i="4"/>
  <c r="W28" i="4"/>
  <c r="M39" i="4"/>
  <c r="N39" i="4" s="1"/>
  <c r="G39" i="4"/>
  <c r="G42" i="4"/>
  <c r="Q43" i="4"/>
  <c r="R43" i="4" s="1"/>
  <c r="G37" i="4"/>
  <c r="S53" i="4"/>
  <c r="W67" i="4"/>
  <c r="U77" i="4"/>
  <c r="V77" i="4" s="1"/>
  <c r="Q90" i="4"/>
  <c r="R90" i="4" s="1"/>
  <c r="H61" i="1"/>
  <c r="K11" i="2"/>
  <c r="F19" i="2"/>
  <c r="D6" i="4"/>
  <c r="G7" i="4"/>
  <c r="W22" i="4"/>
  <c r="D32" i="4"/>
  <c r="D46" i="4"/>
  <c r="S40" i="4"/>
  <c r="Q40" i="4"/>
  <c r="R40" i="4" s="1"/>
  <c r="U42" i="4"/>
  <c r="V42" i="4" s="1"/>
  <c r="W42" i="4"/>
  <c r="G43" i="4"/>
  <c r="M44" i="4"/>
  <c r="N44" i="4" s="1"/>
  <c r="Q69" i="4"/>
  <c r="R69" i="4" s="1"/>
  <c r="M87" i="4"/>
  <c r="N87" i="4" s="1"/>
  <c r="W5" i="4"/>
  <c r="O90" i="4"/>
  <c r="Q12" i="4"/>
  <c r="R12" i="4" s="1"/>
  <c r="U37" i="4"/>
  <c r="V37" i="4" s="1"/>
  <c r="O76" i="4"/>
  <c r="U86" i="4"/>
  <c r="V86" i="4" s="1"/>
  <c r="L12" i="1" l="1"/>
  <c r="S28" i="4"/>
  <c r="E78" i="1"/>
  <c r="E65" i="1"/>
  <c r="E57" i="1"/>
  <c r="E55" i="1"/>
  <c r="E77" i="1"/>
  <c r="K40" i="3" s="1"/>
  <c r="E54" i="1"/>
  <c r="E74" i="1"/>
  <c r="E76" i="1"/>
  <c r="E64" i="1"/>
  <c r="E53" i="1"/>
  <c r="E84" i="1"/>
  <c r="E75" i="1"/>
  <c r="E52" i="1"/>
  <c r="E82" i="1"/>
  <c r="E80" i="1"/>
  <c r="E56" i="1"/>
  <c r="E67" i="1"/>
  <c r="F22" i="2"/>
  <c r="G19" i="2"/>
  <c r="N95" i="1"/>
  <c r="N94" i="1"/>
  <c r="N50" i="1"/>
  <c r="L75" i="1"/>
  <c r="L67" i="1"/>
  <c r="D8" i="4"/>
  <c r="E14" i="2"/>
  <c r="D19" i="2"/>
  <c r="D30" i="2"/>
  <c r="O73" i="4"/>
  <c r="M73" i="4"/>
  <c r="N73" i="4" s="1"/>
  <c r="S79" i="4"/>
  <c r="F82" i="4"/>
  <c r="G79" i="4" s="1"/>
  <c r="Q79" i="4"/>
  <c r="R79" i="4" s="1"/>
  <c r="U92" i="4"/>
  <c r="V92" i="4" s="1"/>
  <c r="W92" i="4"/>
  <c r="H94" i="4"/>
  <c r="I92" i="4" s="1"/>
  <c r="Q73" i="4"/>
  <c r="R73" i="4" s="1"/>
  <c r="S73" i="4"/>
  <c r="C53" i="1"/>
  <c r="C75" i="1"/>
  <c r="C77" i="1"/>
  <c r="C54" i="1"/>
  <c r="C80" i="1"/>
  <c r="C65" i="1"/>
  <c r="C61" i="1"/>
  <c r="C74" i="1"/>
  <c r="C56" i="1"/>
  <c r="C76" i="1"/>
  <c r="C64" i="1"/>
  <c r="C52" i="1"/>
  <c r="C84" i="1"/>
  <c r="C78" i="1"/>
  <c r="C57" i="1"/>
  <c r="C55" i="1"/>
  <c r="E61" i="1"/>
  <c r="L16" i="1"/>
  <c r="C73" i="4"/>
  <c r="B56" i="4"/>
  <c r="C53" i="4" s="1"/>
  <c r="C66" i="4"/>
  <c r="Q9" i="4"/>
  <c r="R9" i="4" s="1"/>
  <c r="G9" i="4"/>
  <c r="U9" i="4"/>
  <c r="V9" i="4" s="1"/>
  <c r="S9" i="4"/>
  <c r="M43" i="1"/>
  <c r="G70" i="1"/>
  <c r="M47" i="1"/>
  <c r="L47" i="1"/>
  <c r="E70" i="1"/>
  <c r="L43" i="1"/>
  <c r="I8" i="4"/>
  <c r="W8" i="4"/>
  <c r="U8" i="4"/>
  <c r="V8" i="4" s="1"/>
  <c r="O46" i="4"/>
  <c r="M46" i="4"/>
  <c r="N46" i="4" s="1"/>
  <c r="H56" i="4"/>
  <c r="U53" i="4"/>
  <c r="V53" i="4" s="1"/>
  <c r="W53" i="4"/>
  <c r="M79" i="4"/>
  <c r="N79" i="4" s="1"/>
  <c r="D82" i="4"/>
  <c r="E79" i="4" s="1"/>
  <c r="O79" i="4"/>
  <c r="W9" i="4"/>
  <c r="C68" i="4"/>
  <c r="W79" i="4"/>
  <c r="M6" i="4"/>
  <c r="N6" i="4" s="1"/>
  <c r="O6" i="4"/>
  <c r="E6" i="4"/>
  <c r="C46" i="4"/>
  <c r="D94" i="4"/>
  <c r="O92" i="4"/>
  <c r="M92" i="4"/>
  <c r="N92" i="4" s="1"/>
  <c r="U79" i="4"/>
  <c r="V79" i="4" s="1"/>
  <c r="B45" i="1"/>
  <c r="C45" i="1" s="1"/>
  <c r="C37" i="1"/>
  <c r="C30" i="1"/>
  <c r="C28" i="1"/>
  <c r="C25" i="1"/>
  <c r="C18" i="1"/>
  <c r="C16" i="1"/>
  <c r="K83" i="1"/>
  <c r="C13" i="1"/>
  <c r="C11" i="1"/>
  <c r="B88" i="1"/>
  <c r="C39" i="1"/>
  <c r="C29" i="1"/>
  <c r="C27" i="1"/>
  <c r="C17" i="1"/>
  <c r="C15" i="1"/>
  <c r="C10" i="1"/>
  <c r="C14" i="1"/>
  <c r="C12" i="1"/>
  <c r="C9" i="1"/>
  <c r="C43" i="1"/>
  <c r="C31" i="1"/>
  <c r="C26" i="1"/>
  <c r="K55" i="1"/>
  <c r="C24" i="1"/>
  <c r="C38" i="1"/>
  <c r="C70" i="1"/>
  <c r="B8" i="4"/>
  <c r="C8" i="4" s="1"/>
  <c r="C14" i="2"/>
  <c r="B19" i="2"/>
  <c r="K67" i="1"/>
  <c r="B30" i="2"/>
  <c r="K75" i="1"/>
  <c r="M28" i="4"/>
  <c r="N28" i="4" s="1"/>
  <c r="O28" i="4"/>
  <c r="W46" i="4"/>
  <c r="M32" i="4"/>
  <c r="N32" i="4" s="1"/>
  <c r="O32" i="4"/>
  <c r="F56" i="4"/>
  <c r="G46" i="4" s="1"/>
  <c r="W73" i="4"/>
  <c r="U73" i="4"/>
  <c r="V73" i="4" s="1"/>
  <c r="H82" i="4"/>
  <c r="I73" i="4" s="1"/>
  <c r="C64" i="4"/>
  <c r="C76" i="4"/>
  <c r="C67" i="4"/>
  <c r="C69" i="4"/>
  <c r="C6" i="5"/>
  <c r="N12" i="1"/>
  <c r="N16" i="1"/>
  <c r="N8" i="1"/>
  <c r="H70" i="1"/>
  <c r="G8" i="4"/>
  <c r="S8" i="4"/>
  <c r="Q8" i="4"/>
  <c r="R8" i="4" s="1"/>
  <c r="L83" i="1"/>
  <c r="E13" i="1"/>
  <c r="E11" i="1"/>
  <c r="E27" i="1"/>
  <c r="E39" i="1"/>
  <c r="E17" i="1"/>
  <c r="E15" i="1"/>
  <c r="E29" i="1"/>
  <c r="E10" i="1"/>
  <c r="E40" i="1"/>
  <c r="L55" i="1"/>
  <c r="E38" i="1"/>
  <c r="E31" i="1"/>
  <c r="E26" i="1"/>
  <c r="E24" i="1"/>
  <c r="E43" i="1"/>
  <c r="E37" i="1"/>
  <c r="E30" i="1"/>
  <c r="E28" i="1"/>
  <c r="E25" i="1"/>
  <c r="E18" i="1"/>
  <c r="E16" i="1"/>
  <c r="E12" i="1"/>
  <c r="E9" i="1"/>
  <c r="E14" i="1"/>
  <c r="D45" i="1"/>
  <c r="E45" i="1" s="1"/>
  <c r="L8" i="1"/>
  <c r="Q32" i="4"/>
  <c r="R32" i="4" s="1"/>
  <c r="S32" i="4"/>
  <c r="G32" i="4"/>
  <c r="S6" i="4"/>
  <c r="Q6" i="4"/>
  <c r="R6" i="4" s="1"/>
  <c r="G6" i="4"/>
  <c r="J2" i="3"/>
  <c r="L2" i="3"/>
  <c r="M2" i="3" s="1"/>
  <c r="F96" i="4"/>
  <c r="G94" i="4" s="1"/>
  <c r="Q94" i="4"/>
  <c r="R94" i="4" s="1"/>
  <c r="S94" i="4"/>
  <c r="D56" i="4"/>
  <c r="E28" i="4" s="1"/>
  <c r="U7" i="4"/>
  <c r="V7" i="4" s="1"/>
  <c r="W7" i="4"/>
  <c r="J7" i="4"/>
  <c r="I7" i="4"/>
  <c r="H22" i="2"/>
  <c r="I19" i="2"/>
  <c r="C19" i="1"/>
  <c r="D3" i="4"/>
  <c r="F3" i="2"/>
  <c r="Q46" i="4"/>
  <c r="R46" i="4" s="1"/>
  <c r="S46" i="4"/>
  <c r="B96" i="4"/>
  <c r="S92" i="4"/>
  <c r="C79" i="4"/>
  <c r="M53" i="4"/>
  <c r="N53" i="4" s="1"/>
  <c r="O9" i="4"/>
  <c r="M9" i="4"/>
  <c r="N9" i="4" s="1"/>
  <c r="E9" i="4"/>
  <c r="K9" i="2"/>
  <c r="J14" i="2"/>
  <c r="H45" i="1"/>
  <c r="I45" i="1" s="1"/>
  <c r="N83" i="1"/>
  <c r="I39" i="1"/>
  <c r="I29" i="1"/>
  <c r="I27" i="1"/>
  <c r="I17" i="1"/>
  <c r="I15" i="1"/>
  <c r="I10" i="1"/>
  <c r="N55" i="1"/>
  <c r="I43" i="1"/>
  <c r="I38" i="1"/>
  <c r="I33" i="1"/>
  <c r="I31" i="1"/>
  <c r="I26" i="1"/>
  <c r="I24" i="1"/>
  <c r="I14" i="1"/>
  <c r="I12" i="1"/>
  <c r="I9" i="1"/>
  <c r="I37" i="1"/>
  <c r="I30" i="1"/>
  <c r="I28" i="1"/>
  <c r="I25" i="1"/>
  <c r="I18" i="1"/>
  <c r="I16" i="1"/>
  <c r="I11" i="1"/>
  <c r="I13" i="1"/>
  <c r="M95" i="1"/>
  <c r="M94" i="1"/>
  <c r="M50" i="1"/>
  <c r="F84" i="1"/>
  <c r="C65" i="4"/>
  <c r="C82" i="1"/>
  <c r="E73" i="4" l="1"/>
  <c r="W56" i="4"/>
  <c r="I41" i="4"/>
  <c r="I23" i="4"/>
  <c r="U56" i="4"/>
  <c r="I44" i="4"/>
  <c r="I26" i="4"/>
  <c r="I39" i="4"/>
  <c r="I56" i="4"/>
  <c r="I37" i="4"/>
  <c r="I43" i="4"/>
  <c r="I42" i="4"/>
  <c r="I38" i="4"/>
  <c r="I25" i="4"/>
  <c r="I51" i="4"/>
  <c r="I27" i="4"/>
  <c r="I22" i="4"/>
  <c r="I32" i="4"/>
  <c r="I46" i="4"/>
  <c r="I29" i="4"/>
  <c r="I28" i="4"/>
  <c r="I40" i="4"/>
  <c r="I24" i="4"/>
  <c r="F3" i="4"/>
  <c r="J3" i="2"/>
  <c r="J3" i="4" s="1"/>
  <c r="H3" i="2"/>
  <c r="H3" i="4" s="1"/>
  <c r="K7" i="4"/>
  <c r="J8" i="4"/>
  <c r="I53" i="4"/>
  <c r="G65" i="4"/>
  <c r="Q82" i="4"/>
  <c r="R82" i="4" s="1"/>
  <c r="G68" i="4"/>
  <c r="G82" i="4"/>
  <c r="G67" i="4"/>
  <c r="G64" i="4"/>
  <c r="G66" i="4"/>
  <c r="S82" i="4"/>
  <c r="G69" i="4"/>
  <c r="G76" i="4"/>
  <c r="G77" i="4"/>
  <c r="E56" i="4"/>
  <c r="E37" i="4"/>
  <c r="E40" i="4"/>
  <c r="E22" i="4"/>
  <c r="E51" i="4"/>
  <c r="E29" i="4"/>
  <c r="E41" i="4"/>
  <c r="O56" i="4"/>
  <c r="E50" i="4"/>
  <c r="M56" i="4"/>
  <c r="E27" i="4"/>
  <c r="E23" i="4"/>
  <c r="E39" i="4"/>
  <c r="E53" i="4"/>
  <c r="E24" i="4"/>
  <c r="E25" i="4"/>
  <c r="E26" i="4"/>
  <c r="E44" i="4"/>
  <c r="E42" i="4"/>
  <c r="E43" i="4"/>
  <c r="E38" i="4"/>
  <c r="E32" i="4"/>
  <c r="E46" i="4"/>
  <c r="C87" i="4"/>
  <c r="C96" i="4"/>
  <c r="C86" i="4"/>
  <c r="C90" i="4"/>
  <c r="C88" i="4"/>
  <c r="C89" i="4"/>
  <c r="C94" i="4"/>
  <c r="F100" i="4"/>
  <c r="G24" i="4"/>
  <c r="G56" i="4"/>
  <c r="S56" i="4"/>
  <c r="Q56" i="4"/>
  <c r="G29" i="4"/>
  <c r="G27" i="4"/>
  <c r="G53" i="4"/>
  <c r="G25" i="4"/>
  <c r="G26" i="4"/>
  <c r="G23" i="4"/>
  <c r="G28" i="4"/>
  <c r="G22" i="4"/>
  <c r="J19" i="2"/>
  <c r="K14" i="2"/>
  <c r="J30" i="2"/>
  <c r="F25" i="2"/>
  <c r="G22" i="2"/>
  <c r="F11" i="4"/>
  <c r="E40" i="3"/>
  <c r="F44" i="3" s="1"/>
  <c r="C40" i="3"/>
  <c r="D44" i="3" s="1"/>
  <c r="B22" i="2"/>
  <c r="C19" i="2"/>
  <c r="C82" i="4"/>
  <c r="E19" i="2"/>
  <c r="D22" i="2"/>
  <c r="L94" i="1"/>
  <c r="L50" i="1"/>
  <c r="L95" i="1"/>
  <c r="G52" i="1"/>
  <c r="G77" i="1"/>
  <c r="G54" i="1"/>
  <c r="G56" i="1"/>
  <c r="G74" i="1"/>
  <c r="G65" i="1"/>
  <c r="G76" i="1"/>
  <c r="G64" i="1"/>
  <c r="G53" i="1"/>
  <c r="G84" i="1"/>
  <c r="G55" i="1"/>
  <c r="G78" i="1"/>
  <c r="G75" i="1"/>
  <c r="G57" i="1"/>
  <c r="G82" i="1"/>
  <c r="F88" i="1"/>
  <c r="G67" i="1"/>
  <c r="G61" i="1"/>
  <c r="G80" i="1"/>
  <c r="G96" i="4"/>
  <c r="Q96" i="4"/>
  <c r="R96" i="4" s="1"/>
  <c r="M82" i="4"/>
  <c r="N82" i="4" s="1"/>
  <c r="E66" i="4"/>
  <c r="O82" i="4"/>
  <c r="E76" i="4"/>
  <c r="E67" i="4"/>
  <c r="E65" i="4"/>
  <c r="E64" i="4"/>
  <c r="E77" i="4"/>
  <c r="E68" i="4"/>
  <c r="E69" i="4"/>
  <c r="W94" i="4"/>
  <c r="H96" i="4"/>
  <c r="H100" i="4" s="1"/>
  <c r="U94" i="4"/>
  <c r="V94" i="4" s="1"/>
  <c r="I79" i="4"/>
  <c r="W82" i="4"/>
  <c r="U82" i="4"/>
  <c r="V82" i="4" s="1"/>
  <c r="O94" i="4"/>
  <c r="M94" i="4"/>
  <c r="N94" i="4" s="1"/>
  <c r="D96" i="4"/>
  <c r="S96" i="4" s="1"/>
  <c r="E94" i="4"/>
  <c r="E8" i="4"/>
  <c r="O8" i="4"/>
  <c r="M8" i="4"/>
  <c r="N8" i="4" s="1"/>
  <c r="G73" i="4"/>
  <c r="B100" i="4"/>
  <c r="C51" i="4"/>
  <c r="C29" i="4"/>
  <c r="C38" i="4"/>
  <c r="C27" i="4"/>
  <c r="C37" i="4"/>
  <c r="C41" i="4"/>
  <c r="C43" i="4"/>
  <c r="C56" i="4"/>
  <c r="C26" i="4"/>
  <c r="C25" i="4"/>
  <c r="C23" i="4"/>
  <c r="C50" i="4"/>
  <c r="C32" i="4"/>
  <c r="C44" i="4"/>
  <c r="C28" i="4"/>
  <c r="C24" i="4"/>
  <c r="C42" i="4"/>
  <c r="C40" i="4"/>
  <c r="C22" i="4"/>
  <c r="C39" i="4"/>
  <c r="H25" i="2"/>
  <c r="I22" i="2"/>
  <c r="H11" i="4"/>
  <c r="N43" i="1"/>
  <c r="N47" i="1"/>
  <c r="H84" i="1"/>
  <c r="H88" i="1" s="1"/>
  <c r="K50" i="1"/>
  <c r="K95" i="1"/>
  <c r="K94" i="1"/>
  <c r="E92" i="4"/>
  <c r="E82" i="4" l="1"/>
  <c r="I82" i="4"/>
  <c r="I94" i="4"/>
  <c r="C22" i="2"/>
  <c r="B25" i="2"/>
  <c r="B11" i="4"/>
  <c r="C11" i="4" s="1"/>
  <c r="D100" i="4"/>
  <c r="I55" i="1"/>
  <c r="I84" i="1"/>
  <c r="I77" i="1"/>
  <c r="I75" i="1"/>
  <c r="I64" i="1"/>
  <c r="I74" i="1"/>
  <c r="I65" i="1"/>
  <c r="I76" i="1"/>
  <c r="I53" i="1"/>
  <c r="J53" i="1" s="1"/>
  <c r="I52" i="1"/>
  <c r="I78" i="1"/>
  <c r="I57" i="1"/>
  <c r="I54" i="1"/>
  <c r="I67" i="1"/>
  <c r="I56" i="1"/>
  <c r="I82" i="1"/>
  <c r="I80" i="1"/>
  <c r="I61" i="1"/>
  <c r="I70" i="1"/>
  <c r="I11" i="4"/>
  <c r="U11" i="4"/>
  <c r="V11" i="4" s="1"/>
  <c r="W11" i="4"/>
  <c r="G11" i="4"/>
  <c r="W96" i="4"/>
  <c r="W100" i="4" s="1"/>
  <c r="I96" i="4"/>
  <c r="U96" i="4"/>
  <c r="V96" i="4" s="1"/>
  <c r="G25" i="2"/>
  <c r="F13" i="4"/>
  <c r="M79" i="1"/>
  <c r="M86" i="1" s="1"/>
  <c r="M89" i="1" s="1"/>
  <c r="M59" i="1"/>
  <c r="E3" i="3"/>
  <c r="M63" i="1"/>
  <c r="R56" i="4"/>
  <c r="R100" i="4" s="1"/>
  <c r="Q100" i="4"/>
  <c r="J11" i="4"/>
  <c r="K8" i="4"/>
  <c r="V56" i="4"/>
  <c r="I25" i="2"/>
  <c r="H13" i="4"/>
  <c r="N79" i="1"/>
  <c r="N86" i="1" s="1"/>
  <c r="N89" i="1" s="1"/>
  <c r="N59" i="1"/>
  <c r="G3" i="3"/>
  <c r="N63" i="1"/>
  <c r="S100" i="4"/>
  <c r="N56" i="4"/>
  <c r="E86" i="4"/>
  <c r="E96" i="4"/>
  <c r="E89" i="4"/>
  <c r="M96" i="4"/>
  <c r="N96" i="4" s="1"/>
  <c r="E88" i="4"/>
  <c r="E90" i="4"/>
  <c r="O96" i="4"/>
  <c r="O100" i="4" s="1"/>
  <c r="E87" i="4"/>
  <c r="D25" i="2"/>
  <c r="D11" i="4"/>
  <c r="Q11" i="4" s="1"/>
  <c r="R11" i="4" s="1"/>
  <c r="E22" i="2"/>
  <c r="K19" i="2"/>
  <c r="J22" i="2"/>
  <c r="U100" i="4" l="1"/>
  <c r="V100" i="4"/>
  <c r="J25" i="2"/>
  <c r="K25" i="2" s="1"/>
  <c r="K22" i="2"/>
  <c r="G13" i="4"/>
  <c r="M100" i="4"/>
  <c r="M11" i="4"/>
  <c r="N11" i="4" s="1"/>
  <c r="O11" i="4"/>
  <c r="E11" i="4"/>
  <c r="S11" i="4"/>
  <c r="I13" i="4"/>
  <c r="W13" i="4"/>
  <c r="U13" i="4"/>
  <c r="V13" i="4" s="1"/>
  <c r="J13" i="4"/>
  <c r="K13" i="4" s="1"/>
  <c r="K11" i="4"/>
  <c r="N100" i="4"/>
  <c r="E25" i="2"/>
  <c r="L79" i="1"/>
  <c r="L86" i="1" s="1"/>
  <c r="L89" i="1" s="1"/>
  <c r="L59" i="1"/>
  <c r="L63" i="1"/>
  <c r="C3" i="3"/>
  <c r="D13" i="4"/>
  <c r="L3" i="3"/>
  <c r="F22" i="3"/>
  <c r="F46" i="3" s="1"/>
  <c r="F52" i="3" s="1"/>
  <c r="F56" i="3" s="1"/>
  <c r="C25" i="2"/>
  <c r="K79" i="1"/>
  <c r="K86" i="1" s="1"/>
  <c r="K89" i="1" s="1"/>
  <c r="K59" i="1"/>
  <c r="B13" i="4"/>
  <c r="C13" i="4" s="1"/>
  <c r="K63" i="1"/>
  <c r="H22" i="3"/>
  <c r="H46" i="3" s="1"/>
  <c r="H52" i="3" s="1"/>
  <c r="H56" i="3" s="1"/>
  <c r="M3" i="3"/>
  <c r="M13" i="4" l="1"/>
  <c r="N13" i="4" s="1"/>
  <c r="O13" i="4"/>
  <c r="E13" i="4"/>
  <c r="Q13" i="4"/>
  <c r="R13" i="4" s="1"/>
  <c r="S13" i="4"/>
  <c r="K3" i="3"/>
  <c r="D22" i="3"/>
  <c r="D46" i="3" s="1"/>
  <c r="D52" i="3" s="1"/>
  <c r="D5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19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ID#AAAB3srDCBM
Armando    (2026-04-17 19:09:48)
Armando:</t>
        </r>
      </text>
    </comment>
  </commentList>
</comments>
</file>

<file path=xl/sharedStrings.xml><?xml version="1.0" encoding="utf-8"?>
<sst xmlns="http://schemas.openxmlformats.org/spreadsheetml/2006/main" count="607" uniqueCount="253">
  <si>
    <t>ESTADO DE FLUJO DE EFECTIVO</t>
  </si>
  <si>
    <t>Saldos en Balances Generales</t>
  </si>
  <si>
    <t>Flujo Operativo</t>
  </si>
  <si>
    <t>Saldos</t>
  </si>
  <si>
    <t>Totales</t>
  </si>
  <si>
    <t>Utilidad neta</t>
  </si>
  <si>
    <t>*</t>
  </si>
  <si>
    <t>Depreciacion</t>
  </si>
  <si>
    <t>Cambio en Clientes</t>
  </si>
  <si>
    <t>Cambio en cuentas por cobrar</t>
  </si>
  <si>
    <t>Cambio en Deudores Diversos</t>
  </si>
  <si>
    <t>Cambio en ISR Diferido</t>
  </si>
  <si>
    <t>Cambio en Impuestos a favor</t>
  </si>
  <si>
    <t>Cambio en Inventarios</t>
  </si>
  <si>
    <t>Cambio en Anticipo a Proveedores</t>
  </si>
  <si>
    <t xml:space="preserve">Cambio en Otros Activos no Circulantes </t>
  </si>
  <si>
    <t>Cambio en Compañías Afiliadas (Activo)</t>
  </si>
  <si>
    <t>Cambio en Proveedores</t>
  </si>
  <si>
    <t>Cambio en Pagos Anticipados</t>
  </si>
  <si>
    <t>Cambio en impuestos por pagar</t>
  </si>
  <si>
    <t>Cambio en Acreedores Diversos</t>
  </si>
  <si>
    <t>Cambio en Anticipo de clientes</t>
  </si>
  <si>
    <t>Cambio en otras cuentas por pagar LP</t>
  </si>
  <si>
    <t>Ajustes por dictamen</t>
  </si>
  <si>
    <t>Efectivo de actividades operativas</t>
  </si>
  <si>
    <t>Flujo de Inversion</t>
  </si>
  <si>
    <t>Cambio en Edificios</t>
  </si>
  <si>
    <t>Cambio en Maq. y Eq. Transporte</t>
  </si>
  <si>
    <t>Cambio en Equipo Transporte</t>
  </si>
  <si>
    <t>Cambio en Mob y Equ</t>
  </si>
  <si>
    <t>Cambio en Eq. Computo</t>
  </si>
  <si>
    <t>Cambio en Otros Activos</t>
  </si>
  <si>
    <t>Cambio en Terrenos</t>
  </si>
  <si>
    <t>Efectivo de actividades Inversion</t>
  </si>
  <si>
    <t>Flujo de financiamiento</t>
  </si>
  <si>
    <t>Cambio en documentos por pagar CP</t>
  </si>
  <si>
    <t>Cambio en documentos por pagar LP</t>
  </si>
  <si>
    <t>Cambio en capital Pagado</t>
  </si>
  <si>
    <t>Cambio Otros Rdos Integrales</t>
  </si>
  <si>
    <t>Dividendos decretados</t>
  </si>
  <si>
    <t>Diferencia en Rdo ej anteriores</t>
  </si>
  <si>
    <t>Rdo 2021</t>
  </si>
  <si>
    <t>Efectivo de actividades Financiamiento</t>
  </si>
  <si>
    <t xml:space="preserve">Aumento/disminución en efectivo </t>
  </si>
  <si>
    <t>Cambioe Impuestos por pagar</t>
  </si>
  <si>
    <t>Mas Saldo inicial caja y bancos</t>
  </si>
  <si>
    <t>Total Saldo final en caja y bancos</t>
  </si>
  <si>
    <t>Saldo Final caja y bancos Balance</t>
  </si>
  <si>
    <t>Diferencia</t>
  </si>
  <si>
    <t>BRIGHTEC ENERGY DYNAMICS S DE RL DE CV</t>
  </si>
  <si>
    <t>Balance General</t>
  </si>
  <si>
    <t>Saldo</t>
  </si>
  <si>
    <t>Activos</t>
  </si>
  <si>
    <t>A) SOLVENCIA(LIQUIDEZ) Y OPERACIÓN</t>
  </si>
  <si>
    <t>ACTIVO</t>
  </si>
  <si>
    <t>Razon circulante</t>
  </si>
  <si>
    <t>ACTIVO- CIRCULANTE</t>
  </si>
  <si>
    <t>Analisis vertical</t>
  </si>
  <si>
    <t>HORIZ</t>
  </si>
  <si>
    <t>Activo circulante/pasivo circulante</t>
  </si>
  <si>
    <t>Importe</t>
  </si>
  <si>
    <t>%</t>
  </si>
  <si>
    <t>CAJA</t>
  </si>
  <si>
    <t>BANCOS</t>
  </si>
  <si>
    <t>Prueba del acido</t>
  </si>
  <si>
    <t>CLIENTES</t>
  </si>
  <si>
    <t>Activo circulantes-inventario/ Pasivos circulantes</t>
  </si>
  <si>
    <t>CUENTAS POR COBRAR</t>
  </si>
  <si>
    <t>DEUDORES DIVERSOS</t>
  </si>
  <si>
    <t>ISR DIFERIDO</t>
  </si>
  <si>
    <t>Efectivo a pasivo circulante</t>
  </si>
  <si>
    <t>IMPUESTOS A FAVOR</t>
  </si>
  <si>
    <t>efectivo/pasivo circulate</t>
  </si>
  <si>
    <t>INVENTARIOS</t>
  </si>
  <si>
    <t>PAGOS ANTICIPADOS</t>
  </si>
  <si>
    <t>B) ACTIVIDAD O ROTACIONES</t>
  </si>
  <si>
    <t>ANTICIPO PROVEEDORES</t>
  </si>
  <si>
    <t>Rotacion de cuentas por cobrar</t>
  </si>
  <si>
    <t>Total - CIRCULANTE</t>
  </si>
  <si>
    <t>Ventas/Cuentas por cobrar ( Clientes)</t>
  </si>
  <si>
    <t>veces por año</t>
  </si>
  <si>
    <t>- - - - - - - - - - - - -</t>
  </si>
  <si>
    <t>Periodo promedio de cobro</t>
  </si>
  <si>
    <t>ACTIVO- FIJO</t>
  </si>
  <si>
    <t>365/rotacion de cuentas por cobrar</t>
  </si>
  <si>
    <t>EDIFICIOS</t>
  </si>
  <si>
    <t>dias</t>
  </si>
  <si>
    <t>MAQ, Y EQU.</t>
  </si>
  <si>
    <t>EQ. TRANSPORTE</t>
  </si>
  <si>
    <t>Rotacion de inventarios</t>
  </si>
  <si>
    <t>MOB. Y EQUIPO</t>
  </si>
  <si>
    <t>costo de ventas/inventario</t>
  </si>
  <si>
    <t>EQU. COMPUTO</t>
  </si>
  <si>
    <t>OTROS ACTIVOS</t>
  </si>
  <si>
    <t>TERRENOS</t>
  </si>
  <si>
    <t>Dias de Inventario</t>
  </si>
  <si>
    <t>Dias de inventario</t>
  </si>
  <si>
    <t>DEPRECIACION ACUMULADA(MENOS)</t>
  </si>
  <si>
    <t>Dias del periodo/rotacion de inventarios</t>
  </si>
  <si>
    <t>Total- FIJO</t>
  </si>
  <si>
    <t>Rotacion de cuentas x pagar</t>
  </si>
  <si>
    <t>Costo de ventas / proveedores</t>
  </si>
  <si>
    <t>ACTIVO- DIFERIDO</t>
  </si>
  <si>
    <t>GASTOS DE INSTALACION</t>
  </si>
  <si>
    <t>Periodo prom de pago DIAS de  cuentas x pagar</t>
  </si>
  <si>
    <t>DEPOSITOS EN GARANTIA</t>
  </si>
  <si>
    <t>365/ rotacion de ctas x pagar</t>
  </si>
  <si>
    <t>OTROS ACTIVOS A LARGO PLAZO</t>
  </si>
  <si>
    <t>Total- DIFERIDO</t>
  </si>
  <si>
    <t>C) ENDEUDAMIENTO</t>
  </si>
  <si>
    <t>Razon de endeudamiento ( PT/AT)</t>
  </si>
  <si>
    <t>Pasivo Total/Activo total</t>
  </si>
  <si>
    <t>TOTAL ACTIVOS</t>
  </si>
  <si>
    <t xml:space="preserve">       RAZONES</t>
  </si>
  <si>
    <t>Razon de Apalancamiento( PT/CT)</t>
  </si>
  <si>
    <t xml:space="preserve">       DE </t>
  </si>
  <si>
    <t>=============</t>
  </si>
  <si>
    <t>Pasivo Total/Capital Contable</t>
  </si>
  <si>
    <t xml:space="preserve">       ENDEUDAMIENTO</t>
  </si>
  <si>
    <t>PASIVO</t>
  </si>
  <si>
    <t>Pasivos</t>
  </si>
  <si>
    <t>DEUDA/EBITDA</t>
  </si>
  <si>
    <t>PASIVO- CIRCULANTE</t>
  </si>
  <si>
    <t>DEUDA/ UTILIDAD DE OPERACIÓN</t>
  </si>
  <si>
    <t xml:space="preserve">Veces </t>
  </si>
  <si>
    <t>PROVEEDORES</t>
  </si>
  <si>
    <t>D) RENTABILIDAD Y COBERTURA</t>
  </si>
  <si>
    <t>PRESTAMOS BANCARIOS A CP</t>
  </si>
  <si>
    <t>Rotacion de activos totales</t>
  </si>
  <si>
    <t>A</t>
  </si>
  <si>
    <t>ABC</t>
  </si>
  <si>
    <t>Dupont</t>
  </si>
  <si>
    <t>ACREEDORES DIVERSOS</t>
  </si>
  <si>
    <t>Ventas/total de activos</t>
  </si>
  <si>
    <t>OTROS PASIVOS</t>
  </si>
  <si>
    <t>IMPUESTOS ACUMULADOS</t>
  </si>
  <si>
    <t>ANTICIPO DE CLIENTES</t>
  </si>
  <si>
    <t>Rendimiento sobre activo total (ROA)</t>
  </si>
  <si>
    <t>Return Over Assests</t>
  </si>
  <si>
    <t>utilidad neta/total de activos</t>
  </si>
  <si>
    <t>Total CIRCULANTE</t>
  </si>
  <si>
    <t>Rendimiento sobre capital contable (ROE)</t>
  </si>
  <si>
    <t>Return Over Equity</t>
  </si>
  <si>
    <t>Utilidad neta/ capital contable</t>
  </si>
  <si>
    <t xml:space="preserve"> PASIVO A LARGO PLAZO</t>
  </si>
  <si>
    <t>PRESTAMOS BANCARIOS A LARGO PLAZO</t>
  </si>
  <si>
    <t>OTRAS CUENTAS POR PAGAR A LP</t>
  </si>
  <si>
    <t>Razon de generacion basica de utilidades</t>
  </si>
  <si>
    <t>Utilidad de operacion/Activos totales</t>
  </si>
  <si>
    <t>Total LARGO PLAZO</t>
  </si>
  <si>
    <t>Rotacion de activos fijos</t>
  </si>
  <si>
    <t>TOTAL PASIVOS</t>
  </si>
  <si>
    <t>Ventas totales/ activos fijos</t>
  </si>
  <si>
    <t xml:space="preserve">Ventas totales/ activos fijos </t>
  </si>
  <si>
    <t>CAPITAL</t>
  </si>
  <si>
    <t>Cobertura de Intereses</t>
  </si>
  <si>
    <t>CAPITAL SOCIAL</t>
  </si>
  <si>
    <t>Utilidad de Operacion/Intereses pagados</t>
  </si>
  <si>
    <t>RESERVA LEGAL</t>
  </si>
  <si>
    <t>APORTACIONES PARA FUTUROS AUMENTOS</t>
  </si>
  <si>
    <t>MODELO DUPONT</t>
  </si>
  <si>
    <t>RESULTADO DE EJERCICIOS ANTERIORES</t>
  </si>
  <si>
    <t>Margen de utilidad sobre ventas</t>
  </si>
  <si>
    <t>UTILIDAD DEL EJERCICIO</t>
  </si>
  <si>
    <t>Utilidad Neta/ventas</t>
  </si>
  <si>
    <t>B</t>
  </si>
  <si>
    <t>Sumas</t>
  </si>
  <si>
    <t>Multiplicador del capital</t>
  </si>
  <si>
    <t>TOTAL CAPITAL CONTABLE</t>
  </si>
  <si>
    <t>Acivo Total/Capital Contable</t>
  </si>
  <si>
    <t>C</t>
  </si>
  <si>
    <t>PASIVO MAS CAPITAL</t>
  </si>
  <si>
    <t>FORMULA DUPONT  ROA</t>
  </si>
  <si>
    <t>FORMULA DUPONT ROA</t>
  </si>
  <si>
    <t>ROA</t>
  </si>
  <si>
    <t>ECUACION DE EQUILIBIO</t>
  </si>
  <si>
    <t>FORMULA DUPONT  ROE</t>
  </si>
  <si>
    <t>FORMULA DUPONT ROE</t>
  </si>
  <si>
    <t>ROE</t>
  </si>
  <si>
    <t>ROCE( Return on capital Employed)</t>
  </si>
  <si>
    <t>Rendimiento sobre utilización de capital(ROCE)</t>
  </si>
  <si>
    <t>ebitda/ capital contable + pasivo largo plazo</t>
  </si>
  <si>
    <t>Ebitda/activos totales - pasivo circulante)</t>
  </si>
  <si>
    <t>NECESIDADES  DE CAPITAL DE TRABAJO  EN PESOS</t>
  </si>
  <si>
    <t>INVENTARIO</t>
  </si>
  <si>
    <t>TOTALES</t>
  </si>
  <si>
    <t>NECESIDADES</t>
  </si>
  <si>
    <t>NECESIDADES  DE CAPITAL DE TRABAJO  EN DIAS</t>
  </si>
  <si>
    <t>CON PRONTOS PAGO</t>
  </si>
  <si>
    <t>Estado de Resultados</t>
  </si>
  <si>
    <t>40000000 - VENTAS</t>
  </si>
  <si>
    <t>menos bonificaciones o rebajas</t>
  </si>
  <si>
    <t>VENTAS</t>
  </si>
  <si>
    <t>COSTO DE VENTAS</t>
  </si>
  <si>
    <t>CAPTURAR EN NEGATIVO PORQUE ES RESTA</t>
  </si>
  <si>
    <t>Utilidad Bruta</t>
  </si>
  <si>
    <t>Gastos Generales</t>
  </si>
  <si>
    <t>Gastos de administración</t>
  </si>
  <si>
    <t>TOTAL GASTOS DE OPERACION</t>
  </si>
  <si>
    <t>Utilidad de Operación(EBIT)</t>
  </si>
  <si>
    <t>GASTOS FINANCIEROS(menos)</t>
  </si>
  <si>
    <t>PRODUCTOS FINANCIEROS(mas)</t>
  </si>
  <si>
    <t>Utilidad/ perdida cambiaria</t>
  </si>
  <si>
    <t>Total Financieros</t>
  </si>
  <si>
    <t>Utilidad despues de intereses</t>
  </si>
  <si>
    <t>OTROS GASTOS(menos)</t>
  </si>
  <si>
    <t xml:space="preserve"> OTROS INGRESOS(mas)</t>
  </si>
  <si>
    <t>Utilidad antes de impuestos</t>
  </si>
  <si>
    <t>IMPUESTOS</t>
  </si>
  <si>
    <t>Utilidad Neta</t>
  </si>
  <si>
    <t>============</t>
  </si>
  <si>
    <t>DEPRECIACION</t>
  </si>
  <si>
    <t>CAPTURARLA( ES LA DIFERENCIA ENTRE DEP ACUM DEL ULTIMO AÑO MENOS LA DEL AÑO ANTERIOR</t>
  </si>
  <si>
    <t>TOTAL EBITDA(UTIL DE OPER + DEP)</t>
  </si>
  <si>
    <t>EBITDA</t>
  </si>
  <si>
    <t>AÑO 1  VS   AÑO 2</t>
  </si>
  <si>
    <t>AÑO 2  VS   AÑO 3</t>
  </si>
  <si>
    <t>AÑO 3  VS   AÑO  4</t>
  </si>
  <si>
    <t>ANALISIS HORIZONTAL</t>
  </si>
  <si>
    <t>VARIACION $</t>
  </si>
  <si>
    <t>VARIACION %</t>
  </si>
  <si>
    <t>INDICES</t>
  </si>
  <si>
    <t>GASTOS DE OPERACION</t>
  </si>
  <si>
    <t>GASTOS FINANCIEROS/PRODUCTOS</t>
  </si>
  <si>
    <t>OTROS GASTOS/PRODUCTOS</t>
  </si>
  <si>
    <t>AÑO 1  VS   AÑO  2</t>
  </si>
  <si>
    <t>AÑO 2  VS   AÑO  3</t>
  </si>
  <si>
    <t>CIRCULANTE</t>
  </si>
  <si>
    <t>OTRAS CUENTAS POR COBRAR</t>
  </si>
  <si>
    <t>IVA POR RECUPERAR</t>
  </si>
  <si>
    <t>MAQ, Y EQU. TRANSPORTE</t>
  </si>
  <si>
    <t>EQUIPO DE TRANSPORTE</t>
  </si>
  <si>
    <t>EQUIPO DE OFICINA</t>
  </si>
  <si>
    <t>EQUIPO DE COMPUTO</t>
  </si>
  <si>
    <t>OTROS UTILES</t>
  </si>
  <si>
    <t>DIFERIDO</t>
  </si>
  <si>
    <t>OTROS ACTIVOS NO CIRCULANTES</t>
  </si>
  <si>
    <t>PORCION CIRCULANTE PRESTAMOS LARGO PLAZO</t>
  </si>
  <si>
    <t>IMPUESTOS POR PAGAR</t>
  </si>
  <si>
    <t>GASTOS ACUMULADOS POR PAGAR</t>
  </si>
  <si>
    <t>OTROS PASIVOS A LARGO PLAZO</t>
  </si>
  <si>
    <t>OTROS</t>
  </si>
  <si>
    <t>UTILIDADES ACUMULADAS</t>
  </si>
  <si>
    <t>TOTAL ACTIVOS CIRCULANTES</t>
  </si>
  <si>
    <t>TOTAL ACTIVOS FIJOS</t>
  </si>
  <si>
    <t>TOTAL ACTIVOS DIFERIDOS</t>
  </si>
  <si>
    <t>TOTAL PASIVO NO FINANCIERO</t>
  </si>
  <si>
    <t>TOTAL PASIVO FINANCIERO</t>
  </si>
  <si>
    <t>TOTAL PASIVO DIFERIDO</t>
  </si>
  <si>
    <t>CXP Proveedores</t>
  </si>
  <si>
    <t>CAPITAL CONTABLE TOTAL</t>
  </si>
  <si>
    <t>UTILIDAD DE OPERACIÓN (Antes de impuestos y gastos financieros</t>
  </si>
  <si>
    <t>DEPRECIACIÓN (edo. de resúltados)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</si>
</sst>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;[Red]\-&quot;$&quot;#,##0.00"/>
    <numFmt numFmtId="165" formatCode="0.0%"/>
    <numFmt numFmtId="166" formatCode="_-&quot;$&quot;* #,##0.00_-;\-&quot;$&quot;* #,##0.00_-;_-&quot;$&quot;* &quot;-&quot;??_-;_-@"/>
    <numFmt numFmtId="167" formatCode="#,##0.00_ ;[Red]\-#,##0.00\ "/>
    <numFmt numFmtId="168" formatCode="&quot;$&quot;#,##0;[Red]\-&quot;$&quot;#,##0"/>
    <numFmt numFmtId="169" formatCode="0.000"/>
  </numFmts>
  <fonts count="32" x14ac:knownFonts="1">
    <font>
      <sz val="11"/>
      <color theme="1"/>
      <name val="Calibri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2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Calibri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</font>
    <font>
      <b/>
      <sz val="16"/>
      <color theme="0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Calibri"/>
      <family val="2"/>
    </font>
    <font>
      <sz val="12"/>
      <color theme="0"/>
      <name val="Calibri"/>
      <family val="2"/>
    </font>
    <font>
      <b/>
      <sz val="12"/>
      <color theme="1"/>
      <name val="Calibri"/>
      <family val="2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b/>
      <sz val="18"/>
      <color theme="0"/>
      <name val="Arial"/>
      <family val="2"/>
    </font>
    <font>
      <b/>
      <sz val="12"/>
      <color theme="0"/>
      <name val="Calibri"/>
      <family val="2"/>
    </font>
    <font>
      <b/>
      <i/>
      <sz val="11"/>
      <color theme="1"/>
      <name val="Calibri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b/>
      <sz val="14"/>
      <color theme="0"/>
      <name val="Calibri"/>
      <family val="2"/>
    </font>
    <font>
      <b/>
      <i/>
      <sz val="14"/>
      <color theme="0"/>
      <name val="Calibri"/>
      <family val="2"/>
    </font>
    <font>
      <b/>
      <i/>
      <sz val="14"/>
      <color theme="1"/>
      <name val="Calibri"/>
      <family val="2"/>
    </font>
    <font>
      <i/>
      <sz val="11"/>
      <color theme="1"/>
      <name val="Calibri"/>
      <family val="2"/>
    </font>
    <font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theme="0"/>
      <name val="Arial"/>
      <family val="2"/>
    </font>
    <font>
      <b/>
      <sz val="10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  <fill>
      <patternFill patternType="solid">
        <fgColor rgb="FF8DB3E2"/>
        <bgColor rgb="FF8DB3E2"/>
      </patternFill>
    </fill>
    <fill>
      <patternFill patternType="solid">
        <fgColor rgb="FFFFF98B"/>
        <bgColor rgb="FFFFF98B"/>
      </patternFill>
    </fill>
    <fill>
      <patternFill patternType="solid">
        <fgColor rgb="FFFDE9D9"/>
        <bgColor rgb="FFFDE9D9"/>
      </patternFill>
    </fill>
    <fill>
      <patternFill patternType="solid">
        <fgColor rgb="FF0F243E"/>
        <bgColor rgb="FF0F243E"/>
      </patternFill>
    </fill>
    <fill>
      <patternFill patternType="solid">
        <fgColor rgb="FF494429"/>
        <bgColor rgb="FF494429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938953"/>
        <bgColor rgb="FF938953"/>
      </patternFill>
    </fill>
    <fill>
      <patternFill patternType="solid">
        <fgColor rgb="FFEEECE1"/>
        <bgColor rgb="FFEEECE1"/>
      </patternFill>
    </fill>
    <fill>
      <patternFill patternType="solid">
        <fgColor rgb="FFB8CCE4"/>
        <bgColor rgb="FFB8CCE4"/>
      </patternFill>
    </fill>
    <fill>
      <patternFill patternType="solid">
        <fgColor rgb="FF974806"/>
        <bgColor rgb="FF974806"/>
      </patternFill>
    </fill>
    <fill>
      <patternFill patternType="solid">
        <fgColor rgb="FF17365D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rgb="FF4F6128"/>
        <bgColor rgb="FF4F6128"/>
      </patternFill>
    </fill>
    <fill>
      <patternFill patternType="solid">
        <fgColor rgb="FFCC0000"/>
        <bgColor rgb="FFCC0000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rgb="FFC00000"/>
        <bgColor rgb="FFC00000"/>
      </patternFill>
    </fill>
    <fill>
      <patternFill patternType="solid">
        <fgColor rgb="FF1F497D"/>
        <bgColor rgb="FF1F497D"/>
      </patternFill>
    </fill>
    <fill>
      <patternFill patternType="solid">
        <fgColor rgb="FF1D1B10"/>
        <bgColor rgb="FF1D1B10"/>
      </patternFill>
    </fill>
    <fill>
      <patternFill patternType="solid">
        <fgColor rgb="FFC2D69B"/>
        <bgColor rgb="FFC2D69B"/>
      </patternFill>
    </fill>
    <fill>
      <patternFill patternType="solid">
        <fgColor rgb="FFEAF1DD"/>
        <bgColor rgb="FFEAF1DD"/>
      </patternFill>
    </fill>
    <fill>
      <patternFill patternType="solid">
        <fgColor rgb="FFB2A1C7"/>
        <bgColor rgb="FFB2A1C7"/>
      </patternFill>
    </fill>
    <fill>
      <patternFill patternType="solid">
        <fgColor rgb="FFE36C09"/>
        <bgColor rgb="FFE36C09"/>
      </patternFill>
    </fill>
    <fill>
      <patternFill patternType="solid">
        <fgColor rgb="FF002060"/>
        <bgColor rgb="FF002060"/>
      </patternFill>
    </fill>
    <fill>
      <patternFill patternType="solid">
        <fgColor rgb="FFE5B8B7"/>
        <bgColor rgb="FFE5B8B7"/>
      </patternFill>
    </fill>
  </fills>
  <borders count="5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43"/>
  </cellStyleXfs>
  <cellXfs count="342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1" xfId="0" applyFont="1" applyFill="1" applyBorder="1"/>
    <xf numFmtId="0" fontId="5" fillId="0" borderId="2" xfId="0" applyFont="1" applyBorder="1"/>
    <xf numFmtId="0" fontId="6" fillId="2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0" borderId="4" xfId="0" applyFont="1" applyBorder="1"/>
    <xf numFmtId="164" fontId="7" fillId="0" borderId="4" xfId="0" applyNumberFormat="1" applyFont="1" applyBorder="1"/>
    <xf numFmtId="0" fontId="2" fillId="0" borderId="5" xfId="0" applyFont="1" applyBorder="1"/>
    <xf numFmtId="0" fontId="7" fillId="0" borderId="0" xfId="0" applyFont="1" applyBorder="1"/>
    <xf numFmtId="0" fontId="5" fillId="0" borderId="5" xfId="0" applyFont="1" applyBorder="1"/>
    <xf numFmtId="0" fontId="4" fillId="0" borderId="4" xfId="0" applyFont="1" applyBorder="1"/>
    <xf numFmtId="164" fontId="7" fillId="0" borderId="0" xfId="0" applyNumberFormat="1" applyFont="1" applyBorder="1"/>
    <xf numFmtId="0" fontId="8" fillId="6" borderId="6" xfId="0" applyFont="1" applyFill="1" applyBorder="1" applyAlignment="1">
      <alignment horizontal="center"/>
    </xf>
    <xf numFmtId="0" fontId="9" fillId="7" borderId="7" xfId="0" applyFont="1" applyFill="1" applyBorder="1"/>
    <xf numFmtId="0" fontId="10" fillId="7" borderId="7" xfId="0" applyFont="1" applyFill="1" applyBorder="1"/>
    <xf numFmtId="0" fontId="10" fillId="7" borderId="8" xfId="0" applyFont="1" applyFill="1" applyBorder="1"/>
    <xf numFmtId="0" fontId="10" fillId="7" borderId="3" xfId="0" applyFont="1" applyFill="1" applyBorder="1"/>
    <xf numFmtId="0" fontId="9" fillId="7" borderId="8" xfId="0" applyFont="1" applyFill="1" applyBorder="1" applyAlignment="1">
      <alignment horizontal="center"/>
    </xf>
    <xf numFmtId="0" fontId="11" fillId="8" borderId="9" xfId="0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0" fillId="9" borderId="6" xfId="0" applyFont="1" applyFill="1" applyBorder="1"/>
    <xf numFmtId="164" fontId="10" fillId="9" borderId="6" xfId="0" applyNumberFormat="1" applyFont="1" applyFill="1" applyBorder="1"/>
    <xf numFmtId="164" fontId="10" fillId="9" borderId="11" xfId="0" applyNumberFormat="1" applyFont="1" applyFill="1" applyBorder="1"/>
    <xf numFmtId="164" fontId="10" fillId="9" borderId="12" xfId="0" applyNumberFormat="1" applyFont="1" applyFill="1" applyBorder="1"/>
    <xf numFmtId="0" fontId="12" fillId="9" borderId="12" xfId="0" applyFont="1" applyFill="1" applyBorder="1"/>
    <xf numFmtId="0" fontId="12" fillId="9" borderId="11" xfId="0" applyFont="1" applyFill="1" applyBorder="1"/>
    <xf numFmtId="10" fontId="11" fillId="9" borderId="8" xfId="0" applyNumberFormat="1" applyFont="1" applyFill="1" applyBorder="1"/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5" fontId="5" fillId="0" borderId="0" xfId="0" applyNumberFormat="1" applyFont="1" applyBorder="1"/>
    <xf numFmtId="0" fontId="7" fillId="10" borderId="7" xfId="0" applyFont="1" applyFill="1" applyBorder="1"/>
    <xf numFmtId="0" fontId="4" fillId="10" borderId="7" xfId="0" applyFont="1" applyFill="1" applyBorder="1" applyAlignment="1">
      <alignment horizontal="center"/>
    </xf>
    <xf numFmtId="0" fontId="13" fillId="10" borderId="8" xfId="0" applyFont="1" applyFill="1" applyBorder="1" applyAlignment="1">
      <alignment horizontal="center"/>
    </xf>
    <xf numFmtId="0" fontId="4" fillId="10" borderId="3" xfId="0" applyFont="1" applyFill="1" applyBorder="1" applyAlignment="1">
      <alignment horizontal="center"/>
    </xf>
    <xf numFmtId="0" fontId="13" fillId="10" borderId="3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166" fontId="7" fillId="10" borderId="7" xfId="0" applyNumberFormat="1" applyFont="1" applyFill="1" applyBorder="1" applyAlignment="1">
      <alignment horizontal="right"/>
    </xf>
    <xf numFmtId="10" fontId="13" fillId="10" borderId="8" xfId="0" applyNumberFormat="1" applyFont="1" applyFill="1" applyBorder="1"/>
    <xf numFmtId="10" fontId="13" fillId="10" borderId="3" xfId="0" applyNumberFormat="1" applyFont="1" applyFill="1" applyBorder="1"/>
    <xf numFmtId="10" fontId="8" fillId="0" borderId="5" xfId="0" applyNumberFormat="1" applyFont="1" applyBorder="1"/>
    <xf numFmtId="0" fontId="11" fillId="8" borderId="15" xfId="0" applyFont="1" applyFill="1" applyBorder="1" applyAlignment="1">
      <alignment horizontal="center"/>
    </xf>
    <xf numFmtId="0" fontId="11" fillId="8" borderId="14" xfId="0" applyFont="1" applyFill="1" applyBorder="1" applyAlignment="1">
      <alignment horizontal="center"/>
    </xf>
    <xf numFmtId="164" fontId="5" fillId="0" borderId="0" xfId="0" applyNumberFormat="1" applyFont="1" applyBorder="1"/>
    <xf numFmtId="0" fontId="8" fillId="11" borderId="15" xfId="0" applyFont="1" applyFill="1" applyBorder="1" applyAlignment="1">
      <alignment horizontal="center"/>
    </xf>
    <xf numFmtId="0" fontId="8" fillId="11" borderId="14" xfId="0" applyFont="1" applyFill="1" applyBorder="1" applyAlignment="1">
      <alignment horizontal="center"/>
    </xf>
    <xf numFmtId="167" fontId="5" fillId="0" borderId="13" xfId="0" applyNumberFormat="1" applyFont="1" applyBorder="1" applyAlignment="1">
      <alignment horizontal="center"/>
    </xf>
    <xf numFmtId="167" fontId="5" fillId="0" borderId="14" xfId="0" applyNumberFormat="1" applyFont="1" applyBorder="1" applyAlignment="1">
      <alignment horizontal="center"/>
    </xf>
    <xf numFmtId="10" fontId="13" fillId="0" borderId="5" xfId="0" applyNumberFormat="1" applyFont="1" applyBorder="1"/>
    <xf numFmtId="0" fontId="8" fillId="2" borderId="6" xfId="0" applyFont="1" applyFill="1" applyBorder="1" applyAlignment="1">
      <alignment horizontal="center"/>
    </xf>
    <xf numFmtId="0" fontId="5" fillId="0" borderId="14" xfId="0" applyFont="1" applyBorder="1"/>
    <xf numFmtId="0" fontId="4" fillId="12" borderId="7" xfId="0" applyFont="1" applyFill="1" applyBorder="1"/>
    <xf numFmtId="166" fontId="4" fillId="12" borderId="7" xfId="0" applyNumberFormat="1" applyFont="1" applyFill="1" applyBorder="1"/>
    <xf numFmtId="10" fontId="13" fillId="12" borderId="8" xfId="0" applyNumberFormat="1" applyFont="1" applyFill="1" applyBorder="1"/>
    <xf numFmtId="10" fontId="13" fillId="12" borderId="3" xfId="0" applyNumberFormat="1" applyFont="1" applyFill="1" applyBorder="1"/>
    <xf numFmtId="10" fontId="13" fillId="0" borderId="0" xfId="0" applyNumberFormat="1" applyFont="1" applyBorder="1"/>
    <xf numFmtId="0" fontId="13" fillId="10" borderId="8" xfId="0" applyFont="1" applyFill="1" applyBorder="1"/>
    <xf numFmtId="0" fontId="7" fillId="10" borderId="3" xfId="0" applyFont="1" applyFill="1" applyBorder="1"/>
    <xf numFmtId="0" fontId="13" fillId="10" borderId="3" xfId="0" applyFont="1" applyFill="1" applyBorder="1"/>
    <xf numFmtId="0" fontId="10" fillId="9" borderId="12" xfId="0" applyFont="1" applyFill="1" applyBorder="1"/>
    <xf numFmtId="0" fontId="7" fillId="9" borderId="12" xfId="0" applyFont="1" applyFill="1" applyBorder="1"/>
    <xf numFmtId="0" fontId="13" fillId="9" borderId="11" xfId="0" applyFont="1" applyFill="1" applyBorder="1"/>
    <xf numFmtId="0" fontId="13" fillId="9" borderId="12" xfId="0" applyFont="1" applyFill="1" applyBorder="1"/>
    <xf numFmtId="0" fontId="7" fillId="9" borderId="6" xfId="0" applyFont="1" applyFill="1" applyBorder="1"/>
    <xf numFmtId="0" fontId="8" fillId="0" borderId="5" xfId="0" applyFont="1" applyBorder="1"/>
    <xf numFmtId="4" fontId="5" fillId="0" borderId="13" xfId="0" applyNumberFormat="1" applyFont="1" applyBorder="1" applyAlignment="1">
      <alignment horizontal="center"/>
    </xf>
    <xf numFmtId="168" fontId="8" fillId="0" borderId="5" xfId="0" applyNumberFormat="1" applyFont="1" applyBorder="1"/>
    <xf numFmtId="164" fontId="5" fillId="0" borderId="0" xfId="0" applyNumberFormat="1" applyFont="1" applyBorder="1" applyAlignment="1">
      <alignment horizontal="center"/>
    </xf>
    <xf numFmtId="164" fontId="5" fillId="0" borderId="16" xfId="0" applyNumberFormat="1" applyFont="1" applyBorder="1"/>
    <xf numFmtId="0" fontId="14" fillId="0" borderId="4" xfId="0" applyFont="1" applyBorder="1"/>
    <xf numFmtId="166" fontId="15" fillId="10" borderId="7" xfId="0" applyNumberFormat="1" applyFont="1" applyFill="1" applyBorder="1" applyAlignment="1">
      <alignment horizontal="right"/>
    </xf>
    <xf numFmtId="4" fontId="5" fillId="0" borderId="14" xfId="0" applyNumberFormat="1" applyFont="1" applyBorder="1" applyAlignment="1">
      <alignment horizontal="center"/>
    </xf>
    <xf numFmtId="0" fontId="13" fillId="0" borderId="5" xfId="0" applyFont="1" applyBorder="1"/>
    <xf numFmtId="0" fontId="13" fillId="0" borderId="0" xfId="0" applyFont="1" applyBorder="1"/>
    <xf numFmtId="164" fontId="7" fillId="9" borderId="6" xfId="0" applyNumberFormat="1" applyFont="1" applyFill="1" applyBorder="1"/>
    <xf numFmtId="10" fontId="13" fillId="9" borderId="11" xfId="0" applyNumberFormat="1" applyFont="1" applyFill="1" applyBorder="1"/>
    <xf numFmtId="164" fontId="7" fillId="9" borderId="12" xfId="0" applyNumberFormat="1" applyFont="1" applyFill="1" applyBorder="1"/>
    <xf numFmtId="0" fontId="16" fillId="8" borderId="15" xfId="0" applyFont="1" applyFill="1" applyBorder="1" applyAlignment="1">
      <alignment horizontal="center"/>
    </xf>
    <xf numFmtId="0" fontId="16" fillId="8" borderId="14" xfId="0" applyFont="1" applyFill="1" applyBorder="1" applyAlignment="1">
      <alignment horizontal="center"/>
    </xf>
    <xf numFmtId="164" fontId="4" fillId="12" borderId="7" xfId="0" applyNumberFormat="1" applyFont="1" applyFill="1" applyBorder="1"/>
    <xf numFmtId="0" fontId="8" fillId="13" borderId="6" xfId="0" applyFont="1" applyFill="1" applyBorder="1" applyAlignment="1">
      <alignment horizontal="center"/>
    </xf>
    <xf numFmtId="0" fontId="11" fillId="14" borderId="15" xfId="0" applyFont="1" applyFill="1" applyBorder="1" applyAlignment="1">
      <alignment horizontal="center"/>
    </xf>
    <xf numFmtId="0" fontId="6" fillId="3" borderId="6" xfId="0" applyFont="1" applyFill="1" applyBorder="1"/>
    <xf numFmtId="164" fontId="4" fillId="3" borderId="6" xfId="0" applyNumberFormat="1" applyFont="1" applyFill="1" applyBorder="1"/>
    <xf numFmtId="10" fontId="13" fillId="3" borderId="11" xfId="0" applyNumberFormat="1" applyFont="1" applyFill="1" applyBorder="1"/>
    <xf numFmtId="164" fontId="4" fillId="3" borderId="12" xfId="0" applyNumberFormat="1" applyFont="1" applyFill="1" applyBorder="1"/>
    <xf numFmtId="10" fontId="13" fillId="3" borderId="12" xfId="0" applyNumberFormat="1" applyFont="1" applyFill="1" applyBorder="1"/>
    <xf numFmtId="169" fontId="5" fillId="0" borderId="13" xfId="0" applyNumberFormat="1" applyFont="1" applyBorder="1" applyAlignment="1">
      <alignment horizontal="center"/>
    </xf>
    <xf numFmtId="169" fontId="5" fillId="0" borderId="14" xfId="0" applyNumberFormat="1" applyFont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17" fillId="0" borderId="0" xfId="0" applyFont="1" applyBorder="1"/>
    <xf numFmtId="164" fontId="4" fillId="0" borderId="4" xfId="0" applyNumberFormat="1" applyFont="1" applyBorder="1" applyAlignment="1">
      <alignment horizontal="center"/>
    </xf>
    <xf numFmtId="10" fontId="13" fillId="0" borderId="19" xfId="0" applyNumberFormat="1" applyFont="1" applyBorder="1"/>
    <xf numFmtId="164" fontId="4" fillId="0" borderId="0" xfId="0" applyNumberFormat="1" applyFont="1" applyBorder="1"/>
    <xf numFmtId="164" fontId="4" fillId="0" borderId="4" xfId="0" applyNumberFormat="1" applyFont="1" applyBorder="1"/>
    <xf numFmtId="0" fontId="4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2" fillId="9" borderId="11" xfId="0" applyFont="1" applyFill="1" applyBorder="1"/>
    <xf numFmtId="0" fontId="2" fillId="9" borderId="12" xfId="0" applyFont="1" applyFill="1" applyBorder="1"/>
    <xf numFmtId="0" fontId="11" fillId="9" borderId="8" xfId="0" applyFont="1" applyFill="1" applyBorder="1"/>
    <xf numFmtId="0" fontId="2" fillId="10" borderId="8" xfId="0" applyFont="1" applyFill="1" applyBorder="1"/>
    <xf numFmtId="164" fontId="7" fillId="10" borderId="3" xfId="0" applyNumberFormat="1" applyFont="1" applyFill="1" applyBorder="1"/>
    <xf numFmtId="0" fontId="2" fillId="10" borderId="3" xfId="0" applyFont="1" applyFill="1" applyBorder="1"/>
    <xf numFmtId="164" fontId="7" fillId="10" borderId="7" xfId="0" applyNumberFormat="1" applyFont="1" applyFill="1" applyBorder="1"/>
    <xf numFmtId="10" fontId="5" fillId="0" borderId="5" xfId="0" applyNumberFormat="1" applyFont="1" applyBorder="1"/>
    <xf numFmtId="0" fontId="18" fillId="15" borderId="9" xfId="0" applyFont="1" applyFill="1" applyBorder="1" applyAlignment="1">
      <alignment horizontal="center"/>
    </xf>
    <xf numFmtId="0" fontId="18" fillId="15" borderId="10" xfId="0" applyFont="1" applyFill="1" applyBorder="1" applyAlignment="1">
      <alignment horizontal="center"/>
    </xf>
    <xf numFmtId="0" fontId="5" fillId="16" borderId="3" xfId="0" applyFont="1" applyFill="1" applyBorder="1" applyAlignment="1">
      <alignment horizontal="center"/>
    </xf>
    <xf numFmtId="164" fontId="5" fillId="0" borderId="5" xfId="0" applyNumberFormat="1" applyFont="1" applyBorder="1"/>
    <xf numFmtId="0" fontId="18" fillId="15" borderId="15" xfId="0" applyFont="1" applyFill="1" applyBorder="1" applyAlignment="1">
      <alignment horizontal="center"/>
    </xf>
    <xf numFmtId="0" fontId="18" fillId="15" borderId="14" xfId="0" applyFont="1" applyFill="1" applyBorder="1" applyAlignment="1">
      <alignment horizontal="center"/>
    </xf>
    <xf numFmtId="0" fontId="5" fillId="3" borderId="3" xfId="0" applyFont="1" applyFill="1" applyBorder="1"/>
    <xf numFmtId="10" fontId="5" fillId="0" borderId="13" xfId="0" applyNumberFormat="1" applyFont="1" applyBorder="1" applyAlignment="1">
      <alignment horizontal="center"/>
    </xf>
    <xf numFmtId="10" fontId="5" fillId="0" borderId="14" xfId="0" applyNumberFormat="1" applyFont="1" applyBorder="1" applyAlignment="1">
      <alignment horizontal="center"/>
    </xf>
    <xf numFmtId="164" fontId="4" fillId="12" borderId="3" xfId="0" applyNumberFormat="1" applyFont="1" applyFill="1" applyBorder="1"/>
    <xf numFmtId="0" fontId="2" fillId="9" borderId="23" xfId="0" applyFont="1" applyFill="1" applyBorder="1"/>
    <xf numFmtId="0" fontId="5" fillId="13" borderId="15" xfId="0" applyFont="1" applyFill="1" applyBorder="1" applyAlignment="1">
      <alignment horizontal="center"/>
    </xf>
    <xf numFmtId="0" fontId="5" fillId="13" borderId="14" xfId="0" applyFont="1" applyFill="1" applyBorder="1" applyAlignment="1">
      <alignment horizontal="center"/>
    </xf>
    <xf numFmtId="0" fontId="5" fillId="17" borderId="3" xfId="0" applyFont="1" applyFill="1" applyBorder="1"/>
    <xf numFmtId="0" fontId="8" fillId="17" borderId="3" xfId="0" applyFont="1" applyFill="1" applyBorder="1" applyAlignment="1">
      <alignment horizontal="center"/>
    </xf>
    <xf numFmtId="0" fontId="11" fillId="18" borderId="15" xfId="0" applyFont="1" applyFill="1" applyBorder="1" applyAlignment="1">
      <alignment horizontal="center"/>
    </xf>
    <xf numFmtId="0" fontId="11" fillId="18" borderId="14" xfId="0" applyFont="1" applyFill="1" applyBorder="1" applyAlignment="1">
      <alignment horizontal="center"/>
    </xf>
    <xf numFmtId="164" fontId="7" fillId="12" borderId="7" xfId="0" applyNumberFormat="1" applyFont="1" applyFill="1" applyBorder="1"/>
    <xf numFmtId="0" fontId="7" fillId="10" borderId="24" xfId="0" applyFont="1" applyFill="1" applyBorder="1"/>
    <xf numFmtId="0" fontId="5" fillId="2" borderId="15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6" fillId="3" borderId="7" xfId="0" applyFont="1" applyFill="1" applyBorder="1"/>
    <xf numFmtId="164" fontId="4" fillId="3" borderId="7" xfId="0" applyNumberFormat="1" applyFont="1" applyFill="1" applyBorder="1"/>
    <xf numFmtId="10" fontId="13" fillId="3" borderId="8" xfId="0" applyNumberFormat="1" applyFont="1" applyFill="1" applyBorder="1"/>
    <xf numFmtId="164" fontId="4" fillId="3" borderId="3" xfId="0" applyNumberFormat="1" applyFont="1" applyFill="1" applyBorder="1"/>
    <xf numFmtId="10" fontId="13" fillId="3" borderId="3" xfId="0" applyNumberFormat="1" applyFont="1" applyFill="1" applyBorder="1"/>
    <xf numFmtId="0" fontId="19" fillId="19" borderId="6" xfId="0" applyFont="1" applyFill="1" applyBorder="1"/>
    <xf numFmtId="164" fontId="10" fillId="19" borderId="6" xfId="0" applyNumberFormat="1" applyFont="1" applyFill="1" applyBorder="1"/>
    <xf numFmtId="10" fontId="20" fillId="19" borderId="11" xfId="0" applyNumberFormat="1" applyFont="1" applyFill="1" applyBorder="1"/>
    <xf numFmtId="164" fontId="10" fillId="19" borderId="12" xfId="0" applyNumberFormat="1" applyFont="1" applyFill="1" applyBorder="1"/>
    <xf numFmtId="10" fontId="20" fillId="19" borderId="12" xfId="0" applyNumberFormat="1" applyFont="1" applyFill="1" applyBorder="1"/>
    <xf numFmtId="0" fontId="5" fillId="10" borderId="25" xfId="0" applyFont="1" applyFill="1" applyBorder="1"/>
    <xf numFmtId="0" fontId="2" fillId="10" borderId="25" xfId="0" applyFont="1" applyFill="1" applyBorder="1"/>
    <xf numFmtId="0" fontId="2" fillId="10" borderId="26" xfId="0" applyFont="1" applyFill="1" applyBorder="1"/>
    <xf numFmtId="0" fontId="2" fillId="10" borderId="27" xfId="0" applyFont="1" applyFill="1" applyBorder="1"/>
    <xf numFmtId="0" fontId="5" fillId="0" borderId="28" xfId="0" applyFont="1" applyBorder="1"/>
    <xf numFmtId="0" fontId="5" fillId="10" borderId="7" xfId="0" applyFont="1" applyFill="1" applyBorder="1"/>
    <xf numFmtId="0" fontId="5" fillId="10" borderId="3" xfId="0" applyFont="1" applyFill="1" applyBorder="1"/>
    <xf numFmtId="164" fontId="2" fillId="10" borderId="3" xfId="0" applyNumberFormat="1" applyFont="1" applyFill="1" applyBorder="1"/>
    <xf numFmtId="0" fontId="19" fillId="20" borderId="6" xfId="0" applyFont="1" applyFill="1" applyBorder="1"/>
    <xf numFmtId="164" fontId="10" fillId="20" borderId="12" xfId="0" applyNumberFormat="1" applyFont="1" applyFill="1" applyBorder="1"/>
    <xf numFmtId="10" fontId="20" fillId="20" borderId="11" xfId="0" applyNumberFormat="1" applyFont="1" applyFill="1" applyBorder="1"/>
    <xf numFmtId="10" fontId="20" fillId="20" borderId="12" xfId="0" applyNumberFormat="1" applyFont="1" applyFill="1" applyBorder="1"/>
    <xf numFmtId="164" fontId="10" fillId="20" borderId="6" xfId="0" applyNumberFormat="1" applyFont="1" applyFill="1" applyBorder="1"/>
    <xf numFmtId="164" fontId="2" fillId="0" borderId="0" xfId="0" applyNumberFormat="1" applyFont="1" applyBorder="1"/>
    <xf numFmtId="0" fontId="8" fillId="16" borderId="3" xfId="0" applyFont="1" applyFill="1" applyBorder="1" applyAlignment="1">
      <alignment horizontal="center"/>
    </xf>
    <xf numFmtId="0" fontId="8" fillId="16" borderId="3" xfId="0" applyFont="1" applyFill="1" applyBorder="1"/>
    <xf numFmtId="0" fontId="8" fillId="0" borderId="0" xfId="0" applyFont="1" applyBorder="1"/>
    <xf numFmtId="166" fontId="5" fillId="0" borderId="0" xfId="0" applyNumberFormat="1" applyFont="1" applyBorder="1" applyAlignment="1">
      <alignment horizontal="left"/>
    </xf>
    <xf numFmtId="0" fontId="8" fillId="0" borderId="18" xfId="0" applyFont="1" applyBorder="1"/>
    <xf numFmtId="166" fontId="5" fillId="0" borderId="18" xfId="0" applyNumberFormat="1" applyFont="1" applyBorder="1" applyAlignment="1">
      <alignment horizontal="left"/>
    </xf>
    <xf numFmtId="0" fontId="8" fillId="0" borderId="29" xfId="0" applyFont="1" applyBorder="1"/>
    <xf numFmtId="166" fontId="5" fillId="0" borderId="29" xfId="0" applyNumberFormat="1" applyFont="1" applyBorder="1" applyAlignment="1">
      <alignment horizontal="left"/>
    </xf>
    <xf numFmtId="164" fontId="5" fillId="0" borderId="0" xfId="0" applyNumberFormat="1" applyFont="1" applyBorder="1" applyAlignment="1">
      <alignment horizontal="left"/>
    </xf>
    <xf numFmtId="166" fontId="5" fillId="0" borderId="18" xfId="0" applyNumberFormat="1" applyFont="1" applyBorder="1"/>
    <xf numFmtId="0" fontId="21" fillId="0" borderId="14" xfId="0" applyFont="1" applyBorder="1"/>
    <xf numFmtId="166" fontId="21" fillId="0" borderId="14" xfId="0" applyNumberFormat="1" applyFont="1" applyBorder="1" applyAlignment="1">
      <alignment horizontal="left"/>
    </xf>
    <xf numFmtId="2" fontId="5" fillId="0" borderId="0" xfId="0" applyNumberFormat="1" applyFont="1" applyBorder="1" applyAlignment="1">
      <alignment horizontal="center"/>
    </xf>
    <xf numFmtId="4" fontId="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16" borderId="3" xfId="0" applyFont="1" applyFill="1" applyBorder="1"/>
    <xf numFmtId="2" fontId="5" fillId="16" borderId="3" xfId="0" applyNumberFormat="1" applyFont="1" applyFill="1" applyBorder="1" applyAlignment="1">
      <alignment horizontal="center"/>
    </xf>
    <xf numFmtId="0" fontId="22" fillId="21" borderId="30" xfId="0" applyFont="1" applyFill="1" applyBorder="1"/>
    <xf numFmtId="0" fontId="4" fillId="10" borderId="33" xfId="0" applyFont="1" applyFill="1" applyBorder="1"/>
    <xf numFmtId="0" fontId="4" fillId="10" borderId="34" xfId="0" applyFont="1" applyFill="1" applyBorder="1" applyAlignment="1">
      <alignment horizontal="center"/>
    </xf>
    <xf numFmtId="0" fontId="4" fillId="10" borderId="14" xfId="0" applyFont="1" applyFill="1" applyBorder="1" applyAlignment="1">
      <alignment horizontal="center"/>
    </xf>
    <xf numFmtId="0" fontId="4" fillId="10" borderId="35" xfId="0" applyFont="1" applyFill="1" applyBorder="1" applyAlignment="1">
      <alignment horizontal="center"/>
    </xf>
    <xf numFmtId="0" fontId="7" fillId="10" borderId="33" xfId="0" applyFont="1" applyFill="1" applyBorder="1"/>
    <xf numFmtId="164" fontId="7" fillId="10" borderId="34" xfId="0" applyNumberFormat="1" applyFont="1" applyFill="1" applyBorder="1"/>
    <xf numFmtId="10" fontId="4" fillId="10" borderId="14" xfId="0" applyNumberFormat="1" applyFont="1" applyFill="1" applyBorder="1"/>
    <xf numFmtId="164" fontId="7" fillId="10" borderId="14" xfId="0" applyNumberFormat="1" applyFont="1" applyFill="1" applyBorder="1"/>
    <xf numFmtId="10" fontId="7" fillId="10" borderId="14" xfId="0" applyNumberFormat="1" applyFont="1" applyFill="1" applyBorder="1"/>
    <xf numFmtId="10" fontId="7" fillId="10" borderId="35" xfId="0" applyNumberFormat="1" applyFont="1" applyFill="1" applyBorder="1"/>
    <xf numFmtId="10" fontId="7" fillId="10" borderId="3" xfId="0" applyNumberFormat="1" applyFont="1" applyFill="1" applyBorder="1"/>
    <xf numFmtId="164" fontId="5" fillId="10" borderId="3" xfId="0" applyNumberFormat="1" applyFont="1" applyFill="1" applyBorder="1"/>
    <xf numFmtId="0" fontId="10" fillId="23" borderId="33" xfId="0" applyFont="1" applyFill="1" applyBorder="1" applyAlignment="1">
      <alignment horizontal="center" vertical="center"/>
    </xf>
    <xf numFmtId="168" fontId="4" fillId="10" borderId="14" xfId="0" applyNumberFormat="1" applyFont="1" applyFill="1" applyBorder="1" applyAlignment="1">
      <alignment horizontal="center"/>
    </xf>
    <xf numFmtId="9" fontId="4" fillId="10" borderId="14" xfId="0" applyNumberFormat="1" applyFont="1" applyFill="1" applyBorder="1" applyAlignment="1">
      <alignment horizontal="center"/>
    </xf>
    <xf numFmtId="9" fontId="4" fillId="10" borderId="35" xfId="0" applyNumberFormat="1" applyFont="1" applyFill="1" applyBorder="1" applyAlignment="1">
      <alignment horizontal="center"/>
    </xf>
    <xf numFmtId="0" fontId="10" fillId="24" borderId="33" xfId="0" applyFont="1" applyFill="1" applyBorder="1" applyAlignment="1">
      <alignment horizontal="center" vertical="center"/>
    </xf>
    <xf numFmtId="168" fontId="7" fillId="10" borderId="14" xfId="0" applyNumberFormat="1" applyFont="1" applyFill="1" applyBorder="1" applyAlignment="1">
      <alignment horizontal="center"/>
    </xf>
    <xf numFmtId="0" fontId="10" fillId="25" borderId="33" xfId="0" applyFont="1" applyFill="1" applyBorder="1" applyAlignment="1">
      <alignment horizontal="center"/>
    </xf>
    <xf numFmtId="168" fontId="23" fillId="25" borderId="34" xfId="0" applyNumberFormat="1" applyFont="1" applyFill="1" applyBorder="1" applyAlignment="1">
      <alignment horizontal="center"/>
    </xf>
    <xf numFmtId="9" fontId="10" fillId="25" borderId="14" xfId="0" applyNumberFormat="1" applyFont="1" applyFill="1" applyBorder="1" applyAlignment="1">
      <alignment horizontal="center"/>
    </xf>
    <xf numFmtId="168" fontId="23" fillId="25" borderId="14" xfId="0" applyNumberFormat="1" applyFont="1" applyFill="1" applyBorder="1" applyAlignment="1">
      <alignment horizontal="center"/>
    </xf>
    <xf numFmtId="9" fontId="10" fillId="25" borderId="35" xfId="0" applyNumberFormat="1" applyFont="1" applyFill="1" applyBorder="1" applyAlignment="1">
      <alignment horizontal="center"/>
    </xf>
    <xf numFmtId="0" fontId="10" fillId="26" borderId="33" xfId="0" applyFont="1" applyFill="1" applyBorder="1" applyAlignment="1">
      <alignment horizontal="center" vertical="center"/>
    </xf>
    <xf numFmtId="168" fontId="7" fillId="0" borderId="14" xfId="0" applyNumberFormat="1" applyFont="1" applyBorder="1" applyAlignment="1">
      <alignment horizontal="center"/>
    </xf>
    <xf numFmtId="0" fontId="10" fillId="18" borderId="23" xfId="0" applyFont="1" applyFill="1" applyBorder="1" applyAlignment="1">
      <alignment horizontal="center" vertical="center"/>
    </xf>
    <xf numFmtId="168" fontId="7" fillId="27" borderId="34" xfId="0" applyNumberFormat="1" applyFont="1" applyFill="1" applyBorder="1" applyAlignment="1">
      <alignment horizontal="center"/>
    </xf>
    <xf numFmtId="9" fontId="4" fillId="27" borderId="14" xfId="0" applyNumberFormat="1" applyFont="1" applyFill="1" applyBorder="1" applyAlignment="1">
      <alignment horizontal="center"/>
    </xf>
    <xf numFmtId="9" fontId="4" fillId="27" borderId="35" xfId="0" applyNumberFormat="1" applyFont="1" applyFill="1" applyBorder="1" applyAlignment="1">
      <alignment horizontal="center"/>
    </xf>
    <xf numFmtId="0" fontId="7" fillId="0" borderId="36" xfId="0" applyFont="1" applyBorder="1"/>
    <xf numFmtId="168" fontId="7" fillId="0" borderId="34" xfId="0" applyNumberFormat="1" applyFont="1" applyBorder="1" applyAlignment="1">
      <alignment horizontal="center"/>
    </xf>
    <xf numFmtId="9" fontId="4" fillId="0" borderId="14" xfId="0" applyNumberFormat="1" applyFont="1" applyBorder="1" applyAlignment="1">
      <alignment horizontal="center"/>
    </xf>
    <xf numFmtId="9" fontId="4" fillId="0" borderId="35" xfId="0" applyNumberFormat="1" applyFont="1" applyBorder="1" applyAlignment="1">
      <alignment horizontal="center"/>
    </xf>
    <xf numFmtId="9" fontId="4" fillId="0" borderId="0" xfId="0" applyNumberFormat="1" applyFont="1" applyBorder="1" applyAlignment="1">
      <alignment horizontal="center"/>
    </xf>
    <xf numFmtId="0" fontId="23" fillId="25" borderId="33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/>
    </xf>
    <xf numFmtId="168" fontId="7" fillId="10" borderId="34" xfId="0" applyNumberFormat="1" applyFont="1" applyFill="1" applyBorder="1" applyAlignment="1">
      <alignment horizontal="center"/>
    </xf>
    <xf numFmtId="168" fontId="7" fillId="21" borderId="34" xfId="0" applyNumberFormat="1" applyFont="1" applyFill="1" applyBorder="1" applyAlignment="1">
      <alignment horizontal="center"/>
    </xf>
    <xf numFmtId="0" fontId="7" fillId="6" borderId="33" xfId="0" applyFont="1" applyFill="1" applyBorder="1" applyAlignment="1">
      <alignment horizontal="center"/>
    </xf>
    <xf numFmtId="168" fontId="7" fillId="6" borderId="34" xfId="0" applyNumberFormat="1" applyFont="1" applyFill="1" applyBorder="1" applyAlignment="1">
      <alignment horizontal="center"/>
    </xf>
    <xf numFmtId="9" fontId="4" fillId="6" borderId="14" xfId="0" applyNumberFormat="1" applyFont="1" applyFill="1" applyBorder="1" applyAlignment="1">
      <alignment horizontal="center"/>
    </xf>
    <xf numFmtId="9" fontId="4" fillId="6" borderId="35" xfId="0" applyNumberFormat="1" applyFont="1" applyFill="1" applyBorder="1" applyAlignment="1">
      <alignment horizontal="center"/>
    </xf>
    <xf numFmtId="0" fontId="10" fillId="25" borderId="33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/>
    </xf>
    <xf numFmtId="168" fontId="7" fillId="21" borderId="14" xfId="0" applyNumberFormat="1" applyFont="1" applyFill="1" applyBorder="1" applyAlignment="1">
      <alignment horizontal="center"/>
    </xf>
    <xf numFmtId="0" fontId="10" fillId="28" borderId="33" xfId="0" applyFont="1" applyFill="1" applyBorder="1" applyAlignment="1">
      <alignment horizontal="center" vertical="center"/>
    </xf>
    <xf numFmtId="168" fontId="10" fillId="28" borderId="34" xfId="0" applyNumberFormat="1" applyFont="1" applyFill="1" applyBorder="1" applyAlignment="1">
      <alignment horizontal="center" vertical="center"/>
    </xf>
    <xf numFmtId="9" fontId="10" fillId="28" borderId="14" xfId="0" applyNumberFormat="1" applyFont="1" applyFill="1" applyBorder="1" applyAlignment="1">
      <alignment horizontal="center" vertical="center"/>
    </xf>
    <xf numFmtId="9" fontId="10" fillId="28" borderId="35" xfId="0" applyNumberFormat="1" applyFont="1" applyFill="1" applyBorder="1" applyAlignment="1">
      <alignment horizontal="center" vertical="center"/>
    </xf>
    <xf numFmtId="0" fontId="7" fillId="12" borderId="37" xfId="0" applyFont="1" applyFill="1" applyBorder="1"/>
    <xf numFmtId="0" fontId="7" fillId="12" borderId="38" xfId="0" applyFont="1" applyFill="1" applyBorder="1"/>
    <xf numFmtId="10" fontId="7" fillId="12" borderId="39" xfId="0" applyNumberFormat="1" applyFont="1" applyFill="1" applyBorder="1"/>
    <xf numFmtId="0" fontId="7" fillId="12" borderId="40" xfId="0" applyFont="1" applyFill="1" applyBorder="1"/>
    <xf numFmtId="0" fontId="5" fillId="12" borderId="39" xfId="0" applyFont="1" applyFill="1" applyBorder="1"/>
    <xf numFmtId="0" fontId="7" fillId="12" borderId="40" xfId="0" quotePrefix="1" applyFont="1" applyFill="1" applyBorder="1"/>
    <xf numFmtId="0" fontId="5" fillId="12" borderId="41" xfId="0" applyFont="1" applyFill="1" applyBorder="1"/>
    <xf numFmtId="0" fontId="24" fillId="29" borderId="3" xfId="0" applyFont="1" applyFill="1" applyBorder="1" applyAlignment="1">
      <alignment horizontal="center"/>
    </xf>
    <xf numFmtId="166" fontId="7" fillId="10" borderId="34" xfId="0" applyNumberFormat="1" applyFont="1" applyFill="1" applyBorder="1" applyAlignment="1">
      <alignment horizontal="center"/>
    </xf>
    <xf numFmtId="168" fontId="7" fillId="26" borderId="34" xfId="0" applyNumberFormat="1" applyFont="1" applyFill="1" applyBorder="1" applyAlignment="1">
      <alignment horizontal="center"/>
    </xf>
    <xf numFmtId="9" fontId="4" fillId="26" borderId="14" xfId="0" applyNumberFormat="1" applyFont="1" applyFill="1" applyBorder="1" applyAlignment="1">
      <alignment horizontal="center"/>
    </xf>
    <xf numFmtId="9" fontId="4" fillId="26" borderId="35" xfId="0" applyNumberFormat="1" applyFont="1" applyFill="1" applyBorder="1" applyAlignment="1">
      <alignment horizontal="center"/>
    </xf>
    <xf numFmtId="0" fontId="8" fillId="10" borderId="3" xfId="0" applyFont="1" applyFill="1" applyBorder="1"/>
    <xf numFmtId="0" fontId="25" fillId="25" borderId="30" xfId="0" applyFont="1" applyFill="1" applyBorder="1"/>
    <xf numFmtId="0" fontId="18" fillId="7" borderId="3" xfId="0" applyFont="1" applyFill="1" applyBorder="1"/>
    <xf numFmtId="0" fontId="11" fillId="30" borderId="14" xfId="0" applyFont="1" applyFill="1" applyBorder="1"/>
    <xf numFmtId="0" fontId="11" fillId="30" borderId="14" xfId="0" applyFont="1" applyFill="1" applyBorder="1" applyAlignment="1">
      <alignment horizontal="center"/>
    </xf>
    <xf numFmtId="0" fontId="12" fillId="7" borderId="3" xfId="0" applyFont="1" applyFill="1" applyBorder="1" applyAlignment="1">
      <alignment horizontal="center"/>
    </xf>
    <xf numFmtId="164" fontId="8" fillId="0" borderId="14" xfId="0" applyNumberFormat="1" applyFont="1" applyBorder="1"/>
    <xf numFmtId="164" fontId="8" fillId="0" borderId="14" xfId="0" applyNumberFormat="1" applyFont="1" applyBorder="1" applyAlignment="1">
      <alignment horizontal="center"/>
    </xf>
    <xf numFmtId="164" fontId="5" fillId="0" borderId="14" xfId="0" applyNumberFormat="1" applyFont="1" applyBorder="1"/>
    <xf numFmtId="164" fontId="5" fillId="0" borderId="14" xfId="0" applyNumberFormat="1" applyFont="1" applyBorder="1" applyAlignment="1">
      <alignment horizontal="center"/>
    </xf>
    <xf numFmtId="166" fontId="5" fillId="0" borderId="14" xfId="0" applyNumberFormat="1" applyFont="1" applyBorder="1" applyAlignment="1">
      <alignment horizontal="center"/>
    </xf>
    <xf numFmtId="166" fontId="5" fillId="0" borderId="14" xfId="0" applyNumberFormat="1" applyFont="1" applyBorder="1"/>
    <xf numFmtId="0" fontId="8" fillId="16" borderId="14" xfId="0" applyFont="1" applyFill="1" applyBorder="1"/>
    <xf numFmtId="166" fontId="5" fillId="0" borderId="0" xfId="0" applyNumberFormat="1" applyFont="1" applyBorder="1" applyAlignment="1">
      <alignment horizontal="center"/>
    </xf>
    <xf numFmtId="0" fontId="11" fillId="30" borderId="6" xfId="0" applyFont="1" applyFill="1" applyBorder="1"/>
    <xf numFmtId="0" fontId="5" fillId="0" borderId="21" xfId="0" applyFont="1" applyBorder="1"/>
    <xf numFmtId="164" fontId="8" fillId="0" borderId="19" xfId="0" applyNumberFormat="1" applyFont="1" applyBorder="1"/>
    <xf numFmtId="0" fontId="27" fillId="0" borderId="0" xfId="0" applyFont="1" applyBorder="1"/>
    <xf numFmtId="166" fontId="27" fillId="0" borderId="0" xfId="0" applyNumberFormat="1" applyFont="1" applyBorder="1"/>
    <xf numFmtId="164" fontId="27" fillId="0" borderId="0" xfId="0" applyNumberFormat="1" applyFont="1" applyBorder="1"/>
    <xf numFmtId="0" fontId="8" fillId="0" borderId="14" xfId="0" applyFont="1" applyBorder="1"/>
    <xf numFmtId="164" fontId="8" fillId="0" borderId="0" xfId="0" applyNumberFormat="1" applyFont="1" applyBorder="1"/>
    <xf numFmtId="166" fontId="5" fillId="0" borderId="0" xfId="0" applyNumberFormat="1" applyFont="1" applyBorder="1"/>
    <xf numFmtId="0" fontId="22" fillId="2" borderId="30" xfId="0" applyFont="1" applyFill="1" applyBorder="1"/>
    <xf numFmtId="0" fontId="22" fillId="22" borderId="3" xfId="0" applyFont="1" applyFill="1" applyBorder="1" applyAlignment="1">
      <alignment horizontal="left"/>
    </xf>
    <xf numFmtId="0" fontId="22" fillId="22" borderId="3" xfId="0" applyFont="1" applyFill="1" applyBorder="1" applyAlignment="1">
      <alignment horizontal="center"/>
    </xf>
    <xf numFmtId="0" fontId="13" fillId="0" borderId="44" xfId="0" applyFont="1" applyBorder="1" applyAlignment="1">
      <alignment horizontal="center"/>
    </xf>
    <xf numFmtId="0" fontId="13" fillId="0" borderId="45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168" fontId="4" fillId="0" borderId="36" xfId="0" applyNumberFormat="1" applyFont="1" applyBorder="1" applyAlignment="1">
      <alignment horizontal="center" vertical="center"/>
    </xf>
    <xf numFmtId="9" fontId="4" fillId="0" borderId="46" xfId="0" applyNumberFormat="1" applyFont="1" applyBorder="1" applyAlignment="1">
      <alignment horizontal="center" vertical="center"/>
    </xf>
    <xf numFmtId="164" fontId="2" fillId="31" borderId="14" xfId="0" applyNumberFormat="1" applyFont="1" applyFill="1" applyBorder="1" applyAlignment="1">
      <alignment horizontal="center"/>
    </xf>
    <xf numFmtId="10" fontId="2" fillId="31" borderId="14" xfId="0" applyNumberFormat="1" applyFont="1" applyFill="1" applyBorder="1" applyAlignment="1">
      <alignment horizontal="center"/>
    </xf>
    <xf numFmtId="2" fontId="2" fillId="31" borderId="14" xfId="0" applyNumberFormat="1" applyFont="1" applyFill="1" applyBorder="1" applyAlignment="1">
      <alignment horizontal="center"/>
    </xf>
    <xf numFmtId="168" fontId="7" fillId="0" borderId="36" xfId="0" applyNumberFormat="1" applyFont="1" applyBorder="1" applyAlignment="1">
      <alignment horizontal="center" vertical="center"/>
    </xf>
    <xf numFmtId="10" fontId="4" fillId="0" borderId="46" xfId="0" applyNumberFormat="1" applyFont="1" applyBorder="1" applyAlignment="1">
      <alignment horizontal="center" vertical="center"/>
    </xf>
    <xf numFmtId="164" fontId="2" fillId="13" borderId="14" xfId="0" applyNumberFormat="1" applyFont="1" applyFill="1" applyBorder="1" applyAlignment="1">
      <alignment horizontal="center"/>
    </xf>
    <xf numFmtId="10" fontId="2" fillId="13" borderId="14" xfId="0" applyNumberFormat="1" applyFont="1" applyFill="1" applyBorder="1" applyAlignment="1">
      <alignment horizontal="center"/>
    </xf>
    <xf numFmtId="2" fontId="2" fillId="13" borderId="14" xfId="0" applyNumberFormat="1" applyFont="1" applyFill="1" applyBorder="1" applyAlignment="1">
      <alignment horizontal="center"/>
    </xf>
    <xf numFmtId="168" fontId="28" fillId="25" borderId="33" xfId="0" applyNumberFormat="1" applyFont="1" applyFill="1" applyBorder="1" applyAlignment="1">
      <alignment horizontal="center" vertical="center"/>
    </xf>
    <xf numFmtId="10" fontId="29" fillId="25" borderId="47" xfId="0" applyNumberFormat="1" applyFont="1" applyFill="1" applyBorder="1" applyAlignment="1">
      <alignment horizontal="center" vertical="center"/>
    </xf>
    <xf numFmtId="9" fontId="29" fillId="25" borderId="47" xfId="0" applyNumberFormat="1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/>
    </xf>
    <xf numFmtId="10" fontId="2" fillId="0" borderId="14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0" fontId="10" fillId="18" borderId="33" xfId="0" applyFont="1" applyFill="1" applyBorder="1" applyAlignment="1">
      <alignment horizontal="center" vertical="center"/>
    </xf>
    <xf numFmtId="164" fontId="2" fillId="26" borderId="14" xfId="0" applyNumberFormat="1" applyFont="1" applyFill="1" applyBorder="1" applyAlignment="1">
      <alignment horizontal="center"/>
    </xf>
    <xf numFmtId="10" fontId="2" fillId="26" borderId="14" xfId="0" applyNumberFormat="1" applyFont="1" applyFill="1" applyBorder="1" applyAlignment="1">
      <alignment horizontal="center"/>
    </xf>
    <xf numFmtId="2" fontId="2" fillId="26" borderId="14" xfId="0" applyNumberFormat="1" applyFont="1" applyFill="1" applyBorder="1" applyAlignment="1">
      <alignment horizontal="center"/>
    </xf>
    <xf numFmtId="168" fontId="29" fillId="25" borderId="3" xfId="0" applyNumberFormat="1" applyFont="1" applyFill="1" applyBorder="1" applyAlignment="1">
      <alignment horizontal="center" vertical="center"/>
    </xf>
    <xf numFmtId="9" fontId="7" fillId="0" borderId="46" xfId="0" applyNumberFormat="1" applyFont="1" applyBorder="1" applyAlignment="1">
      <alignment horizontal="center" vertical="center"/>
    </xf>
    <xf numFmtId="168" fontId="29" fillId="28" borderId="33" xfId="0" applyNumberFormat="1" applyFont="1" applyFill="1" applyBorder="1" applyAlignment="1">
      <alignment horizontal="center" vertical="center"/>
    </xf>
    <xf numFmtId="10" fontId="29" fillId="28" borderId="47" xfId="0" applyNumberFormat="1" applyFont="1" applyFill="1" applyBorder="1" applyAlignment="1">
      <alignment horizontal="center" vertical="center"/>
    </xf>
    <xf numFmtId="9" fontId="29" fillId="28" borderId="47" xfId="0" applyNumberFormat="1" applyFont="1" applyFill="1" applyBorder="1" applyAlignment="1">
      <alignment horizontal="center" vertical="center"/>
    </xf>
    <xf numFmtId="168" fontId="29" fillId="28" borderId="3" xfId="0" applyNumberFormat="1" applyFont="1" applyFill="1" applyBorder="1" applyAlignment="1">
      <alignment horizontal="center" vertical="center"/>
    </xf>
    <xf numFmtId="164" fontId="2" fillId="17" borderId="14" xfId="0" applyNumberFormat="1" applyFont="1" applyFill="1" applyBorder="1" applyAlignment="1">
      <alignment horizontal="center"/>
    </xf>
    <xf numFmtId="10" fontId="2" fillId="17" borderId="14" xfId="0" applyNumberFormat="1" applyFont="1" applyFill="1" applyBorder="1" applyAlignment="1">
      <alignment horizontal="center"/>
    </xf>
    <xf numFmtId="2" fontId="2" fillId="17" borderId="14" xfId="0" applyNumberFormat="1" applyFont="1" applyFill="1" applyBorder="1" applyAlignment="1">
      <alignment horizontal="center"/>
    </xf>
    <xf numFmtId="0" fontId="10" fillId="0" borderId="0" xfId="0" applyFont="1" applyBorder="1"/>
    <xf numFmtId="0" fontId="30" fillId="9" borderId="6" xfId="0" applyFont="1" applyFill="1" applyBorder="1" applyAlignment="1">
      <alignment horizontal="center" vertical="center"/>
    </xf>
    <xf numFmtId="0" fontId="12" fillId="0" borderId="0" xfId="0" applyFont="1" applyBorder="1"/>
    <xf numFmtId="166" fontId="7" fillId="10" borderId="7" xfId="0" applyNumberFormat="1" applyFont="1" applyFill="1" applyBorder="1"/>
    <xf numFmtId="166" fontId="2" fillId="0" borderId="14" xfId="0" applyNumberFormat="1" applyFont="1" applyBorder="1" applyAlignment="1">
      <alignment horizontal="center"/>
    </xf>
    <xf numFmtId="166" fontId="2" fillId="17" borderId="14" xfId="0" applyNumberFormat="1" applyFont="1" applyFill="1" applyBorder="1" applyAlignment="1">
      <alignment horizontal="center"/>
    </xf>
    <xf numFmtId="166" fontId="7" fillId="0" borderId="4" xfId="0" applyNumberFormat="1" applyFont="1" applyBorder="1"/>
    <xf numFmtId="10" fontId="13" fillId="9" borderId="12" xfId="0" applyNumberFormat="1" applyFont="1" applyFill="1" applyBorder="1"/>
    <xf numFmtId="0" fontId="9" fillId="7" borderId="12" xfId="0" applyFont="1" applyFill="1" applyBorder="1" applyAlignment="1">
      <alignment horizontal="center"/>
    </xf>
    <xf numFmtId="0" fontId="10" fillId="0" borderId="0" xfId="0" applyFont="1" applyBorder="1" applyAlignment="1">
      <alignment horizontal="center"/>
    </xf>
    <xf numFmtId="166" fontId="7" fillId="12" borderId="7" xfId="0" applyNumberFormat="1" applyFont="1" applyFill="1" applyBorder="1"/>
    <xf numFmtId="10" fontId="20" fillId="0" borderId="0" xfId="0" applyNumberFormat="1" applyFont="1" applyBorder="1"/>
    <xf numFmtId="164" fontId="10" fillId="0" borderId="0" xfId="0" applyNumberFormat="1" applyFont="1" applyBorder="1"/>
    <xf numFmtId="0" fontId="31" fillId="0" borderId="0" xfId="0" applyFont="1" applyBorder="1"/>
    <xf numFmtId="0" fontId="31" fillId="0" borderId="0" xfId="0" applyFont="1" applyBorder="1" applyAlignment="1">
      <alignment horizontal="center"/>
    </xf>
    <xf numFmtId="168" fontId="5" fillId="0" borderId="0" xfId="0" applyNumberFormat="1" applyFont="1" applyBorder="1"/>
    <xf numFmtId="0" fontId="26" fillId="3" borderId="15" xfId="0" applyFont="1" applyFill="1" applyBorder="1" applyAlignment="1">
      <alignment horizontal="center"/>
    </xf>
    <xf numFmtId="0" fontId="0" fillId="0" borderId="15" xfId="0" applyBorder="1"/>
    <xf numFmtId="0" fontId="26" fillId="5" borderId="15" xfId="0" applyFont="1" applyFill="1" applyBorder="1" applyAlignment="1">
      <alignment horizontal="center"/>
    </xf>
    <xf numFmtId="0" fontId="26" fillId="4" borderId="15" xfId="0" applyFont="1" applyFill="1" applyBorder="1" applyAlignment="1">
      <alignment horizontal="center"/>
    </xf>
    <xf numFmtId="0" fontId="4" fillId="4" borderId="44" xfId="0" applyFont="1" applyFill="1" applyBorder="1" applyAlignment="1">
      <alignment horizontal="center"/>
    </xf>
    <xf numFmtId="0" fontId="0" fillId="0" borderId="45" xfId="0" applyBorder="1"/>
    <xf numFmtId="0" fontId="10" fillId="7" borderId="20" xfId="0" applyFont="1" applyFill="1" applyBorder="1" applyAlignment="1">
      <alignment horizontal="center"/>
    </xf>
    <xf numFmtId="0" fontId="0" fillId="0" borderId="22" xfId="0" applyBorder="1"/>
    <xf numFmtId="0" fontId="9" fillId="7" borderId="23" xfId="0" applyFont="1" applyFill="1" applyBorder="1" applyAlignment="1">
      <alignment horizontal="center"/>
    </xf>
    <xf numFmtId="0" fontId="0" fillId="0" borderId="19" xfId="0" applyBorder="1"/>
    <xf numFmtId="0" fontId="10" fillId="7" borderId="23" xfId="0" applyFont="1" applyFill="1" applyBorder="1" applyAlignment="1">
      <alignment horizontal="center"/>
    </xf>
    <xf numFmtId="0" fontId="4" fillId="2" borderId="48" xfId="0" applyFont="1" applyFill="1" applyBorder="1" applyAlignment="1">
      <alignment horizontal="center"/>
    </xf>
    <xf numFmtId="0" fontId="0" fillId="0" borderId="2" xfId="0" applyBorder="1"/>
    <xf numFmtId="0" fontId="4" fillId="3" borderId="48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22" fillId="13" borderId="50" xfId="0" applyFont="1" applyFill="1" applyBorder="1" applyAlignment="1">
      <alignment horizontal="center"/>
    </xf>
    <xf numFmtId="0" fontId="0" fillId="0" borderId="31" xfId="0" applyBorder="1"/>
    <xf numFmtId="0" fontId="22" fillId="22" borderId="51" xfId="0" applyFont="1" applyFill="1" applyBorder="1" applyAlignment="1">
      <alignment horizontal="center"/>
    </xf>
    <xf numFmtId="0" fontId="0" fillId="0" borderId="32" xfId="0" applyBorder="1"/>
    <xf numFmtId="0" fontId="22" fillId="2" borderId="49" xfId="0" applyFont="1" applyFill="1" applyBorder="1" applyAlignment="1">
      <alignment horizontal="center"/>
    </xf>
    <xf numFmtId="0" fontId="22" fillId="3" borderId="49" xfId="0" applyFont="1" applyFill="1" applyBorder="1" applyAlignment="1">
      <alignment horizontal="center"/>
    </xf>
    <xf numFmtId="0" fontId="22" fillId="5" borderId="51" xfId="0" applyFont="1" applyFill="1" applyBorder="1" applyAlignment="1">
      <alignment horizontal="center"/>
    </xf>
    <xf numFmtId="0" fontId="6" fillId="4" borderId="42" xfId="0" applyFont="1" applyFill="1" applyBorder="1" applyAlignment="1">
      <alignment horizontal="center"/>
    </xf>
    <xf numFmtId="0" fontId="0" fillId="0" borderId="0" xfId="0" applyBorder="1"/>
    <xf numFmtId="0" fontId="8" fillId="0" borderId="43" xfId="0" applyFont="1" applyAlignment="1">
      <alignment horizontal="center"/>
    </xf>
    <xf numFmtId="0" fontId="22" fillId="2" borderId="14" xfId="0" applyFont="1" applyFill="1" applyBorder="1" applyAlignment="1">
      <alignment horizontal="center"/>
    </xf>
    <xf numFmtId="0" fontId="22" fillId="13" borderId="14" xfId="0" applyFont="1" applyFill="1" applyBorder="1" applyAlignment="1">
      <alignment horizontal="center"/>
    </xf>
    <xf numFmtId="0" fontId="22" fillId="3" borderId="14" xfId="0" applyFont="1" applyFill="1" applyBorder="1" applyAlignment="1">
      <alignment horizontal="center"/>
    </xf>
    <xf numFmtId="0" fontId="22" fillId="5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104775</xdr:colOff>
      <xdr:row>0</xdr:row>
      <xdr:rowOff>0</xdr:rowOff>
    </xdr:from>
    <xdr:ext cx="5029200" cy="20383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14</xdr:col>
      <xdr:colOff>104775</xdr:colOff>
      <xdr:row>0</xdr:row>
      <xdr:rowOff>0</xdr:rowOff>
    </xdr:from>
    <xdr:ext cx="5029200" cy="2095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8953"/>
  </sheetPr>
  <dimension ref="A1:Q1000"/>
  <sheetViews>
    <sheetView tabSelected="1" zoomScale="70" zoomScaleNormal="70" workbookViewId="0">
      <pane xSplit="1" ySplit="3" topLeftCell="C34" activePane="bottomRight" state="frozen"/>
      <selection pane="topRight" activeCell="B1" sqref="B1"/>
      <selection pane="bottomLeft" activeCell="A4" sqref="A4"/>
      <selection pane="bottomRight" activeCell="H27" sqref="H27"/>
    </sheetView>
  </sheetViews>
  <sheetFormatPr baseColWidth="10" defaultColWidth="14.42578125" defaultRowHeight="15" customHeight="1" x14ac:dyDescent="0.25"/>
  <cols>
    <col min="1" max="1" width="57.28515625" customWidth="1"/>
    <col min="2" max="2" width="23.28515625" customWidth="1"/>
    <col min="3" max="3" width="13.28515625" customWidth="1"/>
    <col min="4" max="4" width="23.28515625" customWidth="1"/>
    <col min="5" max="5" width="13.28515625" customWidth="1"/>
    <col min="6" max="6" width="23.28515625" customWidth="1"/>
    <col min="7" max="7" width="13.28515625" customWidth="1"/>
    <col min="8" max="8" width="23.28515625" customWidth="1"/>
    <col min="9" max="9" width="13.28515625" customWidth="1"/>
    <col min="10" max="10" width="19.5703125" customWidth="1"/>
    <col min="11" max="11" width="47.28515625" customWidth="1"/>
    <col min="12" max="12" width="53" customWidth="1"/>
    <col min="13" max="14" width="57.28515625" customWidth="1"/>
    <col min="15" max="15" width="14.7109375" customWidth="1"/>
    <col min="16" max="16" width="20.7109375" customWidth="1"/>
    <col min="17" max="17" width="19.85546875" customWidth="1"/>
    <col min="18" max="26" width="11.42578125" customWidth="1"/>
  </cols>
  <sheetData>
    <row r="1" spans="1:16" ht="15.75" customHeight="1" x14ac:dyDescent="0.3">
      <c r="D1" s="1" t="s">
        <v>49</v>
      </c>
      <c r="E1" s="2"/>
      <c r="F1" s="2"/>
      <c r="G1" s="2"/>
      <c r="H1" s="2"/>
      <c r="I1" s="2"/>
    </row>
    <row r="2" spans="1:16" ht="6.75" customHeight="1" x14ac:dyDescent="0.25">
      <c r="D2" s="2"/>
      <c r="E2" s="2"/>
      <c r="F2" s="2"/>
      <c r="G2" s="2"/>
      <c r="H2" s="2"/>
      <c r="I2" s="2"/>
    </row>
    <row r="3" spans="1:16" ht="15.75" customHeight="1" x14ac:dyDescent="0.4">
      <c r="A3" s="3" t="s">
        <v>50</v>
      </c>
      <c r="B3" s="324"/>
      <c r="C3" s="325"/>
      <c r="D3" s="326">
        <f>B3+1</f>
        <v>1</v>
      </c>
      <c r="E3" s="325"/>
      <c r="F3" s="317">
        <f>D3+1</f>
        <v>2</v>
      </c>
      <c r="G3" s="318"/>
      <c r="H3" s="327" t="str">
        <f>F3+1&amp;" "&amp;"("&amp;IF('Edo de resultados'!K2=1,"Enero",IF('Edo de resultados'!K2=2,"Febrero",IF('Edo de resultados'!K2=3,"Marzo",IF('Edo de resultados'!K2=4,"Abril",IF('Edo de resultados'!K2=5,"Mayo",IF('Edo de resultados'!K2=6,"Junio",IF('Edo de resultados'!K2=7,"Julio",IF('Edo de resultados'!K2=8,"Agosto",IF('Edo de resultados'!K2=9,"Septiembre",IF('Edo de resultados'!K2=10,"Octubre",IF('Edo de resultados'!K2=11,"Noviembre",IF('Edo de resultados'!K2=12,"Diciembre","INCORRECTO"))))))))))))&amp;")"</f>
        <v>3 (INCORRECTO)</v>
      </c>
      <c r="I3" s="325"/>
      <c r="J3" s="4"/>
      <c r="K3" s="5" t="str">
        <f>"Razones"&amp;" "&amp;B3</f>
        <v xml:space="preserve">Razones </v>
      </c>
      <c r="L3" s="6" t="str">
        <f>"Razones"&amp;" "&amp;B3+1</f>
        <v>Razones 1</v>
      </c>
      <c r="M3" s="7" t="str">
        <f>"Razones"&amp;" "&amp;B3+2</f>
        <v>Razones 2</v>
      </c>
      <c r="N3" s="8" t="str">
        <f>"Razones"&amp;" "&amp;B3+3</f>
        <v>Razones 3</v>
      </c>
    </row>
    <row r="4" spans="1:16" ht="15.75" customHeight="1" x14ac:dyDescent="0.25">
      <c r="A4" s="9"/>
      <c r="B4" s="10" t="s">
        <v>51</v>
      </c>
      <c r="C4" s="11"/>
      <c r="D4" s="9" t="s">
        <v>51</v>
      </c>
      <c r="E4" s="11"/>
      <c r="F4" s="12" t="s">
        <v>51</v>
      </c>
      <c r="G4" s="2"/>
      <c r="H4" s="9" t="s">
        <v>51</v>
      </c>
      <c r="I4" s="11"/>
      <c r="J4" s="13"/>
    </row>
    <row r="5" spans="1:16" ht="15.75" customHeight="1" x14ac:dyDescent="0.25">
      <c r="A5" s="14" t="s">
        <v>52</v>
      </c>
      <c r="B5" s="10"/>
      <c r="C5" s="11"/>
      <c r="D5" s="10"/>
      <c r="E5" s="11"/>
      <c r="F5" s="15"/>
      <c r="G5" s="2"/>
      <c r="H5" s="10"/>
      <c r="I5" s="11"/>
      <c r="J5" s="13"/>
      <c r="K5" s="16" t="s">
        <v>53</v>
      </c>
      <c r="L5" s="16" t="s">
        <v>53</v>
      </c>
      <c r="M5" s="16" t="s">
        <v>53</v>
      </c>
      <c r="N5" s="16" t="s">
        <v>53</v>
      </c>
    </row>
    <row r="6" spans="1:16" ht="15.75" customHeight="1" x14ac:dyDescent="0.3">
      <c r="A6" s="17" t="s">
        <v>54</v>
      </c>
      <c r="B6" s="17"/>
      <c r="C6" s="17"/>
      <c r="D6" s="18"/>
      <c r="E6" s="19"/>
      <c r="F6" s="18"/>
      <c r="G6" s="20"/>
      <c r="H6" s="18"/>
      <c r="I6" s="19"/>
      <c r="J6" s="21"/>
      <c r="K6" s="22" t="s">
        <v>55</v>
      </c>
      <c r="L6" s="22" t="s">
        <v>55</v>
      </c>
      <c r="M6" s="23" t="s">
        <v>55</v>
      </c>
      <c r="N6" s="23" t="s">
        <v>55</v>
      </c>
    </row>
    <row r="7" spans="1:16" ht="15.75" customHeight="1" x14ac:dyDescent="0.25">
      <c r="A7" s="24" t="s">
        <v>56</v>
      </c>
      <c r="B7" s="25" t="s">
        <v>57</v>
      </c>
      <c r="C7" s="24"/>
      <c r="D7" s="25" t="s">
        <v>57</v>
      </c>
      <c r="E7" s="26"/>
      <c r="F7" s="27" t="s">
        <v>57</v>
      </c>
      <c r="G7" s="28"/>
      <c r="H7" s="25" t="s">
        <v>57</v>
      </c>
      <c r="I7" s="29"/>
      <c r="J7" s="30" t="s">
        <v>58</v>
      </c>
      <c r="K7" s="31" t="s">
        <v>59</v>
      </c>
      <c r="L7" s="31" t="s">
        <v>59</v>
      </c>
      <c r="M7" s="32" t="s">
        <v>59</v>
      </c>
      <c r="N7" s="32" t="s">
        <v>59</v>
      </c>
      <c r="O7" s="33"/>
      <c r="P7" s="33"/>
    </row>
    <row r="8" spans="1:16" ht="15.75" customHeight="1" x14ac:dyDescent="0.25">
      <c r="A8" s="34"/>
      <c r="B8" s="35" t="s">
        <v>60</v>
      </c>
      <c r="C8" s="36" t="s">
        <v>61</v>
      </c>
      <c r="D8" s="35" t="s">
        <v>60</v>
      </c>
      <c r="E8" s="36" t="s">
        <v>61</v>
      </c>
      <c r="F8" s="37" t="s">
        <v>60</v>
      </c>
      <c r="G8" s="38" t="s">
        <v>61</v>
      </c>
      <c r="H8" s="35" t="s">
        <v>60</v>
      </c>
      <c r="I8" s="36" t="s">
        <v>61</v>
      </c>
      <c r="J8" s="39"/>
      <c r="K8" s="40" t="e">
        <f>B19/B61</f>
        <v>#DIV/0!</v>
      </c>
      <c r="L8" s="40" t="e">
        <f>D19/D61</f>
        <v>#DIV/0!</v>
      </c>
      <c r="M8" s="41" t="e">
        <f>F19/F61</f>
        <v>#DIV/0!</v>
      </c>
      <c r="N8" s="41" t="e">
        <f>H19/H61</f>
        <v>#DIV/0!</v>
      </c>
      <c r="P8" s="42"/>
    </row>
    <row r="9" spans="1:16" ht="15.75" customHeight="1" x14ac:dyDescent="0.25">
      <c r="A9" s="34" t="s">
        <v>62</v>
      </c>
      <c r="B9" s="43"/>
      <c r="C9" s="44" t="e">
        <f t="shared" ref="C9:C19" si="0">B9/$B$43</f>
        <v>#DIV/0!</v>
      </c>
      <c r="D9" s="43"/>
      <c r="E9" s="44" t="e">
        <f t="shared" ref="E9:E19" si="1">D9/$D$43</f>
        <v>#DIV/0!</v>
      </c>
      <c r="F9" s="43"/>
      <c r="G9" s="45" t="e">
        <f t="shared" ref="G9:G19" si="2">F9/$F$43</f>
        <v>#DIV/0!</v>
      </c>
      <c r="H9" s="43"/>
      <c r="I9" s="44" t="e">
        <f t="shared" ref="I9:I19" si="3">H9/$H$43</f>
        <v>#DIV/0!</v>
      </c>
      <c r="J9" s="46"/>
      <c r="P9" s="42"/>
    </row>
    <row r="10" spans="1:16" ht="15.75" customHeight="1" x14ac:dyDescent="0.25">
      <c r="A10" s="34" t="s">
        <v>63</v>
      </c>
      <c r="B10" s="43"/>
      <c r="C10" s="44" t="e">
        <f t="shared" si="0"/>
        <v>#DIV/0!</v>
      </c>
      <c r="D10" s="43"/>
      <c r="E10" s="44" t="e">
        <f t="shared" si="1"/>
        <v>#DIV/0!</v>
      </c>
      <c r="F10" s="43"/>
      <c r="G10" s="45" t="e">
        <f t="shared" si="2"/>
        <v>#DIV/0!</v>
      </c>
      <c r="H10" s="43"/>
      <c r="I10" s="44" t="e">
        <f t="shared" si="3"/>
        <v>#DIV/0!</v>
      </c>
      <c r="J10" s="46"/>
      <c r="K10" s="47" t="s">
        <v>64</v>
      </c>
      <c r="L10" s="47" t="s">
        <v>64</v>
      </c>
      <c r="M10" s="48" t="s">
        <v>64</v>
      </c>
      <c r="N10" s="48" t="s">
        <v>64</v>
      </c>
      <c r="P10" s="42"/>
    </row>
    <row r="11" spans="1:16" ht="15.75" customHeight="1" x14ac:dyDescent="0.25">
      <c r="A11" s="34" t="s">
        <v>65</v>
      </c>
      <c r="B11" s="43"/>
      <c r="C11" s="44" t="e">
        <f t="shared" si="0"/>
        <v>#DIV/0!</v>
      </c>
      <c r="D11" s="43"/>
      <c r="E11" s="44" t="e">
        <f t="shared" si="1"/>
        <v>#DIV/0!</v>
      </c>
      <c r="F11" s="43"/>
      <c r="G11" s="45" t="e">
        <f t="shared" si="2"/>
        <v>#DIV/0!</v>
      </c>
      <c r="H11" s="43"/>
      <c r="I11" s="44" t="e">
        <f t="shared" si="3"/>
        <v>#DIV/0!</v>
      </c>
      <c r="J11" s="46"/>
      <c r="K11" s="31" t="s">
        <v>66</v>
      </c>
      <c r="L11" s="31" t="s">
        <v>66</v>
      </c>
      <c r="M11" s="32" t="s">
        <v>66</v>
      </c>
      <c r="N11" s="32" t="s">
        <v>66</v>
      </c>
      <c r="P11" s="42"/>
    </row>
    <row r="12" spans="1:16" ht="15.75" customHeight="1" x14ac:dyDescent="0.25">
      <c r="A12" s="34" t="s">
        <v>67</v>
      </c>
      <c r="B12" s="43"/>
      <c r="C12" s="44" t="e">
        <f t="shared" si="0"/>
        <v>#DIV/0!</v>
      </c>
      <c r="D12" s="43"/>
      <c r="E12" s="44" t="e">
        <f t="shared" si="1"/>
        <v>#DIV/0!</v>
      </c>
      <c r="F12" s="43"/>
      <c r="G12" s="45" t="e">
        <f t="shared" si="2"/>
        <v>#DIV/0!</v>
      </c>
      <c r="H12" s="43"/>
      <c r="I12" s="44" t="e">
        <f t="shared" si="3"/>
        <v>#DIV/0!</v>
      </c>
      <c r="J12" s="46"/>
      <c r="K12" s="40" t="e">
        <f>(B19-B16)/B61</f>
        <v>#DIV/0!</v>
      </c>
      <c r="L12" s="40" t="e">
        <f>(D19-D16)/D61</f>
        <v>#DIV/0!</v>
      </c>
      <c r="M12" s="41" t="e">
        <f>(F19-F16)/F61</f>
        <v>#DIV/0!</v>
      </c>
      <c r="N12" s="41" t="e">
        <f>(H19-H16)/H61</f>
        <v>#DIV/0!</v>
      </c>
      <c r="P12" s="42"/>
    </row>
    <row r="13" spans="1:16" ht="15.75" customHeight="1" x14ac:dyDescent="0.25">
      <c r="A13" s="34" t="s">
        <v>68</v>
      </c>
      <c r="B13" s="43"/>
      <c r="C13" s="44" t="e">
        <f t="shared" si="0"/>
        <v>#DIV/0!</v>
      </c>
      <c r="D13" s="43"/>
      <c r="E13" s="44" t="e">
        <f t="shared" si="1"/>
        <v>#DIV/0!</v>
      </c>
      <c r="F13" s="43"/>
      <c r="G13" s="45" t="e">
        <f t="shared" si="2"/>
        <v>#DIV/0!</v>
      </c>
      <c r="H13" s="43"/>
      <c r="I13" s="44" t="e">
        <f t="shared" si="3"/>
        <v>#DIV/0!</v>
      </c>
      <c r="J13" s="46"/>
      <c r="K13" s="49"/>
      <c r="L13" s="49"/>
      <c r="P13" s="42"/>
    </row>
    <row r="14" spans="1:16" ht="15.75" customHeight="1" x14ac:dyDescent="0.25">
      <c r="A14" s="9" t="s">
        <v>69</v>
      </c>
      <c r="B14" s="43"/>
      <c r="C14" s="44" t="e">
        <f t="shared" si="0"/>
        <v>#DIV/0!</v>
      </c>
      <c r="D14" s="43"/>
      <c r="E14" s="44" t="e">
        <f t="shared" si="1"/>
        <v>#DIV/0!</v>
      </c>
      <c r="F14" s="43"/>
      <c r="G14" s="45" t="e">
        <f t="shared" si="2"/>
        <v>#DIV/0!</v>
      </c>
      <c r="H14" s="43"/>
      <c r="I14" s="44" t="e">
        <f t="shared" si="3"/>
        <v>#DIV/0!</v>
      </c>
      <c r="J14" s="46"/>
      <c r="K14" s="50" t="s">
        <v>70</v>
      </c>
      <c r="L14" s="50" t="s">
        <v>70</v>
      </c>
      <c r="M14" s="51" t="s">
        <v>70</v>
      </c>
      <c r="N14" s="51" t="s">
        <v>70</v>
      </c>
      <c r="P14" s="42"/>
    </row>
    <row r="15" spans="1:16" ht="15.75" customHeight="1" x14ac:dyDescent="0.25">
      <c r="A15" s="9" t="s">
        <v>71</v>
      </c>
      <c r="B15" s="43"/>
      <c r="C15" s="44" t="e">
        <f t="shared" si="0"/>
        <v>#DIV/0!</v>
      </c>
      <c r="D15" s="43"/>
      <c r="E15" s="44" t="e">
        <f t="shared" si="1"/>
        <v>#DIV/0!</v>
      </c>
      <c r="F15" s="43"/>
      <c r="G15" s="45" t="e">
        <f t="shared" si="2"/>
        <v>#DIV/0!</v>
      </c>
      <c r="H15" s="43"/>
      <c r="I15" s="44" t="e">
        <f t="shared" si="3"/>
        <v>#DIV/0!</v>
      </c>
      <c r="J15" s="46"/>
      <c r="K15" s="31" t="s">
        <v>72</v>
      </c>
      <c r="L15" s="31" t="s">
        <v>72</v>
      </c>
      <c r="M15" s="32" t="s">
        <v>72</v>
      </c>
      <c r="N15" s="32" t="s">
        <v>72</v>
      </c>
      <c r="P15" s="42"/>
    </row>
    <row r="16" spans="1:16" ht="15.75" customHeight="1" x14ac:dyDescent="0.25">
      <c r="A16" s="9" t="s">
        <v>73</v>
      </c>
      <c r="B16" s="43"/>
      <c r="C16" s="44" t="e">
        <f t="shared" si="0"/>
        <v>#DIV/0!</v>
      </c>
      <c r="D16" s="43"/>
      <c r="E16" s="44" t="e">
        <f t="shared" si="1"/>
        <v>#DIV/0!</v>
      </c>
      <c r="F16" s="43"/>
      <c r="G16" s="45" t="e">
        <f t="shared" si="2"/>
        <v>#DIV/0!</v>
      </c>
      <c r="H16" s="43"/>
      <c r="I16" s="44" t="e">
        <f t="shared" si="3"/>
        <v>#DIV/0!</v>
      </c>
      <c r="J16" s="46"/>
      <c r="K16" s="52" t="e">
        <f>(B9+B10)/B61</f>
        <v>#DIV/0!</v>
      </c>
      <c r="L16" s="52" t="e">
        <f>(D9+D10)/D61</f>
        <v>#DIV/0!</v>
      </c>
      <c r="M16" s="53" t="e">
        <f>(F9+F10)/F61</f>
        <v>#DIV/0!</v>
      </c>
      <c r="N16" s="53" t="e">
        <f>(H9+H10)/H61</f>
        <v>#DIV/0!</v>
      </c>
      <c r="P16" s="42"/>
    </row>
    <row r="17" spans="1:16" ht="15.75" customHeight="1" x14ac:dyDescent="0.25">
      <c r="A17" s="9" t="s">
        <v>74</v>
      </c>
      <c r="B17" s="43"/>
      <c r="C17" s="44" t="e">
        <f t="shared" si="0"/>
        <v>#DIV/0!</v>
      </c>
      <c r="D17" s="43"/>
      <c r="E17" s="54" t="e">
        <f t="shared" si="1"/>
        <v>#DIV/0!</v>
      </c>
      <c r="F17" s="43"/>
      <c r="G17" s="45" t="e">
        <f t="shared" si="2"/>
        <v>#DIV/0!</v>
      </c>
      <c r="H17" s="43"/>
      <c r="I17" s="44" t="e">
        <f t="shared" si="3"/>
        <v>#DIV/0!</v>
      </c>
      <c r="J17" s="46"/>
      <c r="K17" s="55" t="s">
        <v>75</v>
      </c>
      <c r="L17" s="55" t="s">
        <v>75</v>
      </c>
      <c r="M17" s="55" t="s">
        <v>75</v>
      </c>
      <c r="N17" s="55" t="s">
        <v>75</v>
      </c>
      <c r="P17" s="42"/>
    </row>
    <row r="18" spans="1:16" ht="15.75" customHeight="1" x14ac:dyDescent="0.25">
      <c r="A18" s="9" t="s">
        <v>76</v>
      </c>
      <c r="B18" s="43"/>
      <c r="C18" s="44" t="e">
        <f t="shared" si="0"/>
        <v>#DIV/0!</v>
      </c>
      <c r="D18" s="43"/>
      <c r="E18" s="54" t="e">
        <f t="shared" si="1"/>
        <v>#DIV/0!</v>
      </c>
      <c r="F18" s="43"/>
      <c r="G18" s="45" t="e">
        <f t="shared" si="2"/>
        <v>#DIV/0!</v>
      </c>
      <c r="H18" s="43"/>
      <c r="I18" s="44" t="e">
        <f t="shared" si="3"/>
        <v>#DIV/0!</v>
      </c>
      <c r="J18" s="46"/>
      <c r="K18" s="47" t="s">
        <v>77</v>
      </c>
      <c r="L18" s="47" t="s">
        <v>77</v>
      </c>
      <c r="M18" s="48" t="s">
        <v>77</v>
      </c>
      <c r="N18" s="48" t="s">
        <v>77</v>
      </c>
      <c r="O18" s="56"/>
      <c r="P18" s="42"/>
    </row>
    <row r="19" spans="1:16" ht="15.75" customHeight="1" x14ac:dyDescent="0.25">
      <c r="A19" s="57" t="s">
        <v>78</v>
      </c>
      <c r="B19" s="58">
        <f>SUM(B9:B18)</f>
        <v>0</v>
      </c>
      <c r="C19" s="59" t="e">
        <f t="shared" si="0"/>
        <v>#DIV/0!</v>
      </c>
      <c r="D19" s="58">
        <f>SUM(D9:D18)</f>
        <v>0</v>
      </c>
      <c r="E19" s="59" t="e">
        <f t="shared" si="1"/>
        <v>#DIV/0!</v>
      </c>
      <c r="F19" s="58">
        <f>SUM(F9:F18)</f>
        <v>0</v>
      </c>
      <c r="G19" s="60" t="e">
        <f t="shared" si="2"/>
        <v>#DIV/0!</v>
      </c>
      <c r="H19" s="58">
        <f>SUM(H9:H18)</f>
        <v>0</v>
      </c>
      <c r="I19" s="59" t="e">
        <f t="shared" si="3"/>
        <v>#DIV/0!</v>
      </c>
      <c r="J19" s="46"/>
      <c r="K19" s="31" t="s">
        <v>79</v>
      </c>
      <c r="L19" s="31" t="s">
        <v>79</v>
      </c>
      <c r="M19" s="31" t="s">
        <v>79</v>
      </c>
      <c r="N19" s="31" t="s">
        <v>79</v>
      </c>
      <c r="O19" s="56"/>
      <c r="P19" s="42"/>
    </row>
    <row r="20" spans="1:16" ht="15.75" customHeight="1" x14ac:dyDescent="0.25">
      <c r="A20" s="9"/>
      <c r="B20" s="9"/>
      <c r="C20" s="54"/>
      <c r="D20" s="9"/>
      <c r="E20" s="54"/>
      <c r="F20" s="12"/>
      <c r="G20" s="61"/>
      <c r="H20" s="9"/>
      <c r="I20" s="54"/>
      <c r="J20" s="46"/>
      <c r="K20" s="52" t="e">
        <f>'Edo de resultados'!B7/Balance!B11</f>
        <v>#DIV/0!</v>
      </c>
      <c r="L20" s="52" t="e">
        <f>'Edo de resultados'!D7/Balance!D11</f>
        <v>#DIV/0!</v>
      </c>
      <c r="M20" s="52" t="e">
        <f>'Edo de resultados'!F7/Balance!F11</f>
        <v>#DIV/0!</v>
      </c>
      <c r="N20" s="52" t="e">
        <f>'Edo de resultados'!H7/Balance!H11</f>
        <v>#DIV/0!</v>
      </c>
      <c r="O20" s="56" t="s">
        <v>80</v>
      </c>
      <c r="P20" s="42"/>
    </row>
    <row r="21" spans="1:16" ht="15.75" customHeight="1" x14ac:dyDescent="0.25">
      <c r="A21" s="9"/>
      <c r="B21" s="34" t="s">
        <v>81</v>
      </c>
      <c r="C21" s="62"/>
      <c r="D21" s="34" t="s">
        <v>81</v>
      </c>
      <c r="E21" s="62"/>
      <c r="F21" s="63" t="s">
        <v>81</v>
      </c>
      <c r="G21" s="64"/>
      <c r="H21" s="34" t="s">
        <v>81</v>
      </c>
      <c r="I21" s="54"/>
      <c r="J21" s="46"/>
      <c r="P21" s="42"/>
    </row>
    <row r="22" spans="1:16" ht="15.75" customHeight="1" x14ac:dyDescent="0.25">
      <c r="A22" s="9"/>
      <c r="B22" s="10"/>
      <c r="C22" s="54"/>
      <c r="D22" s="10"/>
      <c r="E22" s="54"/>
      <c r="F22" s="15"/>
      <c r="G22" s="61"/>
      <c r="H22" s="10"/>
      <c r="I22" s="54"/>
      <c r="J22" s="46"/>
      <c r="K22" s="47" t="s">
        <v>82</v>
      </c>
      <c r="L22" s="47" t="s">
        <v>82</v>
      </c>
      <c r="M22" s="48" t="s">
        <v>82</v>
      </c>
      <c r="N22" s="48" t="s">
        <v>82</v>
      </c>
      <c r="O22" s="56"/>
      <c r="P22" s="42"/>
    </row>
    <row r="23" spans="1:16" ht="15.75" customHeight="1" x14ac:dyDescent="0.25">
      <c r="A23" s="24" t="s">
        <v>83</v>
      </c>
      <c r="B23" s="65"/>
      <c r="C23" s="65"/>
      <c r="D23" s="66"/>
      <c r="E23" s="67"/>
      <c r="F23" s="66"/>
      <c r="G23" s="68"/>
      <c r="H23" s="69"/>
      <c r="I23" s="67"/>
      <c r="J23" s="70"/>
      <c r="K23" s="31" t="s">
        <v>84</v>
      </c>
      <c r="L23" s="31" t="s">
        <v>84</v>
      </c>
      <c r="M23" s="32" t="s">
        <v>84</v>
      </c>
      <c r="N23" s="32" t="s">
        <v>84</v>
      </c>
      <c r="O23" s="56"/>
      <c r="P23" s="42"/>
    </row>
    <row r="24" spans="1:16" ht="15.75" customHeight="1" x14ac:dyDescent="0.25">
      <c r="A24" s="9" t="s">
        <v>85</v>
      </c>
      <c r="B24" s="43"/>
      <c r="C24" s="44" t="e">
        <f t="shared" ref="C24:C31" si="4">B24/$B$43</f>
        <v>#DIV/0!</v>
      </c>
      <c r="D24" s="43"/>
      <c r="E24" s="44" t="e">
        <f t="shared" ref="E24:E31" si="5">D24/$D$43</f>
        <v>#DIV/0!</v>
      </c>
      <c r="F24" s="43"/>
      <c r="G24" s="45" t="e">
        <f t="shared" ref="G24:G31" si="6">F24/$F$43</f>
        <v>#DIV/0!</v>
      </c>
      <c r="H24" s="43"/>
      <c r="I24" s="44" t="e">
        <f t="shared" ref="I24:I31" si="7">H24/$H$43</f>
        <v>#DIV/0!</v>
      </c>
      <c r="J24" s="46"/>
      <c r="K24" s="40" t="e">
        <f>365/K20</f>
        <v>#DIV/0!</v>
      </c>
      <c r="L24" s="40" t="e">
        <f>365/L20</f>
        <v>#DIV/0!</v>
      </c>
      <c r="M24" s="40" t="e">
        <f>365/M20</f>
        <v>#DIV/0!</v>
      </c>
      <c r="N24" s="40" t="e">
        <f>365/N20</f>
        <v>#DIV/0!</v>
      </c>
      <c r="O24" s="56" t="s">
        <v>86</v>
      </c>
      <c r="P24" s="42"/>
    </row>
    <row r="25" spans="1:16" ht="15.75" customHeight="1" x14ac:dyDescent="0.25">
      <c r="A25" s="9" t="s">
        <v>87</v>
      </c>
      <c r="B25" s="43"/>
      <c r="C25" s="44" t="e">
        <f t="shared" si="4"/>
        <v>#DIV/0!</v>
      </c>
      <c r="D25" s="43"/>
      <c r="E25" s="44" t="e">
        <f t="shared" si="5"/>
        <v>#DIV/0!</v>
      </c>
      <c r="F25" s="43"/>
      <c r="G25" s="45" t="e">
        <f t="shared" si="6"/>
        <v>#DIV/0!</v>
      </c>
      <c r="H25" s="43"/>
      <c r="I25" s="44" t="e">
        <f t="shared" si="7"/>
        <v>#DIV/0!</v>
      </c>
      <c r="J25" s="70"/>
    </row>
    <row r="26" spans="1:16" ht="15.75" customHeight="1" x14ac:dyDescent="0.25">
      <c r="A26" s="9" t="s">
        <v>88</v>
      </c>
      <c r="B26" s="43"/>
      <c r="C26" s="44" t="e">
        <f t="shared" si="4"/>
        <v>#DIV/0!</v>
      </c>
      <c r="D26" s="43"/>
      <c r="E26" s="54" t="e">
        <f t="shared" si="5"/>
        <v>#DIV/0!</v>
      </c>
      <c r="F26" s="43"/>
      <c r="G26" s="61" t="e">
        <f t="shared" si="6"/>
        <v>#DIV/0!</v>
      </c>
      <c r="H26" s="43"/>
      <c r="I26" s="54" t="e">
        <f t="shared" si="7"/>
        <v>#DIV/0!</v>
      </c>
      <c r="J26" s="70"/>
      <c r="K26" s="47" t="s">
        <v>89</v>
      </c>
      <c r="L26" s="47" t="s">
        <v>89</v>
      </c>
      <c r="M26" s="48" t="s">
        <v>89</v>
      </c>
      <c r="N26" s="48" t="s">
        <v>89</v>
      </c>
    </row>
    <row r="27" spans="1:16" ht="15.75" customHeight="1" x14ac:dyDescent="0.25">
      <c r="A27" s="9" t="s">
        <v>90</v>
      </c>
      <c r="B27" s="43"/>
      <c r="C27" s="44" t="e">
        <f t="shared" si="4"/>
        <v>#DIV/0!</v>
      </c>
      <c r="D27" s="43"/>
      <c r="E27" s="54" t="e">
        <f t="shared" si="5"/>
        <v>#DIV/0!</v>
      </c>
      <c r="F27" s="43"/>
      <c r="G27" s="61" t="e">
        <f t="shared" si="6"/>
        <v>#DIV/0!</v>
      </c>
      <c r="H27" s="43"/>
      <c r="I27" s="54" t="e">
        <f t="shared" si="7"/>
        <v>#DIV/0!</v>
      </c>
      <c r="J27" s="70"/>
      <c r="K27" s="31" t="s">
        <v>91</v>
      </c>
      <c r="L27" s="31" t="s">
        <v>91</v>
      </c>
      <c r="M27" s="32" t="s">
        <v>91</v>
      </c>
      <c r="N27" s="32" t="s">
        <v>91</v>
      </c>
    </row>
    <row r="28" spans="1:16" ht="15.75" customHeight="1" x14ac:dyDescent="0.25">
      <c r="A28" s="9" t="s">
        <v>92</v>
      </c>
      <c r="B28" s="43"/>
      <c r="C28" s="44" t="e">
        <f t="shared" si="4"/>
        <v>#DIV/0!</v>
      </c>
      <c r="D28" s="43"/>
      <c r="E28" s="54" t="e">
        <f t="shared" si="5"/>
        <v>#DIV/0!</v>
      </c>
      <c r="F28" s="43"/>
      <c r="G28" s="61" t="e">
        <f t="shared" si="6"/>
        <v>#DIV/0!</v>
      </c>
      <c r="H28" s="43"/>
      <c r="I28" s="54" t="e">
        <f t="shared" si="7"/>
        <v>#DIV/0!</v>
      </c>
      <c r="J28" s="70"/>
      <c r="K28" s="71" t="e">
        <f>('Edo de resultados'!B8/Balance!B16)*-1</f>
        <v>#DIV/0!</v>
      </c>
      <c r="L28" s="71" t="e">
        <f>('Edo de resultados'!D8/Balance!D16)*-1</f>
        <v>#DIV/0!</v>
      </c>
      <c r="M28" s="71" t="e">
        <f>('Edo de resultados'!F8/Balance!F16)*-1</f>
        <v>#DIV/0!</v>
      </c>
      <c r="N28" s="71" t="e">
        <f>('Edo de resultados'!H8/Balance!H16)*-1</f>
        <v>#DIV/0!</v>
      </c>
      <c r="O28" s="56" t="s">
        <v>80</v>
      </c>
    </row>
    <row r="29" spans="1:16" ht="15.75" customHeight="1" x14ac:dyDescent="0.25">
      <c r="A29" s="9" t="s">
        <v>93</v>
      </c>
      <c r="B29" s="43"/>
      <c r="C29" s="44" t="e">
        <f t="shared" si="4"/>
        <v>#DIV/0!</v>
      </c>
      <c r="D29" s="43"/>
      <c r="E29" s="54" t="e">
        <f t="shared" si="5"/>
        <v>#DIV/0!</v>
      </c>
      <c r="F29" s="43"/>
      <c r="G29" s="61" t="e">
        <f t="shared" si="6"/>
        <v>#DIV/0!</v>
      </c>
      <c r="H29" s="43"/>
      <c r="I29" s="54" t="e">
        <f t="shared" si="7"/>
        <v>#DIV/0!</v>
      </c>
      <c r="J29" s="72"/>
      <c r="K29" s="73"/>
      <c r="L29" s="73"/>
      <c r="M29" s="74"/>
      <c r="N29" s="74"/>
      <c r="O29" s="74"/>
    </row>
    <row r="30" spans="1:16" ht="15.75" customHeight="1" x14ac:dyDescent="0.25">
      <c r="A30" s="9" t="s">
        <v>94</v>
      </c>
      <c r="B30" s="43"/>
      <c r="C30" s="44" t="e">
        <f t="shared" si="4"/>
        <v>#DIV/0!</v>
      </c>
      <c r="D30" s="43"/>
      <c r="E30" s="54" t="e">
        <f t="shared" si="5"/>
        <v>#DIV/0!</v>
      </c>
      <c r="F30" s="43"/>
      <c r="G30" s="61" t="e">
        <f t="shared" si="6"/>
        <v>#DIV/0!</v>
      </c>
      <c r="H30" s="43"/>
      <c r="I30" s="54" t="e">
        <f t="shared" si="7"/>
        <v>#DIV/0!</v>
      </c>
      <c r="J30" s="46"/>
      <c r="K30" s="47" t="s">
        <v>95</v>
      </c>
      <c r="L30" s="47" t="s">
        <v>95</v>
      </c>
      <c r="M30" s="48" t="s">
        <v>96</v>
      </c>
      <c r="N30" s="48" t="s">
        <v>96</v>
      </c>
    </row>
    <row r="31" spans="1:16" ht="15.75" customHeight="1" x14ac:dyDescent="0.25">
      <c r="A31" s="75" t="s">
        <v>97</v>
      </c>
      <c r="B31" s="76"/>
      <c r="C31" s="44" t="e">
        <f t="shared" si="4"/>
        <v>#DIV/0!</v>
      </c>
      <c r="D31" s="76"/>
      <c r="E31" s="54" t="e">
        <f t="shared" si="5"/>
        <v>#DIV/0!</v>
      </c>
      <c r="F31" s="76"/>
      <c r="G31" s="61" t="e">
        <f t="shared" si="6"/>
        <v>#DIV/0!</v>
      </c>
      <c r="H31" s="76"/>
      <c r="I31" s="54" t="e">
        <f t="shared" si="7"/>
        <v>#DIV/0!</v>
      </c>
      <c r="J31" s="46"/>
      <c r="K31" s="31" t="s">
        <v>98</v>
      </c>
      <c r="L31" s="31" t="s">
        <v>98</v>
      </c>
      <c r="M31" s="32" t="s">
        <v>98</v>
      </c>
      <c r="N31" s="32" t="s">
        <v>98</v>
      </c>
    </row>
    <row r="32" spans="1:16" ht="15.75" customHeight="1" x14ac:dyDescent="0.25">
      <c r="B32" s="2"/>
      <c r="C32" s="2"/>
      <c r="D32" s="2"/>
      <c r="E32" s="2"/>
      <c r="F32" s="2"/>
      <c r="G32" s="2"/>
      <c r="H32" s="2"/>
      <c r="I32" s="2"/>
      <c r="J32" s="46"/>
      <c r="K32" s="71" t="e">
        <f>365/K28</f>
        <v>#DIV/0!</v>
      </c>
      <c r="L32" s="71" t="e">
        <f>365/L28</f>
        <v>#DIV/0!</v>
      </c>
      <c r="M32" s="77" t="e">
        <f>365/M28</f>
        <v>#DIV/0!</v>
      </c>
      <c r="N32" s="77" t="e">
        <f>365/N28</f>
        <v>#DIV/0!</v>
      </c>
      <c r="O32" s="32" t="s">
        <v>86</v>
      </c>
    </row>
    <row r="33" spans="1:15" ht="15.75" customHeight="1" x14ac:dyDescent="0.25">
      <c r="A33" s="57" t="s">
        <v>99</v>
      </c>
      <c r="B33" s="58">
        <f>SUM(B24:B31)</f>
        <v>0</v>
      </c>
      <c r="C33" s="59" t="e">
        <f>B33/$B$43</f>
        <v>#DIV/0!</v>
      </c>
      <c r="D33" s="58">
        <f>SUM(D24:D31)</f>
        <v>0</v>
      </c>
      <c r="E33" s="59" t="e">
        <f>D33/$D$43</f>
        <v>#DIV/0!</v>
      </c>
      <c r="F33" s="58">
        <f>SUM(F24:F31)</f>
        <v>0</v>
      </c>
      <c r="G33" s="60" t="e">
        <f>F33/$F$43</f>
        <v>#DIV/0!</v>
      </c>
      <c r="H33" s="58">
        <f>SUM(H24:H31)</f>
        <v>0</v>
      </c>
      <c r="I33" s="59" t="e">
        <f>H33/$H$43</f>
        <v>#DIV/0!</v>
      </c>
      <c r="J33" s="46"/>
    </row>
    <row r="34" spans="1:15" ht="15.75" customHeight="1" x14ac:dyDescent="0.25">
      <c r="A34" s="34"/>
      <c r="B34" s="34" t="s">
        <v>81</v>
      </c>
      <c r="C34" s="62"/>
      <c r="D34" s="34" t="s">
        <v>81</v>
      </c>
      <c r="E34" s="62"/>
      <c r="F34" s="63" t="s">
        <v>81</v>
      </c>
      <c r="G34" s="64"/>
      <c r="H34" s="34" t="s">
        <v>81</v>
      </c>
      <c r="I34" s="62"/>
      <c r="J34" s="70"/>
      <c r="K34" s="47" t="s">
        <v>100</v>
      </c>
      <c r="L34" s="47" t="s">
        <v>100</v>
      </c>
      <c r="M34" s="48" t="s">
        <v>100</v>
      </c>
      <c r="N34" s="48" t="s">
        <v>100</v>
      </c>
    </row>
    <row r="35" spans="1:15" ht="15.75" customHeight="1" x14ac:dyDescent="0.25">
      <c r="A35" s="9"/>
      <c r="B35" s="9"/>
      <c r="C35" s="78"/>
      <c r="D35" s="9"/>
      <c r="E35" s="78"/>
      <c r="F35" s="12"/>
      <c r="G35" s="79"/>
      <c r="H35" s="9"/>
      <c r="I35" s="78"/>
      <c r="J35" s="70"/>
      <c r="K35" s="31" t="s">
        <v>101</v>
      </c>
      <c r="L35" s="31" t="s">
        <v>101</v>
      </c>
      <c r="M35" s="32" t="s">
        <v>101</v>
      </c>
      <c r="N35" s="32" t="s">
        <v>101</v>
      </c>
    </row>
    <row r="36" spans="1:15" ht="15.75" customHeight="1" x14ac:dyDescent="0.25">
      <c r="A36" s="24" t="s">
        <v>102</v>
      </c>
      <c r="B36" s="24"/>
      <c r="C36" s="24"/>
      <c r="D36" s="80"/>
      <c r="E36" s="81"/>
      <c r="F36" s="82"/>
      <c r="G36" s="68"/>
      <c r="H36" s="80"/>
      <c r="I36" s="67"/>
      <c r="J36" s="70"/>
      <c r="K36" s="71" t="e">
        <f>('Edo de resultados'!B8/Balance!B52)*-1</f>
        <v>#DIV/0!</v>
      </c>
      <c r="L36" s="71" t="e">
        <f>('Edo de resultados'!D8/Balance!D52)*-1</f>
        <v>#DIV/0!</v>
      </c>
      <c r="M36" s="77" t="e">
        <f>('Edo de resultados'!F8/Balance!F52)*-1</f>
        <v>#DIV/0!</v>
      </c>
      <c r="N36" s="77" t="e">
        <f>('Edo de resultados'!H8/Balance!H52)*-1</f>
        <v>#DIV/0!</v>
      </c>
      <c r="O36" s="56" t="s">
        <v>80</v>
      </c>
    </row>
    <row r="37" spans="1:15" ht="15.75" customHeight="1" x14ac:dyDescent="0.25">
      <c r="A37" s="9" t="s">
        <v>103</v>
      </c>
      <c r="B37" s="43"/>
      <c r="C37" s="44" t="e">
        <f>B37/$B$43</f>
        <v>#DIV/0!</v>
      </c>
      <c r="D37" s="43"/>
      <c r="E37" s="44" t="e">
        <f>D37/$D$43</f>
        <v>#DIV/0!</v>
      </c>
      <c r="F37" s="43"/>
      <c r="G37" s="45" t="e">
        <f>F37/$F$43</f>
        <v>#DIV/0!</v>
      </c>
      <c r="H37" s="43"/>
      <c r="I37" s="44" t="e">
        <f>H37/$H$43</f>
        <v>#DIV/0!</v>
      </c>
      <c r="J37" s="70"/>
      <c r="K37" s="83" t="s">
        <v>104</v>
      </c>
      <c r="L37" s="83" t="s">
        <v>104</v>
      </c>
      <c r="M37" s="84" t="s">
        <v>104</v>
      </c>
      <c r="N37" s="84" t="s">
        <v>104</v>
      </c>
    </row>
    <row r="38" spans="1:15" ht="15.75" customHeight="1" x14ac:dyDescent="0.25">
      <c r="A38" s="9" t="s">
        <v>105</v>
      </c>
      <c r="B38" s="43"/>
      <c r="C38" s="44" t="e">
        <f>B38/$B$43</f>
        <v>#DIV/0!</v>
      </c>
      <c r="D38" s="43"/>
      <c r="E38" s="44" t="e">
        <f>D38/$D$43</f>
        <v>#DIV/0!</v>
      </c>
      <c r="F38" s="43"/>
      <c r="G38" s="45" t="e">
        <f>F38/$F$43</f>
        <v>#DIV/0!</v>
      </c>
      <c r="H38" s="43"/>
      <c r="I38" s="44" t="e">
        <f>H38/$H$43</f>
        <v>#DIV/0!</v>
      </c>
      <c r="J38" s="46"/>
      <c r="K38" s="31" t="s">
        <v>106</v>
      </c>
      <c r="L38" s="31" t="s">
        <v>106</v>
      </c>
      <c r="M38" s="32" t="s">
        <v>106</v>
      </c>
      <c r="N38" s="32" t="s">
        <v>106</v>
      </c>
    </row>
    <row r="39" spans="1:15" ht="15.75" customHeight="1" x14ac:dyDescent="0.25">
      <c r="A39" s="9" t="s">
        <v>107</v>
      </c>
      <c r="B39" s="43"/>
      <c r="C39" s="44" t="e">
        <f>B39/$B$43</f>
        <v>#DIV/0!</v>
      </c>
      <c r="D39" s="43"/>
      <c r="E39" s="44" t="e">
        <f>D39/$D$43</f>
        <v>#DIV/0!</v>
      </c>
      <c r="F39" s="43"/>
      <c r="G39" s="45" t="e">
        <f>F39/$F$43</f>
        <v>#DIV/0!</v>
      </c>
      <c r="H39" s="43"/>
      <c r="I39" s="44" t="e">
        <f>H39/$H$43</f>
        <v>#DIV/0!</v>
      </c>
      <c r="J39" s="70"/>
      <c r="K39" s="71" t="e">
        <f>365/K36</f>
        <v>#DIV/0!</v>
      </c>
      <c r="L39" s="71" t="e">
        <f>365/L36</f>
        <v>#DIV/0!</v>
      </c>
      <c r="M39" s="77" t="e">
        <f>365/M36</f>
        <v>#DIV/0!</v>
      </c>
      <c r="N39" s="77" t="e">
        <f>365/N36</f>
        <v>#DIV/0!</v>
      </c>
      <c r="O39" s="32" t="s">
        <v>86</v>
      </c>
    </row>
    <row r="40" spans="1:15" ht="15.75" customHeight="1" x14ac:dyDescent="0.25">
      <c r="A40" s="57" t="s">
        <v>108</v>
      </c>
      <c r="B40" s="85">
        <f>SUM(B37:B39)</f>
        <v>0</v>
      </c>
      <c r="C40" s="59" t="e">
        <f>B40/$B$43</f>
        <v>#DIV/0!</v>
      </c>
      <c r="D40" s="85">
        <f>SUM(D37:D39)</f>
        <v>0</v>
      </c>
      <c r="E40" s="59" t="e">
        <f>D40/$D$43</f>
        <v>#DIV/0!</v>
      </c>
      <c r="F40" s="85">
        <f>SUM(F37:F39)</f>
        <v>0</v>
      </c>
      <c r="G40" s="60" t="e">
        <f>F40/$F$43</f>
        <v>#DIV/0!</v>
      </c>
      <c r="H40" s="85">
        <f>SUM(H37:H39)</f>
        <v>0</v>
      </c>
      <c r="I40" s="59" t="e">
        <f>H40/$H$43</f>
        <v>#DIV/0!</v>
      </c>
      <c r="J40" s="46"/>
      <c r="K40" s="86" t="s">
        <v>109</v>
      </c>
      <c r="L40" s="86" t="s">
        <v>109</v>
      </c>
      <c r="M40" s="86" t="s">
        <v>109</v>
      </c>
      <c r="N40" s="86" t="s">
        <v>109</v>
      </c>
    </row>
    <row r="41" spans="1:15" ht="15.75" customHeight="1" x14ac:dyDescent="0.25">
      <c r="A41" s="34"/>
      <c r="B41" s="34" t="s">
        <v>81</v>
      </c>
      <c r="C41" s="62"/>
      <c r="D41" s="34" t="s">
        <v>81</v>
      </c>
      <c r="E41" s="62"/>
      <c r="F41" s="63" t="s">
        <v>81</v>
      </c>
      <c r="G41" s="64"/>
      <c r="H41" s="34" t="s">
        <v>81</v>
      </c>
      <c r="I41" s="62"/>
      <c r="J41" s="70"/>
      <c r="K41" s="87" t="s">
        <v>110</v>
      </c>
      <c r="L41" s="87" t="s">
        <v>110</v>
      </c>
      <c r="M41" s="87" t="s">
        <v>110</v>
      </c>
      <c r="N41" s="87" t="s">
        <v>110</v>
      </c>
    </row>
    <row r="42" spans="1:15" ht="15.75" customHeight="1" x14ac:dyDescent="0.25">
      <c r="A42" s="9"/>
      <c r="B42" s="9"/>
      <c r="C42" s="78"/>
      <c r="D42" s="9"/>
      <c r="E42" s="78"/>
      <c r="F42" s="12"/>
      <c r="G42" s="79"/>
      <c r="H42" s="9"/>
      <c r="I42" s="78"/>
      <c r="J42" s="70"/>
      <c r="K42" s="31" t="s">
        <v>111</v>
      </c>
      <c r="L42" s="31" t="s">
        <v>111</v>
      </c>
      <c r="M42" s="32" t="s">
        <v>111</v>
      </c>
      <c r="N42" s="32" t="s">
        <v>111</v>
      </c>
    </row>
    <row r="43" spans="1:15" ht="15.75" customHeight="1" x14ac:dyDescent="0.3">
      <c r="A43" s="88" t="s">
        <v>112</v>
      </c>
      <c r="B43" s="89">
        <f>B40+B19+B33</f>
        <v>0</v>
      </c>
      <c r="C43" s="90" t="e">
        <f>B43/$B$43</f>
        <v>#DIV/0!</v>
      </c>
      <c r="D43" s="89">
        <f>D40+D19+D33</f>
        <v>0</v>
      </c>
      <c r="E43" s="90" t="e">
        <f>D43/$D$43</f>
        <v>#DIV/0!</v>
      </c>
      <c r="F43" s="91">
        <f>F40+F19+F33</f>
        <v>0</v>
      </c>
      <c r="G43" s="92" t="e">
        <f>F43/$F$43</f>
        <v>#DIV/0!</v>
      </c>
      <c r="H43" s="89">
        <f>H40+H19+H33</f>
        <v>0</v>
      </c>
      <c r="I43" s="90" t="e">
        <f>H43/$H$43</f>
        <v>#DIV/0!</v>
      </c>
      <c r="J43" s="46"/>
      <c r="K43" s="93" t="e">
        <f>B70/B43</f>
        <v>#DIV/0!</v>
      </c>
      <c r="L43" s="93" t="e">
        <f>D70/D43</f>
        <v>#DIV/0!</v>
      </c>
      <c r="M43" s="94" t="e">
        <f>F70/F43</f>
        <v>#DIV/0!</v>
      </c>
      <c r="N43" s="94" t="e">
        <f>H70/H43</f>
        <v>#DIV/0!</v>
      </c>
    </row>
    <row r="44" spans="1:15" ht="15.75" customHeight="1" x14ac:dyDescent="0.25">
      <c r="A44" s="9"/>
      <c r="B44" s="95"/>
      <c r="C44" s="78"/>
      <c r="D44" s="95"/>
      <c r="E44" s="78"/>
      <c r="F44" s="96"/>
      <c r="G44" s="79"/>
      <c r="H44" s="95"/>
      <c r="I44" s="78"/>
      <c r="J44" s="70"/>
      <c r="O44" s="97" t="s">
        <v>113</v>
      </c>
    </row>
    <row r="45" spans="1:15" ht="15.75" customHeight="1" x14ac:dyDescent="0.25">
      <c r="A45" s="9"/>
      <c r="B45" s="98">
        <f>B43</f>
        <v>0</v>
      </c>
      <c r="C45" s="99" t="e">
        <f>B45/$B$43</f>
        <v>#DIV/0!</v>
      </c>
      <c r="D45" s="98">
        <f>D43</f>
        <v>0</v>
      </c>
      <c r="E45" s="99" t="e">
        <f>D45/$D$43</f>
        <v>#DIV/0!</v>
      </c>
      <c r="F45" s="100">
        <f>F43</f>
        <v>0</v>
      </c>
      <c r="G45" s="61" t="e">
        <f>F45/$F$43</f>
        <v>#DIV/0!</v>
      </c>
      <c r="H45" s="101">
        <f>H43</f>
        <v>0</v>
      </c>
      <c r="I45" s="54" t="e">
        <f>H45/$H$43</f>
        <v>#DIV/0!</v>
      </c>
      <c r="J45" s="46"/>
      <c r="K45" s="87" t="s">
        <v>114</v>
      </c>
      <c r="L45" s="87" t="s">
        <v>114</v>
      </c>
      <c r="M45" s="87" t="s">
        <v>114</v>
      </c>
      <c r="N45" s="87" t="s">
        <v>114</v>
      </c>
      <c r="O45" s="97" t="s">
        <v>115</v>
      </c>
    </row>
    <row r="46" spans="1:15" ht="15.75" customHeight="1" x14ac:dyDescent="0.25">
      <c r="A46" s="9"/>
      <c r="B46" s="9" t="s">
        <v>116</v>
      </c>
      <c r="C46" s="11"/>
      <c r="D46" s="9" t="s">
        <v>116</v>
      </c>
      <c r="E46" s="11"/>
      <c r="F46" s="12" t="s">
        <v>116</v>
      </c>
      <c r="G46" s="2"/>
      <c r="H46" s="9" t="s">
        <v>116</v>
      </c>
      <c r="I46" s="11"/>
      <c r="J46" s="13"/>
      <c r="K46" s="31" t="s">
        <v>117</v>
      </c>
      <c r="L46" s="31" t="s">
        <v>117</v>
      </c>
      <c r="M46" s="32" t="s">
        <v>117</v>
      </c>
      <c r="N46" s="32" t="s">
        <v>117</v>
      </c>
      <c r="O46" s="97" t="s">
        <v>118</v>
      </c>
    </row>
    <row r="47" spans="1:15" ht="15.75" customHeight="1" x14ac:dyDescent="0.3">
      <c r="A47" s="321" t="s">
        <v>119</v>
      </c>
      <c r="B47" s="320"/>
      <c r="C47" s="320"/>
      <c r="D47" s="320"/>
      <c r="E47" s="322"/>
      <c r="F47" s="319"/>
      <c r="G47" s="320"/>
      <c r="H47" s="323"/>
      <c r="I47" s="322"/>
      <c r="J47" s="21"/>
      <c r="K47" s="40" t="e">
        <f>B70/B82</f>
        <v>#DIV/0!</v>
      </c>
      <c r="L47" s="40" t="e">
        <f>D70/D82</f>
        <v>#DIV/0!</v>
      </c>
      <c r="M47" s="41" t="e">
        <f>F70/F82</f>
        <v>#DIV/0!</v>
      </c>
      <c r="N47" s="41" t="e">
        <f>H70/H82</f>
        <v>#DIV/0!</v>
      </c>
    </row>
    <row r="48" spans="1:15" ht="15.75" customHeight="1" x14ac:dyDescent="0.25">
      <c r="A48" s="14" t="s">
        <v>120</v>
      </c>
      <c r="B48" s="102" t="s">
        <v>60</v>
      </c>
      <c r="C48" s="103" t="s">
        <v>61</v>
      </c>
      <c r="D48" s="102" t="s">
        <v>60</v>
      </c>
      <c r="E48" s="103" t="s">
        <v>61</v>
      </c>
      <c r="F48" s="104" t="s">
        <v>60</v>
      </c>
      <c r="G48" s="105" t="s">
        <v>61</v>
      </c>
      <c r="H48" s="102" t="s">
        <v>60</v>
      </c>
      <c r="I48" s="103" t="s">
        <v>61</v>
      </c>
      <c r="J48" s="39"/>
    </row>
    <row r="49" spans="1:17" ht="15.75" customHeight="1" x14ac:dyDescent="0.25">
      <c r="A49" s="9"/>
      <c r="B49" s="9"/>
      <c r="C49" s="11"/>
      <c r="D49" s="9"/>
      <c r="E49" s="11"/>
      <c r="F49" s="12"/>
      <c r="G49" s="2"/>
      <c r="H49" s="10"/>
      <c r="I49" s="11"/>
      <c r="J49" s="13"/>
      <c r="K49" s="87" t="s">
        <v>121</v>
      </c>
      <c r="L49" s="87" t="s">
        <v>121</v>
      </c>
      <c r="M49" s="87" t="s">
        <v>121</v>
      </c>
      <c r="N49" s="87" t="s">
        <v>121</v>
      </c>
    </row>
    <row r="50" spans="1:17" ht="15.75" customHeight="1" x14ac:dyDescent="0.25">
      <c r="A50" s="24" t="s">
        <v>122</v>
      </c>
      <c r="B50" s="24"/>
      <c r="C50" s="24"/>
      <c r="D50" s="80"/>
      <c r="E50" s="106"/>
      <c r="F50" s="82"/>
      <c r="G50" s="107"/>
      <c r="H50" s="80"/>
      <c r="I50" s="106"/>
      <c r="J50" s="108" t="s">
        <v>58</v>
      </c>
      <c r="K50" s="40" t="e">
        <f>(B53+B54+B64)/'Edo de resultados'!B30</f>
        <v>#DIV/0!</v>
      </c>
      <c r="L50" s="40" t="e">
        <f>(D53+D54+D64)/'Edo de resultados'!D30</f>
        <v>#DIV/0!</v>
      </c>
      <c r="M50" s="40" t="e">
        <f>(F53+F54+F64)/'Edo de resultados'!F30</f>
        <v>#DIV/0!</v>
      </c>
      <c r="N50" s="40" t="e">
        <f>(H53+H54+H64)/'Edo de resultados'!H30</f>
        <v>#DIV/0!</v>
      </c>
      <c r="O50" s="97" t="s">
        <v>123</v>
      </c>
      <c r="Q50" s="97" t="s">
        <v>124</v>
      </c>
    </row>
    <row r="51" spans="1:17" ht="15.75" customHeight="1" x14ac:dyDescent="0.25">
      <c r="A51" s="34"/>
      <c r="B51" s="43"/>
      <c r="C51" s="109"/>
      <c r="D51" s="43"/>
      <c r="E51" s="109"/>
      <c r="F51" s="110"/>
      <c r="G51" s="111"/>
      <c r="H51" s="112"/>
      <c r="I51" s="109"/>
      <c r="J51" s="13"/>
    </row>
    <row r="52" spans="1:17" ht="15.75" customHeight="1" x14ac:dyDescent="0.25">
      <c r="A52" s="34" t="s">
        <v>125</v>
      </c>
      <c r="B52" s="43"/>
      <c r="C52" s="44" t="e">
        <f t="shared" ref="C52:C57" si="8">B52/$B$84</f>
        <v>#DIV/0!</v>
      </c>
      <c r="D52" s="43"/>
      <c r="E52" s="44" t="e">
        <f t="shared" ref="E52:E57" si="9">D52/$D$84</f>
        <v>#DIV/0!</v>
      </c>
      <c r="F52" s="43"/>
      <c r="G52" s="45" t="e">
        <f t="shared" ref="G52:G57" si="10">F52/$F$84</f>
        <v>#DIV/0!</v>
      </c>
      <c r="H52" s="43"/>
      <c r="I52" s="44" t="e">
        <f t="shared" ref="I52:I57" si="11">H52/$H$84</f>
        <v>#DIV/0!</v>
      </c>
      <c r="J52" s="13"/>
      <c r="K52" s="16" t="s">
        <v>126</v>
      </c>
      <c r="L52" s="16" t="s">
        <v>126</v>
      </c>
      <c r="M52" s="16" t="s">
        <v>126</v>
      </c>
      <c r="N52" s="16" t="s">
        <v>126</v>
      </c>
    </row>
    <row r="53" spans="1:17" ht="15.75" customHeight="1" x14ac:dyDescent="0.25">
      <c r="A53" s="34" t="s">
        <v>127</v>
      </c>
      <c r="B53" s="43"/>
      <c r="C53" s="44" t="e">
        <f t="shared" si="8"/>
        <v>#DIV/0!</v>
      </c>
      <c r="D53" s="43"/>
      <c r="E53" s="44" t="e">
        <f t="shared" si="9"/>
        <v>#DIV/0!</v>
      </c>
      <c r="F53" s="43"/>
      <c r="G53" s="45" t="e">
        <f t="shared" si="10"/>
        <v>#DIV/0!</v>
      </c>
      <c r="H53" s="43"/>
      <c r="I53" s="44" t="e">
        <f t="shared" si="11"/>
        <v>#DIV/0!</v>
      </c>
      <c r="J53" s="113" t="e">
        <f>I53-E53</f>
        <v>#DIV/0!</v>
      </c>
      <c r="K53" s="114" t="s">
        <v>128</v>
      </c>
      <c r="L53" s="114" t="s">
        <v>128</v>
      </c>
      <c r="M53" s="115" t="s">
        <v>128</v>
      </c>
      <c r="N53" s="115" t="s">
        <v>128</v>
      </c>
      <c r="O53" s="116" t="s">
        <v>129</v>
      </c>
      <c r="P53" s="116" t="s">
        <v>130</v>
      </c>
      <c r="Q53" s="116" t="s">
        <v>131</v>
      </c>
    </row>
    <row r="54" spans="1:17" ht="15.75" customHeight="1" x14ac:dyDescent="0.25">
      <c r="A54" s="34" t="s">
        <v>132</v>
      </c>
      <c r="B54" s="43"/>
      <c r="C54" s="44" t="e">
        <f t="shared" si="8"/>
        <v>#DIV/0!</v>
      </c>
      <c r="D54" s="43"/>
      <c r="E54" s="44" t="e">
        <f t="shared" si="9"/>
        <v>#DIV/0!</v>
      </c>
      <c r="F54" s="43"/>
      <c r="G54" s="45" t="e">
        <f t="shared" si="10"/>
        <v>#DIV/0!</v>
      </c>
      <c r="H54" s="43"/>
      <c r="I54" s="44" t="e">
        <f t="shared" si="11"/>
        <v>#DIV/0!</v>
      </c>
      <c r="J54" s="13"/>
      <c r="K54" s="31" t="s">
        <v>133</v>
      </c>
      <c r="L54" s="31" t="s">
        <v>133</v>
      </c>
      <c r="M54" s="32" t="s">
        <v>133</v>
      </c>
      <c r="N54" s="32" t="s">
        <v>133</v>
      </c>
    </row>
    <row r="55" spans="1:17" ht="15.75" customHeight="1" x14ac:dyDescent="0.25">
      <c r="A55" s="34" t="s">
        <v>134</v>
      </c>
      <c r="B55" s="43"/>
      <c r="C55" s="44" t="e">
        <f t="shared" si="8"/>
        <v>#DIV/0!</v>
      </c>
      <c r="D55" s="43"/>
      <c r="E55" s="44" t="e">
        <f t="shared" si="9"/>
        <v>#DIV/0!</v>
      </c>
      <c r="F55" s="43"/>
      <c r="G55" s="45" t="e">
        <f t="shared" si="10"/>
        <v>#DIV/0!</v>
      </c>
      <c r="H55" s="43"/>
      <c r="I55" s="44" t="e">
        <f t="shared" si="11"/>
        <v>#DIV/0!</v>
      </c>
      <c r="J55" s="13"/>
      <c r="K55" s="93" t="e">
        <f>'Edo de resultados'!B7/B43</f>
        <v>#DIV/0!</v>
      </c>
      <c r="L55" s="93" t="e">
        <f>'Edo de resultados'!D7/D43</f>
        <v>#DIV/0!</v>
      </c>
      <c r="M55" s="94" t="e">
        <f>'Edo de resultados'!F7/F43</f>
        <v>#DIV/0!</v>
      </c>
      <c r="N55" s="94" t="e">
        <f>'Edo de resultados'!H7/H43</f>
        <v>#DIV/0!</v>
      </c>
      <c r="P55" s="42"/>
    </row>
    <row r="56" spans="1:17" ht="15.75" customHeight="1" x14ac:dyDescent="0.25">
      <c r="A56" s="34" t="s">
        <v>135</v>
      </c>
      <c r="B56" s="43"/>
      <c r="C56" s="44" t="e">
        <f t="shared" si="8"/>
        <v>#DIV/0!</v>
      </c>
      <c r="D56" s="43"/>
      <c r="E56" s="54" t="e">
        <f t="shared" si="9"/>
        <v>#DIV/0!</v>
      </c>
      <c r="F56" s="43"/>
      <c r="G56" s="61" t="e">
        <f t="shared" si="10"/>
        <v>#DIV/0!</v>
      </c>
      <c r="H56" s="43"/>
      <c r="I56" s="54" t="e">
        <f t="shared" si="11"/>
        <v>#DIV/0!</v>
      </c>
      <c r="J56" s="117"/>
    </row>
    <row r="57" spans="1:17" ht="15.75" customHeight="1" x14ac:dyDescent="0.25">
      <c r="A57" s="9" t="s">
        <v>136</v>
      </c>
      <c r="B57" s="43"/>
      <c r="C57" s="44" t="e">
        <f t="shared" si="8"/>
        <v>#DIV/0!</v>
      </c>
      <c r="D57" s="43"/>
      <c r="E57" s="54" t="e">
        <f t="shared" si="9"/>
        <v>#DIV/0!</v>
      </c>
      <c r="F57" s="43"/>
      <c r="G57" s="61" t="e">
        <f t="shared" si="10"/>
        <v>#DIV/0!</v>
      </c>
      <c r="H57" s="43"/>
      <c r="I57" s="54" t="e">
        <f t="shared" si="11"/>
        <v>#DIV/0!</v>
      </c>
      <c r="J57" s="13"/>
      <c r="K57" s="118" t="s">
        <v>137</v>
      </c>
      <c r="L57" s="118" t="s">
        <v>137</v>
      </c>
      <c r="M57" s="119" t="s">
        <v>137</v>
      </c>
      <c r="N57" s="119" t="s">
        <v>137</v>
      </c>
      <c r="O57" s="120" t="s">
        <v>138</v>
      </c>
    </row>
    <row r="58" spans="1:17" ht="15.75" customHeight="1" x14ac:dyDescent="0.25">
      <c r="A58" s="9"/>
      <c r="B58" s="10"/>
      <c r="C58" s="54"/>
      <c r="D58" s="10"/>
      <c r="E58" s="54"/>
      <c r="F58" s="15"/>
      <c r="G58" s="2"/>
      <c r="H58" s="10"/>
      <c r="I58" s="11"/>
      <c r="J58" s="13"/>
      <c r="K58" s="31" t="s">
        <v>139</v>
      </c>
      <c r="L58" s="31" t="s">
        <v>139</v>
      </c>
      <c r="M58" s="32" t="s">
        <v>139</v>
      </c>
      <c r="N58" s="32" t="s">
        <v>139</v>
      </c>
    </row>
    <row r="59" spans="1:17" ht="15.75" customHeight="1" x14ac:dyDescent="0.25">
      <c r="A59" s="9"/>
      <c r="B59" s="10"/>
      <c r="C59" s="54"/>
      <c r="D59" s="10"/>
      <c r="E59" s="54"/>
      <c r="F59" s="15"/>
      <c r="G59" s="2"/>
      <c r="H59" s="10"/>
      <c r="I59" s="11"/>
      <c r="J59" s="13"/>
      <c r="K59" s="121" t="e">
        <f>'Edo de resultados'!B25/Balance!B43</f>
        <v>#DIV/0!</v>
      </c>
      <c r="L59" s="121" t="e">
        <f>'Edo de resultados'!D25/Balance!D43</f>
        <v>#DIV/0!</v>
      </c>
      <c r="M59" s="122" t="e">
        <f>'Edo de resultados'!F25/Balance!F43</f>
        <v>#DIV/0!</v>
      </c>
      <c r="N59" s="122" t="e">
        <f>'Edo de resultados'!H25/Balance!H43</f>
        <v>#DIV/0!</v>
      </c>
    </row>
    <row r="60" spans="1:17" ht="15.75" customHeight="1" x14ac:dyDescent="0.25">
      <c r="A60" s="9"/>
      <c r="B60" s="95"/>
      <c r="C60" s="54"/>
      <c r="D60" s="95"/>
      <c r="E60" s="54"/>
      <c r="F60" s="95"/>
      <c r="G60" s="2"/>
      <c r="H60" s="95"/>
      <c r="I60" s="11"/>
      <c r="J60" s="13"/>
    </row>
    <row r="61" spans="1:17" ht="15.75" customHeight="1" x14ac:dyDescent="0.25">
      <c r="A61" s="57" t="s">
        <v>140</v>
      </c>
      <c r="B61" s="85">
        <f>SUM(B52:B59)</f>
        <v>0</v>
      </c>
      <c r="C61" s="59" t="e">
        <f>B61/$B$84</f>
        <v>#DIV/0!</v>
      </c>
      <c r="D61" s="85">
        <f>SUM(D52:D59)</f>
        <v>0</v>
      </c>
      <c r="E61" s="59" t="e">
        <f>D61/$D$84</f>
        <v>#DIV/0!</v>
      </c>
      <c r="F61" s="123">
        <f>SUM(F52:F59)</f>
        <v>0</v>
      </c>
      <c r="G61" s="60" t="e">
        <f>F61/$F$84</f>
        <v>#DIV/0!</v>
      </c>
      <c r="H61" s="85">
        <f>SUM(H52:H59)</f>
        <v>0</v>
      </c>
      <c r="I61" s="59" t="e">
        <f>H61/$H$84</f>
        <v>#DIV/0!</v>
      </c>
      <c r="J61" s="13"/>
      <c r="K61" s="118" t="s">
        <v>141</v>
      </c>
      <c r="L61" s="118" t="s">
        <v>141</v>
      </c>
      <c r="M61" s="119" t="s">
        <v>141</v>
      </c>
      <c r="N61" s="119" t="s">
        <v>141</v>
      </c>
      <c r="O61" s="97" t="s">
        <v>142</v>
      </c>
    </row>
    <row r="62" spans="1:17" ht="15.75" customHeight="1" x14ac:dyDescent="0.25">
      <c r="A62" s="34"/>
      <c r="B62" s="34" t="s">
        <v>81</v>
      </c>
      <c r="C62" s="109"/>
      <c r="D62" s="34" t="s">
        <v>81</v>
      </c>
      <c r="E62" s="109"/>
      <c r="F62" s="63" t="s">
        <v>81</v>
      </c>
      <c r="G62" s="111"/>
      <c r="H62" s="34" t="s">
        <v>81</v>
      </c>
      <c r="I62" s="109"/>
      <c r="J62" s="13"/>
      <c r="K62" s="31" t="s">
        <v>143</v>
      </c>
      <c r="L62" s="31" t="s">
        <v>143</v>
      </c>
      <c r="M62" s="32" t="s">
        <v>143</v>
      </c>
      <c r="N62" s="32" t="s">
        <v>143</v>
      </c>
    </row>
    <row r="63" spans="1:17" ht="15.75" customHeight="1" x14ac:dyDescent="0.25">
      <c r="A63" s="24" t="s">
        <v>144</v>
      </c>
      <c r="B63" s="24"/>
      <c r="C63" s="24"/>
      <c r="D63" s="80"/>
      <c r="E63" s="106"/>
      <c r="F63" s="82"/>
      <c r="G63" s="107"/>
      <c r="H63" s="80"/>
      <c r="I63" s="124"/>
      <c r="J63" s="13"/>
      <c r="K63" s="121" t="e">
        <f>'Edo de resultados'!B25/Balance!B82</f>
        <v>#DIV/0!</v>
      </c>
      <c r="L63" s="121" t="e">
        <f>'Edo de resultados'!D25/Balance!D82</f>
        <v>#DIV/0!</v>
      </c>
      <c r="M63" s="122" t="e">
        <f>'Edo de resultados'!F25/Balance!F82</f>
        <v>#DIV/0!</v>
      </c>
      <c r="N63" s="122" t="e">
        <f>'Edo de resultados'!H25/Balance!H82</f>
        <v>#DIV/0!</v>
      </c>
    </row>
    <row r="64" spans="1:17" ht="15.75" customHeight="1" x14ac:dyDescent="0.25">
      <c r="A64" s="34" t="s">
        <v>145</v>
      </c>
      <c r="B64" s="43"/>
      <c r="C64" s="44" t="e">
        <f>B64/$B$84</f>
        <v>#DIV/0!</v>
      </c>
      <c r="D64" s="43"/>
      <c r="E64" s="44" t="e">
        <f>D64/$D$84</f>
        <v>#DIV/0!</v>
      </c>
      <c r="F64" s="43"/>
      <c r="G64" s="45" t="e">
        <f>F64/$F$84</f>
        <v>#DIV/0!</v>
      </c>
      <c r="H64" s="43"/>
      <c r="I64" s="44" t="e">
        <f>H64/$H$84</f>
        <v>#DIV/0!</v>
      </c>
      <c r="J64" s="13"/>
    </row>
    <row r="65" spans="1:15" ht="15.75" customHeight="1" x14ac:dyDescent="0.25">
      <c r="A65" s="34" t="s">
        <v>146</v>
      </c>
      <c r="B65" s="43"/>
      <c r="C65" s="44" t="e">
        <f>B65/$B$84</f>
        <v>#DIV/0!</v>
      </c>
      <c r="D65" s="43"/>
      <c r="E65" s="44" t="e">
        <f>D65/$D$84</f>
        <v>#DIV/0!</v>
      </c>
      <c r="F65" s="43"/>
      <c r="G65" s="45" t="e">
        <f>F65/$F$84</f>
        <v>#DIV/0!</v>
      </c>
      <c r="H65" s="43"/>
      <c r="I65" s="44" t="e">
        <f>H65/$H$84</f>
        <v>#DIV/0!</v>
      </c>
      <c r="J65" s="117"/>
      <c r="K65" s="125" t="s">
        <v>147</v>
      </c>
      <c r="L65" s="125" t="s">
        <v>147</v>
      </c>
      <c r="M65" s="126" t="s">
        <v>147</v>
      </c>
      <c r="N65" s="126" t="s">
        <v>147</v>
      </c>
    </row>
    <row r="66" spans="1:15" ht="15.75" customHeight="1" x14ac:dyDescent="0.25">
      <c r="A66" s="9"/>
      <c r="B66" s="95"/>
      <c r="C66" s="11"/>
      <c r="D66" s="95"/>
      <c r="E66" s="11"/>
      <c r="F66" s="96"/>
      <c r="G66" s="2"/>
      <c r="H66" s="95"/>
      <c r="I66" s="11"/>
      <c r="J66" s="13"/>
      <c r="K66" s="31" t="s">
        <v>148</v>
      </c>
      <c r="L66" s="31" t="s">
        <v>148</v>
      </c>
      <c r="M66" s="31" t="s">
        <v>148</v>
      </c>
      <c r="N66" s="31" t="s">
        <v>148</v>
      </c>
    </row>
    <row r="67" spans="1:15" ht="15.75" customHeight="1" x14ac:dyDescent="0.25">
      <c r="A67" s="57" t="s">
        <v>149</v>
      </c>
      <c r="B67" s="58">
        <f>B64+B65</f>
        <v>0</v>
      </c>
      <c r="C67" s="59" t="e">
        <f>B67/$B$84</f>
        <v>#DIV/0!</v>
      </c>
      <c r="D67" s="58">
        <f>D64+D65</f>
        <v>0</v>
      </c>
      <c r="E67" s="59" t="e">
        <f>D67/$D$84</f>
        <v>#DIV/0!</v>
      </c>
      <c r="F67" s="58">
        <f>F64+F65</f>
        <v>0</v>
      </c>
      <c r="G67" s="60" t="e">
        <f>F67/$F$84</f>
        <v>#DIV/0!</v>
      </c>
      <c r="H67" s="58">
        <f>H64+H65</f>
        <v>0</v>
      </c>
      <c r="I67" s="59" t="e">
        <f>H67/$H$84</f>
        <v>#DIV/0!</v>
      </c>
      <c r="J67" s="13"/>
      <c r="K67" s="121" t="e">
        <f>'Edo de resultados'!B14/Balance!B43</f>
        <v>#DIV/0!</v>
      </c>
      <c r="L67" s="121" t="e">
        <f>'Edo de resultados'!D14/Balance!D43</f>
        <v>#DIV/0!</v>
      </c>
      <c r="M67" s="122" t="e">
        <f>'Edo de resultados'!F14/F43</f>
        <v>#DIV/0!</v>
      </c>
      <c r="N67" s="122" t="e">
        <f>'Edo de resultados'!H14/H43</f>
        <v>#DIV/0!</v>
      </c>
    </row>
    <row r="68" spans="1:15" ht="15.75" customHeight="1" x14ac:dyDescent="0.25">
      <c r="A68" s="34"/>
      <c r="B68" s="34" t="s">
        <v>81</v>
      </c>
      <c r="C68" s="109"/>
      <c r="D68" s="34" t="s">
        <v>81</v>
      </c>
      <c r="E68" s="109"/>
      <c r="F68" s="63" t="s">
        <v>81</v>
      </c>
      <c r="G68" s="111"/>
      <c r="H68" s="34" t="s">
        <v>81</v>
      </c>
      <c r="I68" s="109"/>
      <c r="J68" s="13"/>
    </row>
    <row r="69" spans="1:15" ht="15.75" customHeight="1" x14ac:dyDescent="0.25">
      <c r="A69" s="9"/>
      <c r="B69" s="9"/>
      <c r="C69" s="11"/>
      <c r="D69" s="9"/>
      <c r="E69" s="11"/>
      <c r="F69" s="12"/>
      <c r="G69" s="2"/>
      <c r="H69" s="9"/>
      <c r="I69" s="11"/>
      <c r="J69" s="13"/>
      <c r="K69" s="125" t="s">
        <v>150</v>
      </c>
      <c r="L69" s="125" t="s">
        <v>150</v>
      </c>
      <c r="M69" s="126" t="s">
        <v>150</v>
      </c>
      <c r="N69" s="126" t="s">
        <v>150</v>
      </c>
    </row>
    <row r="70" spans="1:15" ht="15.75" customHeight="1" x14ac:dyDescent="0.3">
      <c r="A70" s="88" t="s">
        <v>151</v>
      </c>
      <c r="B70" s="89">
        <f>SUM(B67+B61)</f>
        <v>0</v>
      </c>
      <c r="C70" s="90" t="e">
        <f>B70/$B$84</f>
        <v>#DIV/0!</v>
      </c>
      <c r="D70" s="89">
        <f>SUM(D67+D61)</f>
        <v>0</v>
      </c>
      <c r="E70" s="90" t="e">
        <f>D70/$D$84</f>
        <v>#DIV/0!</v>
      </c>
      <c r="F70" s="91">
        <f>SUM(F67+F61)</f>
        <v>0</v>
      </c>
      <c r="G70" s="92" t="e">
        <f>F70/$F$84</f>
        <v>#DIV/0!</v>
      </c>
      <c r="H70" s="89">
        <f>SUM(H67+H61)</f>
        <v>0</v>
      </c>
      <c r="I70" s="90" t="e">
        <f>H70/$H$84</f>
        <v>#DIV/0!</v>
      </c>
      <c r="J70" s="13"/>
      <c r="K70" s="31" t="s">
        <v>152</v>
      </c>
      <c r="L70" s="31" t="s">
        <v>152</v>
      </c>
      <c r="M70" s="32" t="s">
        <v>153</v>
      </c>
      <c r="N70" s="32" t="s">
        <v>153</v>
      </c>
    </row>
    <row r="71" spans="1:15" ht="15.75" customHeight="1" x14ac:dyDescent="0.25">
      <c r="A71" s="9"/>
      <c r="B71" s="10"/>
      <c r="C71" s="11"/>
      <c r="D71" s="10"/>
      <c r="E71" s="11"/>
      <c r="F71" s="15"/>
      <c r="G71" s="2"/>
      <c r="H71" s="10"/>
      <c r="I71" s="11"/>
      <c r="J71" s="13"/>
      <c r="K71" s="40" t="e">
        <f>'Edo de resultados'!B7/B33</f>
        <v>#DIV/0!</v>
      </c>
      <c r="L71" s="40" t="e">
        <f>'Edo de resultados'!D7/D33</f>
        <v>#DIV/0!</v>
      </c>
      <c r="M71" s="41" t="e">
        <f>'Edo de resultados'!F7/F33</f>
        <v>#DIV/0!</v>
      </c>
      <c r="N71" s="41" t="e">
        <f>'Edo de resultados'!H7/H33</f>
        <v>#DIV/0!</v>
      </c>
    </row>
    <row r="72" spans="1:15" ht="15.75" customHeight="1" x14ac:dyDescent="0.25">
      <c r="A72" s="9"/>
      <c r="B72" s="9"/>
      <c r="C72" s="11"/>
      <c r="D72" s="9"/>
      <c r="E72" s="11"/>
      <c r="F72" s="12"/>
      <c r="G72" s="2"/>
      <c r="H72" s="9"/>
      <c r="I72" s="11"/>
      <c r="J72" s="13"/>
    </row>
    <row r="73" spans="1:15" ht="15.75" customHeight="1" x14ac:dyDescent="0.3">
      <c r="A73" s="321" t="s">
        <v>154</v>
      </c>
      <c r="B73" s="320"/>
      <c r="C73" s="320"/>
      <c r="D73" s="320"/>
      <c r="E73" s="322"/>
      <c r="F73" s="319"/>
      <c r="G73" s="320"/>
      <c r="H73" s="323"/>
      <c r="I73" s="322"/>
      <c r="J73" s="13"/>
      <c r="K73" s="125" t="s">
        <v>155</v>
      </c>
      <c r="L73" s="125" t="s">
        <v>155</v>
      </c>
      <c r="M73" s="126" t="s">
        <v>155</v>
      </c>
      <c r="N73" s="126" t="s">
        <v>155</v>
      </c>
    </row>
    <row r="74" spans="1:15" ht="15.75" customHeight="1" x14ac:dyDescent="0.25">
      <c r="A74" s="34" t="s">
        <v>156</v>
      </c>
      <c r="B74" s="112"/>
      <c r="C74" s="44" t="e">
        <f>B74/$B$84</f>
        <v>#DIV/0!</v>
      </c>
      <c r="D74" s="112"/>
      <c r="E74" s="44" t="e">
        <f>D74/$D$84</f>
        <v>#DIV/0!</v>
      </c>
      <c r="F74" s="112"/>
      <c r="G74" s="45" t="e">
        <f>F74/$F$84</f>
        <v>#DIV/0!</v>
      </c>
      <c r="H74" s="112"/>
      <c r="I74" s="44" t="e">
        <f>H74/$H$84</f>
        <v>#DIV/0!</v>
      </c>
      <c r="J74" s="13"/>
      <c r="K74" s="31" t="s">
        <v>157</v>
      </c>
      <c r="L74" s="31" t="s">
        <v>157</v>
      </c>
      <c r="M74" s="32" t="s">
        <v>157</v>
      </c>
      <c r="N74" s="32" t="s">
        <v>157</v>
      </c>
    </row>
    <row r="75" spans="1:15" ht="15.75" customHeight="1" x14ac:dyDescent="0.25">
      <c r="A75" s="34" t="s">
        <v>158</v>
      </c>
      <c r="B75" s="112"/>
      <c r="C75" s="44" t="e">
        <f>B75/$B$84</f>
        <v>#DIV/0!</v>
      </c>
      <c r="D75" s="110"/>
      <c r="E75" s="44" t="e">
        <f>D75/$D$84</f>
        <v>#DIV/0!</v>
      </c>
      <c r="F75" s="110"/>
      <c r="G75" s="45" t="e">
        <f>F75/$F$84</f>
        <v>#DIV/0!</v>
      </c>
      <c r="H75" s="110"/>
      <c r="I75" s="44" t="e">
        <f>H75/$H$84</f>
        <v>#DIV/0!</v>
      </c>
      <c r="J75" s="13"/>
      <c r="K75" s="93" t="e">
        <f>('Edo de resultados'!B14/'Edo de resultados'!B15)*-1</f>
        <v>#DIV/0!</v>
      </c>
      <c r="L75" s="93" t="e">
        <f>('Edo de resultados'!D14/'Edo de resultados'!D15)*-1</f>
        <v>#DIV/0!</v>
      </c>
      <c r="M75" s="94" t="e">
        <f>('Edo de resultados'!F14/'Edo de resultados'!F15)*-1</f>
        <v>#DIV/0!</v>
      </c>
      <c r="N75" s="94" t="e">
        <f>('Edo de resultados'!H14/'Edo de resultados'!H15)*-1</f>
        <v>#DIV/0!</v>
      </c>
    </row>
    <row r="76" spans="1:15" ht="15.75" customHeight="1" x14ac:dyDescent="0.25">
      <c r="A76" s="34" t="s">
        <v>159</v>
      </c>
      <c r="B76" s="112"/>
      <c r="C76" s="44" t="e">
        <f>B76/$B$84</f>
        <v>#DIV/0!</v>
      </c>
      <c r="D76" s="112"/>
      <c r="E76" s="44" t="e">
        <f>D76/$D$84</f>
        <v>#DIV/0!</v>
      </c>
      <c r="F76" s="112"/>
      <c r="G76" s="45" t="e">
        <f>F76/$F$84</f>
        <v>#DIV/0!</v>
      </c>
      <c r="H76" s="112"/>
      <c r="I76" s="44" t="e">
        <f>H76/$H$84</f>
        <v>#DIV/0!</v>
      </c>
      <c r="J76" s="13"/>
      <c r="K76" s="127"/>
      <c r="L76" s="127"/>
      <c r="M76" s="128" t="s">
        <v>160</v>
      </c>
      <c r="N76" s="127"/>
    </row>
    <row r="77" spans="1:15" ht="15.75" customHeight="1" x14ac:dyDescent="0.25">
      <c r="A77" s="34" t="s">
        <v>161</v>
      </c>
      <c r="B77" s="10"/>
      <c r="C77" s="44" t="e">
        <f>B77/$B$84</f>
        <v>#DIV/0!</v>
      </c>
      <c r="D77" s="10"/>
      <c r="E77" s="44" t="e">
        <f>D77/$D$84</f>
        <v>#DIV/0!</v>
      </c>
      <c r="F77" s="10"/>
      <c r="G77" s="45" t="e">
        <f>F77/$F$84</f>
        <v>#DIV/0!</v>
      </c>
      <c r="H77" s="10"/>
      <c r="I77" s="44" t="e">
        <f>H77/$H$84</f>
        <v>#DIV/0!</v>
      </c>
      <c r="J77" s="13"/>
      <c r="K77" s="129" t="s">
        <v>162</v>
      </c>
      <c r="L77" s="129" t="s">
        <v>162</v>
      </c>
      <c r="M77" s="130" t="s">
        <v>162</v>
      </c>
      <c r="N77" s="130" t="s">
        <v>162</v>
      </c>
    </row>
    <row r="78" spans="1:15" ht="15.75" customHeight="1" x14ac:dyDescent="0.25">
      <c r="A78" s="34" t="s">
        <v>163</v>
      </c>
      <c r="B78" s="112"/>
      <c r="C78" s="44" t="e">
        <f>B78/$B$84</f>
        <v>#DIV/0!</v>
      </c>
      <c r="D78" s="10"/>
      <c r="E78" s="44" t="e">
        <f>D78/$D$84</f>
        <v>#DIV/0!</v>
      </c>
      <c r="F78" s="112"/>
      <c r="G78" s="45" t="e">
        <f>F78/$F$84</f>
        <v>#DIV/0!</v>
      </c>
      <c r="H78" s="112"/>
      <c r="I78" s="44" t="e">
        <f>H78/$H$84</f>
        <v>#DIV/0!</v>
      </c>
      <c r="J78" s="13"/>
      <c r="K78" s="31" t="s">
        <v>164</v>
      </c>
      <c r="L78" s="31" t="s">
        <v>164</v>
      </c>
      <c r="M78" s="32" t="s">
        <v>164</v>
      </c>
      <c r="N78" s="32" t="s">
        <v>164</v>
      </c>
      <c r="O78" s="116" t="s">
        <v>165</v>
      </c>
    </row>
    <row r="79" spans="1:15" ht="15.75" customHeight="1" x14ac:dyDescent="0.25">
      <c r="A79" s="9"/>
      <c r="B79" s="9" t="s">
        <v>81</v>
      </c>
      <c r="C79" s="11"/>
      <c r="D79" s="9" t="s">
        <v>81</v>
      </c>
      <c r="E79" s="11"/>
      <c r="F79" s="12" t="s">
        <v>81</v>
      </c>
      <c r="G79" s="2"/>
      <c r="H79" s="9" t="s">
        <v>81</v>
      </c>
      <c r="I79" s="11"/>
      <c r="J79" s="13"/>
      <c r="K79" s="121" t="e">
        <f>'Edo de resultados'!B25/'Edo de resultados'!B7</f>
        <v>#DIV/0!</v>
      </c>
      <c r="L79" s="121" t="e">
        <f>'Edo de resultados'!D25/'Edo de resultados'!D7</f>
        <v>#DIV/0!</v>
      </c>
      <c r="M79" s="122" t="e">
        <f>'Edo de resultados'!F25/'Edo de resultados'!F7</f>
        <v>#DIV/0!</v>
      </c>
      <c r="N79" s="122" t="e">
        <f>'Edo de resultados'!H25/'Edo de resultados'!H7</f>
        <v>#DIV/0!</v>
      </c>
    </row>
    <row r="80" spans="1:15" ht="15.75" customHeight="1" x14ac:dyDescent="0.25">
      <c r="A80" s="57" t="s">
        <v>166</v>
      </c>
      <c r="B80" s="131">
        <f>SUM(B74:B78)</f>
        <v>0</v>
      </c>
      <c r="C80" s="59" t="e">
        <f>B80/$B$84</f>
        <v>#DIV/0!</v>
      </c>
      <c r="D80" s="131">
        <f>SUM(D74:D78)</f>
        <v>0</v>
      </c>
      <c r="E80" s="59" t="e">
        <f>D80/$D$84</f>
        <v>#DIV/0!</v>
      </c>
      <c r="F80" s="131">
        <f>SUM(F74:F78)</f>
        <v>0</v>
      </c>
      <c r="G80" s="60" t="e">
        <f>F80/$F$84</f>
        <v>#DIV/0!</v>
      </c>
      <c r="H80" s="131">
        <f>SUM(H74:H78)</f>
        <v>0</v>
      </c>
      <c r="I80" s="59" t="e">
        <f>H80/$H$84</f>
        <v>#DIV/0!</v>
      </c>
      <c r="J80" s="13"/>
    </row>
    <row r="81" spans="1:15" ht="15.75" customHeight="1" x14ac:dyDescent="0.25">
      <c r="A81" s="34"/>
      <c r="B81" s="132"/>
      <c r="C81" s="109"/>
      <c r="D81" s="132"/>
      <c r="E81" s="109"/>
      <c r="F81" s="132"/>
      <c r="G81" s="45"/>
      <c r="H81" s="132"/>
      <c r="I81" s="44"/>
      <c r="J81" s="13"/>
      <c r="K81" s="133" t="s">
        <v>167</v>
      </c>
      <c r="L81" s="133" t="s">
        <v>167</v>
      </c>
      <c r="M81" s="134" t="s">
        <v>167</v>
      </c>
      <c r="N81" s="134" t="s">
        <v>167</v>
      </c>
    </row>
    <row r="82" spans="1:15" ht="15.75" customHeight="1" x14ac:dyDescent="0.3">
      <c r="A82" s="135" t="s">
        <v>168</v>
      </c>
      <c r="B82" s="136">
        <f>B80</f>
        <v>0</v>
      </c>
      <c r="C82" s="137" t="e">
        <f>B82/$B$84</f>
        <v>#DIV/0!</v>
      </c>
      <c r="D82" s="136">
        <f>D80</f>
        <v>0</v>
      </c>
      <c r="E82" s="137" t="e">
        <f>D82/$D$84</f>
        <v>#DIV/0!</v>
      </c>
      <c r="F82" s="138">
        <f>F80</f>
        <v>0</v>
      </c>
      <c r="G82" s="139" t="e">
        <f>F82/$F$84</f>
        <v>#DIV/0!</v>
      </c>
      <c r="H82" s="136">
        <f>H80</f>
        <v>0</v>
      </c>
      <c r="I82" s="137" t="e">
        <f>H82/$H$84</f>
        <v>#DIV/0!</v>
      </c>
      <c r="J82" s="13"/>
      <c r="K82" s="31" t="s">
        <v>169</v>
      </c>
      <c r="L82" s="31" t="s">
        <v>169</v>
      </c>
      <c r="M82" s="32" t="s">
        <v>169</v>
      </c>
      <c r="N82" s="32" t="s">
        <v>169</v>
      </c>
      <c r="O82" s="116" t="s">
        <v>170</v>
      </c>
    </row>
    <row r="83" spans="1:15" ht="15.75" customHeight="1" x14ac:dyDescent="0.25">
      <c r="A83" s="34"/>
      <c r="B83" s="34"/>
      <c r="C83" s="109"/>
      <c r="D83" s="34"/>
      <c r="E83" s="109"/>
      <c r="F83" s="34"/>
      <c r="G83" s="111"/>
      <c r="H83" s="34"/>
      <c r="I83" s="109"/>
      <c r="J83" s="13"/>
      <c r="K83" s="93" t="e">
        <f>B43/B82</f>
        <v>#DIV/0!</v>
      </c>
      <c r="L83" s="93" t="e">
        <f>D43/D82</f>
        <v>#DIV/0!</v>
      </c>
      <c r="M83" s="94" t="e">
        <f>F43/F82</f>
        <v>#DIV/0!</v>
      </c>
      <c r="N83" s="94" t="e">
        <f>H43/H82</f>
        <v>#DIV/0!</v>
      </c>
    </row>
    <row r="84" spans="1:15" ht="15.75" customHeight="1" x14ac:dyDescent="0.35">
      <c r="A84" s="140" t="s">
        <v>171</v>
      </c>
      <c r="B84" s="141">
        <f>B82+B70</f>
        <v>0</v>
      </c>
      <c r="C84" s="142" t="e">
        <f>B84/$B$84</f>
        <v>#DIV/0!</v>
      </c>
      <c r="D84" s="141">
        <f>D82+D70</f>
        <v>0</v>
      </c>
      <c r="E84" s="142" t="e">
        <f>D84/$D$84</f>
        <v>#DIV/0!</v>
      </c>
      <c r="F84" s="143">
        <f>F82+F70</f>
        <v>0</v>
      </c>
      <c r="G84" s="144" t="e">
        <f>F84/$F$84</f>
        <v>#DIV/0!</v>
      </c>
      <c r="H84" s="141">
        <f>H82+H70</f>
        <v>0</v>
      </c>
      <c r="I84" s="142" t="e">
        <f>H84/$H$84</f>
        <v>#DIV/0!</v>
      </c>
      <c r="J84" s="13"/>
    </row>
    <row r="85" spans="1:15" ht="15.75" customHeight="1" x14ac:dyDescent="0.25">
      <c r="A85" s="34"/>
      <c r="B85" s="34" t="s">
        <v>116</v>
      </c>
      <c r="C85" s="109"/>
      <c r="D85" s="34" t="s">
        <v>116</v>
      </c>
      <c r="E85" s="109"/>
      <c r="F85" s="63" t="s">
        <v>116</v>
      </c>
      <c r="G85" s="111"/>
      <c r="H85" s="34" t="s">
        <v>116</v>
      </c>
      <c r="I85" s="109"/>
      <c r="J85" s="13"/>
      <c r="K85" s="133" t="s">
        <v>172</v>
      </c>
      <c r="L85" s="133" t="s">
        <v>172</v>
      </c>
      <c r="M85" s="134" t="s">
        <v>173</v>
      </c>
      <c r="N85" s="134" t="s">
        <v>173</v>
      </c>
    </row>
    <row r="86" spans="1:15" ht="15.75" customHeight="1" x14ac:dyDescent="0.25">
      <c r="A86" s="145"/>
      <c r="B86" s="146"/>
      <c r="C86" s="147"/>
      <c r="D86" s="146"/>
      <c r="E86" s="147"/>
      <c r="F86" s="148"/>
      <c r="G86" s="148"/>
      <c r="H86" s="146"/>
      <c r="I86" s="147"/>
      <c r="J86" s="149"/>
      <c r="K86" s="121" t="e">
        <f>K55*K79</f>
        <v>#DIV/0!</v>
      </c>
      <c r="L86" s="121" t="e">
        <f>L55*L79</f>
        <v>#DIV/0!</v>
      </c>
      <c r="M86" s="122" t="e">
        <f>M55*M79</f>
        <v>#DIV/0!</v>
      </c>
      <c r="N86" s="122" t="e">
        <f>N55*N79</f>
        <v>#DIV/0!</v>
      </c>
      <c r="O86" s="97" t="s">
        <v>174</v>
      </c>
    </row>
    <row r="87" spans="1:15" ht="15.75" customHeight="1" x14ac:dyDescent="0.25">
      <c r="A87" s="150"/>
      <c r="B87" s="151"/>
      <c r="C87" s="151"/>
      <c r="D87" s="152"/>
      <c r="E87" s="111"/>
      <c r="F87" s="152"/>
      <c r="G87" s="111"/>
      <c r="H87" s="152"/>
      <c r="I87" s="109"/>
      <c r="K87" s="93"/>
      <c r="L87" s="93"/>
      <c r="M87" s="94"/>
      <c r="N87" s="94"/>
    </row>
    <row r="88" spans="1:15" ht="15.75" customHeight="1" x14ac:dyDescent="0.35">
      <c r="A88" s="153" t="s">
        <v>175</v>
      </c>
      <c r="B88" s="154">
        <f>(B43-B84)</f>
        <v>0</v>
      </c>
      <c r="C88" s="155"/>
      <c r="D88" s="154">
        <f>(D43-D84)</f>
        <v>0</v>
      </c>
      <c r="E88" s="155"/>
      <c r="F88" s="154">
        <f>(F43-F84)</f>
        <v>0</v>
      </c>
      <c r="G88" s="156"/>
      <c r="H88" s="157">
        <f>(H43-H84)</f>
        <v>0</v>
      </c>
      <c r="I88" s="155"/>
      <c r="K88" s="133" t="s">
        <v>176</v>
      </c>
      <c r="L88" s="133" t="s">
        <v>176</v>
      </c>
      <c r="M88" s="134" t="s">
        <v>177</v>
      </c>
      <c r="N88" s="134" t="s">
        <v>177</v>
      </c>
    </row>
    <row r="89" spans="1:15" ht="15.75" customHeight="1" x14ac:dyDescent="0.25">
      <c r="D89" s="2"/>
      <c r="E89" s="2"/>
      <c r="F89" s="2"/>
      <c r="G89" s="2"/>
      <c r="H89" s="2"/>
      <c r="I89" s="2"/>
      <c r="K89" s="121" t="e">
        <f>K86*K83</f>
        <v>#DIV/0!</v>
      </c>
      <c r="L89" s="121" t="e">
        <f>L86*L83</f>
        <v>#DIV/0!</v>
      </c>
      <c r="M89" s="122" t="e">
        <f>M86*M83</f>
        <v>#DIV/0!</v>
      </c>
      <c r="N89" s="122" t="e">
        <f>N86*N83</f>
        <v>#DIV/0!</v>
      </c>
      <c r="O89" s="97" t="s">
        <v>178</v>
      </c>
    </row>
    <row r="90" spans="1:15" ht="15.75" customHeight="1" x14ac:dyDescent="0.25">
      <c r="D90" s="158"/>
      <c r="E90" s="2"/>
      <c r="F90" s="2"/>
      <c r="G90" s="2"/>
      <c r="H90" s="2"/>
      <c r="I90" s="2"/>
      <c r="K90" s="94"/>
      <c r="L90" s="94"/>
      <c r="M90" s="94"/>
      <c r="N90" s="94"/>
    </row>
    <row r="91" spans="1:15" ht="15.75" customHeight="1" x14ac:dyDescent="0.25">
      <c r="D91" s="2"/>
      <c r="E91" s="2"/>
      <c r="F91" s="2"/>
      <c r="G91" s="2"/>
      <c r="H91" s="2"/>
      <c r="I91" s="2"/>
      <c r="M91" s="159" t="s">
        <v>179</v>
      </c>
    </row>
    <row r="92" spans="1:15" ht="15.75" customHeight="1" x14ac:dyDescent="0.25">
      <c r="D92" s="2"/>
      <c r="E92" s="2"/>
      <c r="F92" s="2"/>
      <c r="G92" s="2"/>
      <c r="H92" s="2"/>
      <c r="I92" s="2"/>
      <c r="K92" s="118" t="s">
        <v>180</v>
      </c>
      <c r="L92" s="118" t="s">
        <v>180</v>
      </c>
      <c r="M92" s="118" t="s">
        <v>180</v>
      </c>
      <c r="N92" s="118" t="s">
        <v>180</v>
      </c>
    </row>
    <row r="93" spans="1:15" ht="15.75" customHeight="1" x14ac:dyDescent="0.25">
      <c r="D93" s="2"/>
      <c r="E93" s="2"/>
      <c r="F93" s="2"/>
      <c r="G93" s="2"/>
      <c r="H93" s="2"/>
      <c r="I93" s="2"/>
      <c r="K93" s="31" t="s">
        <v>181</v>
      </c>
      <c r="L93" s="31" t="s">
        <v>181</v>
      </c>
      <c r="M93" s="31" t="s">
        <v>181</v>
      </c>
      <c r="N93" s="31" t="s">
        <v>181</v>
      </c>
    </row>
    <row r="94" spans="1:15" ht="15.75" customHeight="1" x14ac:dyDescent="0.25">
      <c r="D94" s="2"/>
      <c r="E94" s="2"/>
      <c r="F94" s="2"/>
      <c r="G94" s="2"/>
      <c r="H94" s="2"/>
      <c r="I94" s="2"/>
      <c r="K94" s="121" t="e">
        <f>'Edo de resultados'!B30/(Balance!B82+Balance!B67)</f>
        <v>#DIV/0!</v>
      </c>
      <c r="L94" s="121" t="e">
        <f>'Edo de resultados'!D30/(Balance!D82+Balance!D67)</f>
        <v>#DIV/0!</v>
      </c>
      <c r="M94" s="121" t="e">
        <f>'Edo de resultados'!F30/(Balance!F82+Balance!F67)</f>
        <v>#DIV/0!</v>
      </c>
      <c r="N94" s="121" t="e">
        <f>'Edo de resultados'!H30/(Balance!H82+Balance!H67)</f>
        <v>#DIV/0!</v>
      </c>
    </row>
    <row r="95" spans="1:15" ht="15.75" customHeight="1" x14ac:dyDescent="0.25">
      <c r="D95" s="2"/>
      <c r="E95" s="2"/>
      <c r="F95" s="2"/>
      <c r="G95" s="2"/>
      <c r="H95" s="2"/>
      <c r="I95" s="2"/>
      <c r="K95" s="121" t="e">
        <f>'Edo de resultados'!B30/(B43-B61)</f>
        <v>#DIV/0!</v>
      </c>
      <c r="L95" s="121" t="e">
        <f>'Edo de resultados'!D30/(D43-D61)</f>
        <v>#DIV/0!</v>
      </c>
      <c r="M95" s="121" t="e">
        <f>'Edo de resultados'!F30/(F43-F61)</f>
        <v>#DIV/0!</v>
      </c>
      <c r="N95" s="121" t="e">
        <f>'Edo de resultados'!H30/(H43-H61)</f>
        <v>#DIV/0!</v>
      </c>
      <c r="O95" s="160" t="s">
        <v>182</v>
      </c>
    </row>
    <row r="96" spans="1:15" ht="15.75" customHeight="1" x14ac:dyDescent="0.25">
      <c r="D96" s="2"/>
      <c r="E96" s="2"/>
      <c r="F96" s="2"/>
      <c r="G96" s="2"/>
      <c r="H96" s="2"/>
      <c r="I96" s="2"/>
      <c r="M96" s="161" t="s">
        <v>183</v>
      </c>
    </row>
    <row r="97" spans="1:14" ht="15.75" customHeight="1" x14ac:dyDescent="0.25">
      <c r="D97" s="2"/>
      <c r="E97" s="2"/>
      <c r="F97" s="2"/>
      <c r="G97" s="2"/>
      <c r="H97" s="2"/>
      <c r="I97" s="2"/>
    </row>
    <row r="98" spans="1:14" ht="15.75" customHeight="1" x14ac:dyDescent="0.25">
      <c r="D98" s="2"/>
      <c r="E98" s="2"/>
      <c r="F98" s="2"/>
      <c r="G98" s="2"/>
      <c r="H98" s="2"/>
      <c r="I98" s="2"/>
    </row>
    <row r="99" spans="1:14" ht="15.75" customHeight="1" x14ac:dyDescent="0.25">
      <c r="A99" s="34"/>
      <c r="B99" s="34"/>
      <c r="C99" s="34"/>
      <c r="D99" s="43"/>
      <c r="E99" s="2"/>
      <c r="F99" s="2"/>
      <c r="G99" s="2"/>
      <c r="H99" s="2"/>
      <c r="I99" s="2"/>
      <c r="J99" s="161" t="s">
        <v>65</v>
      </c>
      <c r="K99" s="162">
        <f>B11</f>
        <v>0</v>
      </c>
      <c r="L99" s="162">
        <f>D11</f>
        <v>0</v>
      </c>
      <c r="M99" s="162">
        <f>F11</f>
        <v>0</v>
      </c>
      <c r="N99" s="162">
        <f>H11</f>
        <v>0</v>
      </c>
    </row>
    <row r="100" spans="1:14" ht="15.75" customHeight="1" x14ac:dyDescent="0.25">
      <c r="A100" s="34"/>
      <c r="B100" s="34"/>
      <c r="C100" s="34"/>
      <c r="D100" s="43"/>
      <c r="E100" s="2"/>
      <c r="F100" s="2"/>
      <c r="G100" s="2"/>
      <c r="H100" s="2"/>
      <c r="I100" s="2"/>
      <c r="J100" s="163" t="s">
        <v>184</v>
      </c>
      <c r="K100" s="164">
        <f>B16</f>
        <v>0</v>
      </c>
      <c r="L100" s="164">
        <f>D16</f>
        <v>0</v>
      </c>
      <c r="M100" s="164">
        <f>F16</f>
        <v>0</v>
      </c>
      <c r="N100" s="164">
        <f>H16</f>
        <v>0</v>
      </c>
    </row>
    <row r="101" spans="1:14" ht="15.75" customHeight="1" x14ac:dyDescent="0.25">
      <c r="A101" s="9"/>
      <c r="B101" s="9"/>
      <c r="C101" s="9"/>
      <c r="D101" s="43"/>
      <c r="E101" s="2"/>
      <c r="F101" s="2"/>
      <c r="G101" s="2"/>
      <c r="H101" s="2"/>
      <c r="I101" s="2"/>
      <c r="J101" s="165" t="s">
        <v>185</v>
      </c>
      <c r="K101" s="166">
        <f>K99+K100</f>
        <v>0</v>
      </c>
      <c r="L101" s="166">
        <f>L99+L100</f>
        <v>0</v>
      </c>
      <c r="M101" s="166">
        <f>M99+M100</f>
        <v>0</v>
      </c>
      <c r="N101" s="166">
        <f>N99+N100</f>
        <v>0</v>
      </c>
    </row>
    <row r="102" spans="1:14" ht="15.75" customHeight="1" x14ac:dyDescent="0.25">
      <c r="A102" s="9"/>
      <c r="B102" s="9"/>
      <c r="C102" s="9"/>
      <c r="D102" s="43"/>
      <c r="E102" s="2"/>
      <c r="F102" s="2"/>
      <c r="G102" s="2"/>
      <c r="H102" s="2"/>
      <c r="I102" s="2"/>
      <c r="J102" s="161"/>
      <c r="K102" s="161"/>
      <c r="L102" s="42"/>
      <c r="M102" s="167"/>
      <c r="N102" s="167"/>
    </row>
    <row r="103" spans="1:14" ht="15.75" customHeight="1" x14ac:dyDescent="0.25">
      <c r="A103" s="9"/>
      <c r="B103" s="9"/>
      <c r="C103" s="9"/>
      <c r="D103" s="43"/>
      <c r="E103" s="2"/>
      <c r="F103" s="2"/>
      <c r="G103" s="2"/>
      <c r="H103" s="2"/>
      <c r="I103" s="2"/>
      <c r="J103" s="163" t="s">
        <v>125</v>
      </c>
      <c r="K103" s="168">
        <f>+B52</f>
        <v>0</v>
      </c>
      <c r="L103" s="164">
        <f>D52</f>
        <v>0</v>
      </c>
      <c r="M103" s="164">
        <f>F52</f>
        <v>0</v>
      </c>
      <c r="N103" s="164">
        <f>H52</f>
        <v>0</v>
      </c>
    </row>
    <row r="104" spans="1:14" ht="15.75" customHeight="1" x14ac:dyDescent="0.25">
      <c r="A104" s="9"/>
      <c r="B104" s="9"/>
      <c r="C104" s="9"/>
      <c r="D104" s="43"/>
      <c r="E104" s="2"/>
      <c r="F104" s="2"/>
      <c r="G104" s="2"/>
      <c r="H104" s="2"/>
      <c r="I104" s="2"/>
      <c r="L104" s="167"/>
      <c r="M104" s="167"/>
      <c r="N104" s="167"/>
    </row>
    <row r="105" spans="1:14" ht="15.75" customHeight="1" x14ac:dyDescent="0.25">
      <c r="D105" s="2"/>
      <c r="E105" s="2"/>
      <c r="F105" s="2"/>
      <c r="G105" s="2"/>
      <c r="H105" s="2"/>
      <c r="I105" s="2"/>
      <c r="J105" s="169" t="s">
        <v>186</v>
      </c>
      <c r="K105" s="170">
        <f>K101-K103</f>
        <v>0</v>
      </c>
      <c r="L105" s="170">
        <f>L101-L103</f>
        <v>0</v>
      </c>
      <c r="M105" s="170">
        <f>M101-M103</f>
        <v>0</v>
      </c>
      <c r="N105" s="170">
        <f>N101-N103</f>
        <v>0</v>
      </c>
    </row>
    <row r="106" spans="1:14" ht="15.75" customHeight="1" x14ac:dyDescent="0.25">
      <c r="D106" s="2"/>
      <c r="E106" s="2"/>
      <c r="F106" s="2"/>
      <c r="G106" s="2"/>
      <c r="H106" s="2"/>
      <c r="I106" s="2"/>
    </row>
    <row r="107" spans="1:14" ht="15.75" customHeight="1" x14ac:dyDescent="0.25">
      <c r="D107" s="2"/>
      <c r="E107" s="2"/>
      <c r="F107" s="2"/>
      <c r="G107" s="2"/>
      <c r="H107" s="2"/>
      <c r="I107" s="2"/>
    </row>
    <row r="108" spans="1:14" ht="15.75" customHeight="1" x14ac:dyDescent="0.25">
      <c r="D108" s="2"/>
      <c r="E108" s="2"/>
      <c r="F108" s="2"/>
      <c r="G108" s="2"/>
      <c r="H108" s="2"/>
      <c r="I108" s="2"/>
      <c r="M108" s="161" t="s">
        <v>187</v>
      </c>
    </row>
    <row r="109" spans="1:14" ht="15.75" customHeight="1" x14ac:dyDescent="0.25">
      <c r="D109" s="2"/>
      <c r="E109" s="2"/>
      <c r="F109" s="2"/>
      <c r="G109" s="2"/>
      <c r="H109" s="2"/>
      <c r="I109" s="2"/>
    </row>
    <row r="110" spans="1:14" ht="15.75" customHeight="1" x14ac:dyDescent="0.25">
      <c r="D110" s="2"/>
      <c r="E110" s="2"/>
      <c r="F110" s="2"/>
      <c r="G110" s="2"/>
      <c r="H110" s="2"/>
      <c r="I110" s="2"/>
      <c r="J110" s="161" t="s">
        <v>65</v>
      </c>
      <c r="K110" s="171" t="e">
        <f>K24</f>
        <v>#DIV/0!</v>
      </c>
      <c r="L110" s="171" t="e">
        <f>L24</f>
        <v>#DIV/0!</v>
      </c>
      <c r="M110" s="171" t="e">
        <f>M24</f>
        <v>#DIV/0!</v>
      </c>
      <c r="N110" s="171" t="e">
        <f>N24</f>
        <v>#DIV/0!</v>
      </c>
    </row>
    <row r="111" spans="1:14" ht="15.75" customHeight="1" x14ac:dyDescent="0.25">
      <c r="D111" s="2"/>
      <c r="E111" s="2"/>
      <c r="F111" s="2"/>
      <c r="G111" s="2"/>
      <c r="H111" s="2"/>
      <c r="I111" s="2"/>
      <c r="J111" s="163" t="s">
        <v>184</v>
      </c>
      <c r="K111" s="172" t="e">
        <f>K32</f>
        <v>#DIV/0!</v>
      </c>
      <c r="L111" s="172" t="e">
        <f>L32</f>
        <v>#DIV/0!</v>
      </c>
      <c r="M111" s="172" t="e">
        <f>M32</f>
        <v>#DIV/0!</v>
      </c>
      <c r="N111" s="172" t="e">
        <f>N32</f>
        <v>#DIV/0!</v>
      </c>
    </row>
    <row r="112" spans="1:14" ht="15.75" customHeight="1" x14ac:dyDescent="0.25">
      <c r="D112" s="2"/>
      <c r="E112" s="2"/>
      <c r="F112" s="2"/>
      <c r="G112" s="2"/>
      <c r="H112" s="2"/>
      <c r="I112" s="2"/>
      <c r="K112" s="171" t="e">
        <f>K110+K111</f>
        <v>#DIV/0!</v>
      </c>
      <c r="L112" s="171" t="e">
        <f>L110+L111</f>
        <v>#DIV/0!</v>
      </c>
      <c r="M112" s="171" t="e">
        <f>M110+M111</f>
        <v>#DIV/0!</v>
      </c>
      <c r="N112" s="171" t="e">
        <f>N110+N111</f>
        <v>#DIV/0!</v>
      </c>
    </row>
    <row r="113" spans="4:14" ht="15.75" customHeight="1" x14ac:dyDescent="0.25">
      <c r="D113" s="2"/>
      <c r="E113" s="2"/>
      <c r="F113" s="2"/>
      <c r="G113" s="2"/>
      <c r="H113" s="2"/>
      <c r="I113" s="2"/>
      <c r="K113" s="173"/>
      <c r="L113" s="173"/>
      <c r="M113" s="173"/>
      <c r="N113" s="173"/>
    </row>
    <row r="114" spans="4:14" ht="15.75" customHeight="1" x14ac:dyDescent="0.25">
      <c r="D114" s="2"/>
      <c r="E114" s="2"/>
      <c r="F114" s="2"/>
      <c r="G114" s="2"/>
      <c r="H114" s="2"/>
      <c r="I114" s="2"/>
      <c r="J114" s="163" t="s">
        <v>125</v>
      </c>
      <c r="K114" s="172" t="e">
        <f>K39</f>
        <v>#DIV/0!</v>
      </c>
      <c r="L114" s="172" t="e">
        <f>L39</f>
        <v>#DIV/0!</v>
      </c>
      <c r="M114" s="172" t="e">
        <f>M39</f>
        <v>#DIV/0!</v>
      </c>
      <c r="N114" s="172" t="e">
        <f>N39</f>
        <v>#DIV/0!</v>
      </c>
    </row>
    <row r="115" spans="4:14" ht="15.75" customHeight="1" x14ac:dyDescent="0.25">
      <c r="D115" s="2"/>
      <c r="E115" s="2"/>
      <c r="F115" s="2"/>
      <c r="G115" s="2"/>
      <c r="H115" s="2"/>
      <c r="I115" s="2"/>
      <c r="K115" s="173"/>
      <c r="L115" s="173"/>
      <c r="M115" s="173"/>
      <c r="N115" s="173"/>
    </row>
    <row r="116" spans="4:14" ht="15.75" customHeight="1" x14ac:dyDescent="0.25">
      <c r="D116" s="2"/>
      <c r="E116" s="2"/>
      <c r="F116" s="2"/>
      <c r="G116" s="2"/>
      <c r="H116" s="2"/>
      <c r="I116" s="2"/>
      <c r="J116" s="169" t="s">
        <v>186</v>
      </c>
      <c r="K116" s="171" t="e">
        <f>K112-K114</f>
        <v>#DIV/0!</v>
      </c>
      <c r="L116" s="171" t="e">
        <f>L112-L114</f>
        <v>#DIV/0!</v>
      </c>
      <c r="M116" s="171" t="e">
        <f>M112-M114</f>
        <v>#DIV/0!</v>
      </c>
      <c r="N116" s="171" t="e">
        <f>N112-N114</f>
        <v>#DIV/0!</v>
      </c>
    </row>
    <row r="117" spans="4:14" ht="15.75" customHeight="1" x14ac:dyDescent="0.25">
      <c r="D117" s="2"/>
      <c r="E117" s="2"/>
      <c r="F117" s="2"/>
      <c r="G117" s="2"/>
      <c r="H117" s="2"/>
      <c r="I117" s="2"/>
      <c r="K117" s="173"/>
      <c r="L117" s="173"/>
      <c r="M117" s="173"/>
      <c r="N117" s="173"/>
    </row>
    <row r="118" spans="4:14" ht="15.75" customHeight="1" x14ac:dyDescent="0.25">
      <c r="D118" s="2"/>
      <c r="E118" s="2"/>
      <c r="F118" s="2"/>
      <c r="G118" s="2"/>
      <c r="H118" s="2"/>
      <c r="I118" s="2"/>
      <c r="J118" s="174" t="s">
        <v>188</v>
      </c>
      <c r="K118" s="175" t="e">
        <f>K112</f>
        <v>#DIV/0!</v>
      </c>
      <c r="L118" s="175" t="e">
        <f>L112</f>
        <v>#DIV/0!</v>
      </c>
      <c r="M118" s="175" t="e">
        <f>M112</f>
        <v>#DIV/0!</v>
      </c>
      <c r="N118" s="175" t="e">
        <f>N112</f>
        <v>#DIV/0!</v>
      </c>
    </row>
    <row r="119" spans="4:14" ht="15.75" customHeight="1" x14ac:dyDescent="0.25">
      <c r="D119" s="2"/>
      <c r="E119" s="2"/>
      <c r="F119" s="2"/>
      <c r="G119" s="2"/>
      <c r="H119" s="2"/>
      <c r="I119" s="2"/>
    </row>
    <row r="120" spans="4:14" ht="15.75" customHeight="1" x14ac:dyDescent="0.25">
      <c r="D120" s="2"/>
      <c r="E120" s="2"/>
      <c r="F120" s="2"/>
      <c r="G120" s="2"/>
      <c r="H120" s="2"/>
      <c r="I120" s="2"/>
    </row>
    <row r="121" spans="4:14" ht="15.75" customHeight="1" x14ac:dyDescent="0.25">
      <c r="D121" s="2"/>
      <c r="E121" s="2"/>
      <c r="F121" s="2"/>
      <c r="G121" s="2"/>
      <c r="H121" s="2"/>
      <c r="I121" s="2"/>
    </row>
    <row r="122" spans="4:14" ht="15.75" customHeight="1" x14ac:dyDescent="0.25">
      <c r="D122" s="2"/>
      <c r="E122" s="2"/>
      <c r="F122" s="2"/>
      <c r="G122" s="2"/>
      <c r="H122" s="2"/>
      <c r="I122" s="2"/>
    </row>
    <row r="123" spans="4:14" ht="15.75" customHeight="1" x14ac:dyDescent="0.25">
      <c r="D123" s="2"/>
      <c r="E123" s="2"/>
      <c r="F123" s="2"/>
      <c r="G123" s="2"/>
      <c r="H123" s="2"/>
      <c r="I123" s="2"/>
    </row>
    <row r="124" spans="4:14" ht="15.75" customHeight="1" x14ac:dyDescent="0.25">
      <c r="D124" s="2"/>
      <c r="E124" s="2"/>
      <c r="F124" s="2"/>
      <c r="G124" s="2"/>
      <c r="H124" s="2"/>
      <c r="I124" s="2"/>
    </row>
    <row r="125" spans="4:14" ht="15.75" customHeight="1" x14ac:dyDescent="0.25">
      <c r="D125" s="2"/>
      <c r="E125" s="2"/>
      <c r="F125" s="2"/>
      <c r="G125" s="2"/>
      <c r="H125" s="2"/>
      <c r="I125" s="2"/>
    </row>
    <row r="126" spans="4:14" ht="15.75" customHeight="1" x14ac:dyDescent="0.25">
      <c r="D126" s="2"/>
      <c r="E126" s="2"/>
      <c r="F126" s="2"/>
      <c r="G126" s="2"/>
      <c r="H126" s="2"/>
      <c r="I126" s="2"/>
    </row>
    <row r="127" spans="4:14" ht="15.75" customHeight="1" x14ac:dyDescent="0.25">
      <c r="D127" s="2"/>
      <c r="E127" s="2"/>
      <c r="F127" s="2"/>
      <c r="G127" s="2"/>
      <c r="H127" s="2"/>
      <c r="I127" s="2"/>
    </row>
    <row r="128" spans="4:14" ht="15.75" customHeight="1" x14ac:dyDescent="0.25">
      <c r="D128" s="2"/>
      <c r="E128" s="2"/>
      <c r="F128" s="2"/>
      <c r="G128" s="2"/>
      <c r="H128" s="2"/>
      <c r="I128" s="2"/>
    </row>
    <row r="129" spans="4:9" ht="15.75" customHeight="1" x14ac:dyDescent="0.25">
      <c r="D129" s="2"/>
      <c r="E129" s="2"/>
      <c r="F129" s="2"/>
      <c r="G129" s="2"/>
      <c r="H129" s="2"/>
      <c r="I129" s="2"/>
    </row>
    <row r="130" spans="4:9" ht="15.75" customHeight="1" x14ac:dyDescent="0.25">
      <c r="D130" s="2"/>
      <c r="E130" s="2"/>
      <c r="F130" s="2"/>
      <c r="G130" s="2"/>
      <c r="H130" s="2"/>
      <c r="I130" s="2"/>
    </row>
    <row r="131" spans="4:9" ht="15.75" customHeight="1" x14ac:dyDescent="0.25">
      <c r="D131" s="2"/>
      <c r="E131" s="2"/>
      <c r="F131" s="2"/>
      <c r="G131" s="2"/>
      <c r="H131" s="2"/>
      <c r="I131" s="2"/>
    </row>
    <row r="132" spans="4:9" ht="15.75" customHeight="1" x14ac:dyDescent="0.25">
      <c r="D132" s="2"/>
      <c r="E132" s="2"/>
      <c r="F132" s="2"/>
      <c r="G132" s="2"/>
      <c r="H132" s="2"/>
      <c r="I132" s="2"/>
    </row>
    <row r="133" spans="4:9" ht="15.75" customHeight="1" x14ac:dyDescent="0.25">
      <c r="D133" s="2"/>
      <c r="E133" s="2"/>
      <c r="F133" s="2"/>
      <c r="G133" s="2"/>
      <c r="H133" s="2"/>
      <c r="I133" s="2"/>
    </row>
    <row r="134" spans="4:9" ht="15.75" customHeight="1" x14ac:dyDescent="0.25">
      <c r="D134" s="2"/>
      <c r="E134" s="2"/>
      <c r="F134" s="2"/>
      <c r="G134" s="2"/>
      <c r="H134" s="2"/>
      <c r="I134" s="2"/>
    </row>
    <row r="135" spans="4:9" ht="15.75" customHeight="1" x14ac:dyDescent="0.25">
      <c r="D135" s="2"/>
      <c r="E135" s="2"/>
      <c r="F135" s="2"/>
      <c r="G135" s="2"/>
      <c r="H135" s="2"/>
      <c r="I135" s="2"/>
    </row>
    <row r="136" spans="4:9" ht="15.75" customHeight="1" x14ac:dyDescent="0.25">
      <c r="D136" s="2"/>
      <c r="E136" s="2"/>
      <c r="F136" s="2"/>
      <c r="G136" s="2"/>
      <c r="H136" s="2"/>
      <c r="I136" s="2"/>
    </row>
    <row r="137" spans="4:9" ht="15.75" customHeight="1" x14ac:dyDescent="0.25">
      <c r="D137" s="2"/>
      <c r="E137" s="2"/>
      <c r="F137" s="2"/>
      <c r="G137" s="2"/>
      <c r="H137" s="2"/>
      <c r="I137" s="2"/>
    </row>
    <row r="138" spans="4:9" ht="15.75" customHeight="1" x14ac:dyDescent="0.25">
      <c r="D138" s="2"/>
      <c r="E138" s="2"/>
      <c r="F138" s="2"/>
      <c r="G138" s="2"/>
      <c r="H138" s="2"/>
      <c r="I138" s="2"/>
    </row>
    <row r="139" spans="4:9" ht="15.75" customHeight="1" x14ac:dyDescent="0.25">
      <c r="D139" s="2"/>
      <c r="E139" s="2"/>
      <c r="F139" s="2"/>
      <c r="G139" s="2"/>
      <c r="H139" s="2"/>
      <c r="I139" s="2"/>
    </row>
    <row r="140" spans="4:9" ht="15.75" customHeight="1" x14ac:dyDescent="0.25">
      <c r="D140" s="2"/>
      <c r="E140" s="2"/>
      <c r="F140" s="2"/>
      <c r="G140" s="2"/>
      <c r="H140" s="2"/>
      <c r="I140" s="2"/>
    </row>
    <row r="141" spans="4:9" ht="15.75" customHeight="1" x14ac:dyDescent="0.25">
      <c r="D141" s="2"/>
      <c r="E141" s="2"/>
      <c r="F141" s="2"/>
      <c r="G141" s="2"/>
      <c r="H141" s="2"/>
      <c r="I141" s="2"/>
    </row>
    <row r="142" spans="4:9" ht="15.75" customHeight="1" x14ac:dyDescent="0.25">
      <c r="D142" s="2"/>
      <c r="E142" s="2"/>
      <c r="F142" s="2"/>
      <c r="G142" s="2"/>
      <c r="H142" s="2"/>
      <c r="I142" s="2"/>
    </row>
    <row r="143" spans="4:9" ht="15.75" customHeight="1" x14ac:dyDescent="0.25">
      <c r="D143" s="2"/>
      <c r="E143" s="2"/>
      <c r="F143" s="2"/>
      <c r="G143" s="2"/>
      <c r="H143" s="2"/>
      <c r="I143" s="2"/>
    </row>
    <row r="144" spans="4:9" ht="15.75" customHeight="1" x14ac:dyDescent="0.25">
      <c r="D144" s="2"/>
      <c r="E144" s="2"/>
      <c r="F144" s="2"/>
      <c r="G144" s="2"/>
      <c r="H144" s="2"/>
      <c r="I144" s="2"/>
    </row>
    <row r="145" spans="4:9" ht="15.75" customHeight="1" x14ac:dyDescent="0.25">
      <c r="D145" s="2"/>
      <c r="E145" s="2"/>
      <c r="F145" s="2"/>
      <c r="G145" s="2"/>
      <c r="H145" s="2"/>
      <c r="I145" s="2"/>
    </row>
    <row r="146" spans="4:9" ht="15.75" customHeight="1" x14ac:dyDescent="0.25">
      <c r="D146" s="2"/>
      <c r="E146" s="2"/>
      <c r="F146" s="2"/>
      <c r="G146" s="2"/>
      <c r="H146" s="2"/>
      <c r="I146" s="2"/>
    </row>
    <row r="147" spans="4:9" ht="15.75" customHeight="1" x14ac:dyDescent="0.25">
      <c r="D147" s="2"/>
      <c r="E147" s="2"/>
      <c r="F147" s="2"/>
      <c r="G147" s="2"/>
      <c r="H147" s="2"/>
      <c r="I147" s="2"/>
    </row>
    <row r="148" spans="4:9" ht="15.75" customHeight="1" x14ac:dyDescent="0.25">
      <c r="D148" s="2"/>
      <c r="E148" s="2"/>
      <c r="F148" s="2"/>
      <c r="G148" s="2"/>
      <c r="H148" s="2"/>
      <c r="I148" s="2"/>
    </row>
    <row r="149" spans="4:9" ht="15.75" customHeight="1" x14ac:dyDescent="0.25">
      <c r="D149" s="2"/>
      <c r="E149" s="2"/>
      <c r="F149" s="2"/>
      <c r="G149" s="2"/>
      <c r="H149" s="2"/>
      <c r="I149" s="2"/>
    </row>
    <row r="150" spans="4:9" ht="15.75" customHeight="1" x14ac:dyDescent="0.25">
      <c r="D150" s="2"/>
      <c r="E150" s="2"/>
      <c r="F150" s="2"/>
      <c r="G150" s="2"/>
      <c r="H150" s="2"/>
      <c r="I150" s="2"/>
    </row>
    <row r="151" spans="4:9" ht="15.75" customHeight="1" x14ac:dyDescent="0.25">
      <c r="D151" s="2"/>
      <c r="E151" s="2"/>
      <c r="F151" s="2"/>
      <c r="G151" s="2"/>
      <c r="H151" s="2"/>
      <c r="I151" s="2"/>
    </row>
    <row r="152" spans="4:9" ht="15.75" customHeight="1" x14ac:dyDescent="0.25">
      <c r="D152" s="2"/>
      <c r="E152" s="2"/>
      <c r="F152" s="2"/>
      <c r="G152" s="2"/>
      <c r="H152" s="2"/>
      <c r="I152" s="2"/>
    </row>
    <row r="153" spans="4:9" ht="15.75" customHeight="1" x14ac:dyDescent="0.25">
      <c r="D153" s="2"/>
      <c r="E153" s="2"/>
      <c r="F153" s="2"/>
      <c r="G153" s="2"/>
      <c r="H153" s="2"/>
      <c r="I153" s="2"/>
    </row>
    <row r="154" spans="4:9" ht="15.75" customHeight="1" x14ac:dyDescent="0.25">
      <c r="D154" s="2"/>
      <c r="E154" s="2"/>
      <c r="F154" s="2"/>
      <c r="G154" s="2"/>
      <c r="H154" s="2"/>
      <c r="I154" s="2"/>
    </row>
    <row r="155" spans="4:9" ht="15.75" customHeight="1" x14ac:dyDescent="0.25">
      <c r="D155" s="2"/>
      <c r="E155" s="2"/>
      <c r="F155" s="2"/>
      <c r="G155" s="2"/>
      <c r="H155" s="2"/>
      <c r="I155" s="2"/>
    </row>
    <row r="156" spans="4:9" ht="15.75" customHeight="1" x14ac:dyDescent="0.25">
      <c r="D156" s="2"/>
      <c r="E156" s="2"/>
      <c r="F156" s="2"/>
      <c r="G156" s="2"/>
      <c r="H156" s="2"/>
      <c r="I156" s="2"/>
    </row>
    <row r="157" spans="4:9" ht="15.75" customHeight="1" x14ac:dyDescent="0.25">
      <c r="D157" s="2"/>
      <c r="E157" s="2"/>
      <c r="F157" s="2"/>
      <c r="G157" s="2"/>
      <c r="H157" s="2"/>
      <c r="I157" s="2"/>
    </row>
    <row r="158" spans="4:9" ht="15.75" customHeight="1" x14ac:dyDescent="0.25">
      <c r="D158" s="2"/>
      <c r="E158" s="2"/>
      <c r="F158" s="2"/>
      <c r="G158" s="2"/>
      <c r="H158" s="2"/>
      <c r="I158" s="2"/>
    </row>
    <row r="159" spans="4:9" ht="15.75" customHeight="1" x14ac:dyDescent="0.25">
      <c r="D159" s="2"/>
      <c r="E159" s="2"/>
      <c r="F159" s="2"/>
      <c r="G159" s="2"/>
      <c r="H159" s="2"/>
      <c r="I159" s="2"/>
    </row>
    <row r="160" spans="4:9" ht="15.75" customHeight="1" x14ac:dyDescent="0.25">
      <c r="D160" s="2"/>
      <c r="E160" s="2"/>
      <c r="F160" s="2"/>
      <c r="G160" s="2"/>
      <c r="H160" s="2"/>
      <c r="I160" s="2"/>
    </row>
    <row r="161" spans="4:9" ht="15.75" customHeight="1" x14ac:dyDescent="0.25">
      <c r="D161" s="2"/>
      <c r="E161" s="2"/>
      <c r="F161" s="2"/>
      <c r="G161" s="2"/>
      <c r="H161" s="2"/>
      <c r="I161" s="2"/>
    </row>
    <row r="162" spans="4:9" ht="15.75" customHeight="1" x14ac:dyDescent="0.25">
      <c r="D162" s="2"/>
      <c r="E162" s="2"/>
      <c r="F162" s="2"/>
      <c r="G162" s="2"/>
      <c r="H162" s="2"/>
      <c r="I162" s="2"/>
    </row>
    <row r="163" spans="4:9" ht="15.75" customHeight="1" x14ac:dyDescent="0.25">
      <c r="D163" s="2"/>
      <c r="E163" s="2"/>
      <c r="F163" s="2"/>
      <c r="G163" s="2"/>
      <c r="H163" s="2"/>
      <c r="I163" s="2"/>
    </row>
    <row r="164" spans="4:9" ht="15.75" customHeight="1" x14ac:dyDescent="0.25">
      <c r="D164" s="2"/>
      <c r="E164" s="2"/>
      <c r="F164" s="2"/>
      <c r="G164" s="2"/>
      <c r="H164" s="2"/>
      <c r="I164" s="2"/>
    </row>
    <row r="165" spans="4:9" ht="15.75" customHeight="1" x14ac:dyDescent="0.25">
      <c r="D165" s="2"/>
      <c r="E165" s="2"/>
      <c r="F165" s="2"/>
      <c r="G165" s="2"/>
      <c r="H165" s="2"/>
      <c r="I165" s="2"/>
    </row>
    <row r="166" spans="4:9" ht="15.75" customHeight="1" x14ac:dyDescent="0.25">
      <c r="D166" s="2"/>
      <c r="E166" s="2"/>
      <c r="F166" s="2"/>
      <c r="G166" s="2"/>
      <c r="H166" s="2"/>
      <c r="I166" s="2"/>
    </row>
    <row r="167" spans="4:9" ht="15.75" customHeight="1" x14ac:dyDescent="0.25">
      <c r="D167" s="2"/>
      <c r="E167" s="2"/>
      <c r="F167" s="2"/>
      <c r="G167" s="2"/>
      <c r="H167" s="2"/>
      <c r="I167" s="2"/>
    </row>
    <row r="168" spans="4:9" ht="15.75" customHeight="1" x14ac:dyDescent="0.25">
      <c r="D168" s="2"/>
      <c r="E168" s="2"/>
      <c r="F168" s="2"/>
      <c r="G168" s="2"/>
      <c r="H168" s="2"/>
      <c r="I168" s="2"/>
    </row>
    <row r="169" spans="4:9" ht="15.75" customHeight="1" x14ac:dyDescent="0.25">
      <c r="D169" s="2"/>
      <c r="E169" s="2"/>
      <c r="F169" s="2"/>
      <c r="G169" s="2"/>
      <c r="H169" s="2"/>
      <c r="I169" s="2"/>
    </row>
    <row r="170" spans="4:9" ht="15.75" customHeight="1" x14ac:dyDescent="0.25">
      <c r="D170" s="2"/>
      <c r="E170" s="2"/>
      <c r="F170" s="2"/>
      <c r="G170" s="2"/>
      <c r="H170" s="2"/>
      <c r="I170" s="2"/>
    </row>
    <row r="171" spans="4:9" ht="15.75" customHeight="1" x14ac:dyDescent="0.25">
      <c r="D171" s="2"/>
      <c r="E171" s="2"/>
      <c r="F171" s="2"/>
      <c r="G171" s="2"/>
      <c r="H171" s="2"/>
      <c r="I171" s="2"/>
    </row>
    <row r="172" spans="4:9" ht="15.75" customHeight="1" x14ac:dyDescent="0.25">
      <c r="D172" s="2"/>
      <c r="E172" s="2"/>
      <c r="F172" s="2"/>
      <c r="G172" s="2"/>
      <c r="H172" s="2"/>
      <c r="I172" s="2"/>
    </row>
    <row r="173" spans="4:9" ht="15.75" customHeight="1" x14ac:dyDescent="0.25">
      <c r="D173" s="2"/>
      <c r="E173" s="2"/>
      <c r="F173" s="2"/>
      <c r="G173" s="2"/>
      <c r="H173" s="2"/>
      <c r="I173" s="2"/>
    </row>
    <row r="174" spans="4:9" ht="15.75" customHeight="1" x14ac:dyDescent="0.25">
      <c r="D174" s="2"/>
      <c r="E174" s="2"/>
      <c r="F174" s="2"/>
      <c r="G174" s="2"/>
      <c r="H174" s="2"/>
      <c r="I174" s="2"/>
    </row>
    <row r="175" spans="4:9" ht="15.75" customHeight="1" x14ac:dyDescent="0.25">
      <c r="D175" s="2"/>
      <c r="E175" s="2"/>
      <c r="F175" s="2"/>
      <c r="G175" s="2"/>
      <c r="H175" s="2"/>
      <c r="I175" s="2"/>
    </row>
    <row r="176" spans="4:9" ht="15.75" customHeight="1" x14ac:dyDescent="0.25">
      <c r="D176" s="2"/>
      <c r="E176" s="2"/>
      <c r="F176" s="2"/>
      <c r="G176" s="2"/>
      <c r="H176" s="2"/>
      <c r="I176" s="2"/>
    </row>
    <row r="177" spans="4:9" ht="15.75" customHeight="1" x14ac:dyDescent="0.25">
      <c r="D177" s="2"/>
      <c r="E177" s="2"/>
      <c r="F177" s="2"/>
      <c r="G177" s="2"/>
      <c r="H177" s="2"/>
      <c r="I177" s="2"/>
    </row>
    <row r="178" spans="4:9" ht="15.75" customHeight="1" x14ac:dyDescent="0.25">
      <c r="D178" s="2"/>
      <c r="E178" s="2"/>
      <c r="F178" s="2"/>
      <c r="G178" s="2"/>
      <c r="H178" s="2"/>
      <c r="I178" s="2"/>
    </row>
    <row r="179" spans="4:9" ht="15.75" customHeight="1" x14ac:dyDescent="0.25">
      <c r="D179" s="2"/>
      <c r="E179" s="2"/>
      <c r="F179" s="2"/>
      <c r="G179" s="2"/>
      <c r="H179" s="2"/>
      <c r="I179" s="2"/>
    </row>
    <row r="180" spans="4:9" ht="15.75" customHeight="1" x14ac:dyDescent="0.25">
      <c r="D180" s="2"/>
      <c r="E180" s="2"/>
      <c r="F180" s="2"/>
      <c r="G180" s="2"/>
      <c r="H180" s="2"/>
      <c r="I180" s="2"/>
    </row>
    <row r="181" spans="4:9" ht="15.75" customHeight="1" x14ac:dyDescent="0.25">
      <c r="D181" s="2"/>
      <c r="E181" s="2"/>
      <c r="F181" s="2"/>
      <c r="G181" s="2"/>
      <c r="H181" s="2"/>
      <c r="I181" s="2"/>
    </row>
    <row r="182" spans="4:9" ht="15.75" customHeight="1" x14ac:dyDescent="0.25">
      <c r="D182" s="2"/>
      <c r="E182" s="2"/>
      <c r="F182" s="2"/>
      <c r="G182" s="2"/>
      <c r="H182" s="2"/>
      <c r="I182" s="2"/>
    </row>
    <row r="183" spans="4:9" ht="15.75" customHeight="1" x14ac:dyDescent="0.25">
      <c r="D183" s="2"/>
      <c r="E183" s="2"/>
      <c r="F183" s="2"/>
      <c r="G183" s="2"/>
      <c r="H183" s="2"/>
      <c r="I183" s="2"/>
    </row>
    <row r="184" spans="4:9" ht="15.75" customHeight="1" x14ac:dyDescent="0.25">
      <c r="D184" s="2"/>
      <c r="E184" s="2"/>
      <c r="F184" s="2"/>
      <c r="G184" s="2"/>
      <c r="H184" s="2"/>
      <c r="I184" s="2"/>
    </row>
    <row r="185" spans="4:9" ht="15.75" customHeight="1" x14ac:dyDescent="0.25">
      <c r="D185" s="2"/>
      <c r="E185" s="2"/>
      <c r="F185" s="2"/>
      <c r="G185" s="2"/>
      <c r="H185" s="2"/>
      <c r="I185" s="2"/>
    </row>
    <row r="186" spans="4:9" ht="15.75" customHeight="1" x14ac:dyDescent="0.25">
      <c r="D186" s="2"/>
      <c r="E186" s="2"/>
      <c r="F186" s="2"/>
      <c r="G186" s="2"/>
      <c r="H186" s="2"/>
      <c r="I186" s="2"/>
    </row>
    <row r="187" spans="4:9" ht="15.75" customHeight="1" x14ac:dyDescent="0.25">
      <c r="D187" s="2"/>
      <c r="E187" s="2"/>
      <c r="F187" s="2"/>
      <c r="G187" s="2"/>
      <c r="H187" s="2"/>
      <c r="I187" s="2"/>
    </row>
    <row r="188" spans="4:9" ht="15.75" customHeight="1" x14ac:dyDescent="0.25">
      <c r="D188" s="2"/>
      <c r="E188" s="2"/>
      <c r="F188" s="2"/>
      <c r="G188" s="2"/>
      <c r="H188" s="2"/>
      <c r="I188" s="2"/>
    </row>
    <row r="189" spans="4:9" ht="15.75" customHeight="1" x14ac:dyDescent="0.25">
      <c r="D189" s="2"/>
      <c r="E189" s="2"/>
      <c r="F189" s="2"/>
      <c r="G189" s="2"/>
      <c r="H189" s="2"/>
      <c r="I189" s="2"/>
    </row>
    <row r="190" spans="4:9" ht="15.75" customHeight="1" x14ac:dyDescent="0.25">
      <c r="D190" s="2"/>
      <c r="E190" s="2"/>
      <c r="F190" s="2"/>
      <c r="G190" s="2"/>
      <c r="H190" s="2"/>
      <c r="I190" s="2"/>
    </row>
    <row r="191" spans="4:9" ht="15.75" customHeight="1" x14ac:dyDescent="0.25">
      <c r="D191" s="2"/>
      <c r="E191" s="2"/>
      <c r="F191" s="2"/>
      <c r="G191" s="2"/>
      <c r="H191" s="2"/>
      <c r="I191" s="2"/>
    </row>
    <row r="192" spans="4:9" ht="15.75" customHeight="1" x14ac:dyDescent="0.25">
      <c r="D192" s="2"/>
      <c r="E192" s="2"/>
      <c r="F192" s="2"/>
      <c r="G192" s="2"/>
      <c r="H192" s="2"/>
      <c r="I192" s="2"/>
    </row>
    <row r="193" spans="4:9" ht="15.75" customHeight="1" x14ac:dyDescent="0.25">
      <c r="D193" s="2"/>
      <c r="E193" s="2"/>
      <c r="F193" s="2"/>
      <c r="G193" s="2"/>
      <c r="H193" s="2"/>
      <c r="I193" s="2"/>
    </row>
    <row r="194" spans="4:9" ht="15.75" customHeight="1" x14ac:dyDescent="0.25">
      <c r="D194" s="2"/>
      <c r="E194" s="2"/>
      <c r="F194" s="2"/>
      <c r="G194" s="2"/>
      <c r="H194" s="2"/>
      <c r="I194" s="2"/>
    </row>
    <row r="195" spans="4:9" ht="15.75" customHeight="1" x14ac:dyDescent="0.25">
      <c r="D195" s="2"/>
      <c r="E195" s="2"/>
      <c r="F195" s="2"/>
      <c r="G195" s="2"/>
      <c r="H195" s="2"/>
      <c r="I195" s="2"/>
    </row>
    <row r="196" spans="4:9" ht="15.75" customHeight="1" x14ac:dyDescent="0.25">
      <c r="D196" s="2"/>
      <c r="E196" s="2"/>
      <c r="F196" s="2"/>
      <c r="G196" s="2"/>
      <c r="H196" s="2"/>
      <c r="I196" s="2"/>
    </row>
    <row r="197" spans="4:9" ht="15.75" customHeight="1" x14ac:dyDescent="0.25">
      <c r="D197" s="2"/>
      <c r="E197" s="2"/>
      <c r="F197" s="2"/>
      <c r="G197" s="2"/>
      <c r="H197" s="2"/>
      <c r="I197" s="2"/>
    </row>
    <row r="198" spans="4:9" ht="15.75" customHeight="1" x14ac:dyDescent="0.25">
      <c r="D198" s="2"/>
      <c r="E198" s="2"/>
      <c r="F198" s="2"/>
      <c r="G198" s="2"/>
      <c r="H198" s="2"/>
      <c r="I198" s="2"/>
    </row>
    <row r="199" spans="4:9" ht="15.75" customHeight="1" x14ac:dyDescent="0.25">
      <c r="D199" s="2"/>
      <c r="E199" s="2"/>
      <c r="F199" s="2"/>
      <c r="G199" s="2"/>
      <c r="H199" s="2"/>
      <c r="I199" s="2"/>
    </row>
    <row r="200" spans="4:9" ht="15.75" customHeight="1" x14ac:dyDescent="0.25">
      <c r="D200" s="2"/>
      <c r="E200" s="2"/>
      <c r="F200" s="2"/>
      <c r="G200" s="2"/>
      <c r="H200" s="2"/>
      <c r="I200" s="2"/>
    </row>
    <row r="201" spans="4:9" ht="15.75" customHeight="1" x14ac:dyDescent="0.25">
      <c r="D201" s="2"/>
      <c r="E201" s="2"/>
      <c r="F201" s="2"/>
      <c r="G201" s="2"/>
      <c r="H201" s="2"/>
      <c r="I201" s="2"/>
    </row>
    <row r="202" spans="4:9" ht="15.75" customHeight="1" x14ac:dyDescent="0.25">
      <c r="D202" s="2"/>
      <c r="E202" s="2"/>
      <c r="F202" s="2"/>
      <c r="G202" s="2"/>
      <c r="H202" s="2"/>
      <c r="I202" s="2"/>
    </row>
    <row r="203" spans="4:9" ht="15.75" customHeight="1" x14ac:dyDescent="0.25">
      <c r="D203" s="2"/>
      <c r="E203" s="2"/>
      <c r="F203" s="2"/>
      <c r="G203" s="2"/>
      <c r="H203" s="2"/>
      <c r="I203" s="2"/>
    </row>
    <row r="204" spans="4:9" ht="15.75" customHeight="1" x14ac:dyDescent="0.25">
      <c r="D204" s="2"/>
      <c r="E204" s="2"/>
      <c r="F204" s="2"/>
      <c r="G204" s="2"/>
      <c r="H204" s="2"/>
      <c r="I204" s="2"/>
    </row>
    <row r="205" spans="4:9" ht="15.75" customHeight="1" x14ac:dyDescent="0.25">
      <c r="D205" s="2"/>
      <c r="E205" s="2"/>
      <c r="F205" s="2"/>
      <c r="G205" s="2"/>
      <c r="H205" s="2"/>
      <c r="I205" s="2"/>
    </row>
    <row r="206" spans="4:9" ht="15.75" customHeight="1" x14ac:dyDescent="0.25">
      <c r="D206" s="2"/>
      <c r="E206" s="2"/>
      <c r="F206" s="2"/>
      <c r="G206" s="2"/>
      <c r="H206" s="2"/>
      <c r="I206" s="2"/>
    </row>
    <row r="207" spans="4:9" ht="15.75" customHeight="1" x14ac:dyDescent="0.25">
      <c r="D207" s="2"/>
      <c r="E207" s="2"/>
      <c r="F207" s="2"/>
      <c r="G207" s="2"/>
      <c r="H207" s="2"/>
      <c r="I207" s="2"/>
    </row>
    <row r="208" spans="4:9" ht="15.75" customHeight="1" x14ac:dyDescent="0.25">
      <c r="D208" s="2"/>
      <c r="E208" s="2"/>
      <c r="F208" s="2"/>
      <c r="G208" s="2"/>
      <c r="H208" s="2"/>
      <c r="I208" s="2"/>
    </row>
    <row r="209" spans="4:9" ht="15.75" customHeight="1" x14ac:dyDescent="0.25">
      <c r="D209" s="2"/>
      <c r="E209" s="2"/>
      <c r="F209" s="2"/>
      <c r="G209" s="2"/>
      <c r="H209" s="2"/>
      <c r="I209" s="2"/>
    </row>
    <row r="210" spans="4:9" ht="15.75" customHeight="1" x14ac:dyDescent="0.25">
      <c r="D210" s="2"/>
      <c r="E210" s="2"/>
      <c r="F210" s="2"/>
      <c r="G210" s="2"/>
      <c r="H210" s="2"/>
      <c r="I210" s="2"/>
    </row>
    <row r="211" spans="4:9" ht="15.75" customHeight="1" x14ac:dyDescent="0.25">
      <c r="D211" s="2"/>
      <c r="E211" s="2"/>
      <c r="F211" s="2"/>
      <c r="G211" s="2"/>
      <c r="H211" s="2"/>
      <c r="I211" s="2"/>
    </row>
    <row r="212" spans="4:9" ht="15.75" customHeight="1" x14ac:dyDescent="0.25">
      <c r="D212" s="2"/>
      <c r="E212" s="2"/>
      <c r="F212" s="2"/>
      <c r="G212" s="2"/>
      <c r="H212" s="2"/>
      <c r="I212" s="2"/>
    </row>
    <row r="213" spans="4:9" ht="15.75" customHeight="1" x14ac:dyDescent="0.25">
      <c r="D213" s="2"/>
      <c r="E213" s="2"/>
      <c r="F213" s="2"/>
      <c r="G213" s="2"/>
      <c r="H213" s="2"/>
      <c r="I213" s="2"/>
    </row>
    <row r="214" spans="4:9" ht="15.75" customHeight="1" x14ac:dyDescent="0.25">
      <c r="D214" s="2"/>
      <c r="E214" s="2"/>
      <c r="F214" s="2"/>
      <c r="G214" s="2"/>
      <c r="H214" s="2"/>
      <c r="I214" s="2"/>
    </row>
    <row r="215" spans="4:9" ht="15.75" customHeight="1" x14ac:dyDescent="0.25">
      <c r="D215" s="2"/>
      <c r="E215" s="2"/>
      <c r="F215" s="2"/>
      <c r="G215" s="2"/>
      <c r="H215" s="2"/>
      <c r="I215" s="2"/>
    </row>
    <row r="216" spans="4:9" ht="15.75" customHeight="1" x14ac:dyDescent="0.25">
      <c r="D216" s="2"/>
      <c r="E216" s="2"/>
      <c r="F216" s="2"/>
      <c r="G216" s="2"/>
      <c r="H216" s="2"/>
      <c r="I216" s="2"/>
    </row>
    <row r="217" spans="4:9" ht="15.75" customHeight="1" x14ac:dyDescent="0.25">
      <c r="D217" s="2"/>
      <c r="E217" s="2"/>
      <c r="F217" s="2"/>
      <c r="G217" s="2"/>
      <c r="H217" s="2"/>
      <c r="I217" s="2"/>
    </row>
    <row r="218" spans="4:9" ht="15.75" customHeight="1" x14ac:dyDescent="0.25">
      <c r="D218" s="2"/>
      <c r="E218" s="2"/>
      <c r="F218" s="2"/>
      <c r="G218" s="2"/>
      <c r="H218" s="2"/>
      <c r="I218" s="2"/>
    </row>
    <row r="219" spans="4:9" ht="15.75" customHeight="1" x14ac:dyDescent="0.25">
      <c r="D219" s="2"/>
      <c r="E219" s="2"/>
      <c r="F219" s="2"/>
      <c r="G219" s="2"/>
      <c r="H219" s="2"/>
      <c r="I219" s="2"/>
    </row>
    <row r="220" spans="4:9" ht="15.75" customHeight="1" x14ac:dyDescent="0.25">
      <c r="D220" s="2"/>
      <c r="E220" s="2"/>
      <c r="F220" s="2"/>
      <c r="G220" s="2"/>
      <c r="H220" s="2"/>
      <c r="I220" s="2"/>
    </row>
    <row r="221" spans="4:9" ht="15.75" customHeight="1" x14ac:dyDescent="0.25">
      <c r="D221" s="2"/>
      <c r="E221" s="2"/>
      <c r="F221" s="2"/>
      <c r="G221" s="2"/>
      <c r="H221" s="2"/>
      <c r="I221" s="2"/>
    </row>
    <row r="222" spans="4:9" ht="15.75" customHeight="1" x14ac:dyDescent="0.25">
      <c r="D222" s="2"/>
      <c r="E222" s="2"/>
      <c r="F222" s="2"/>
      <c r="G222" s="2"/>
      <c r="H222" s="2"/>
      <c r="I222" s="2"/>
    </row>
    <row r="223" spans="4:9" ht="15.75" customHeight="1" x14ac:dyDescent="0.25">
      <c r="D223" s="2"/>
      <c r="E223" s="2"/>
      <c r="F223" s="2"/>
      <c r="G223" s="2"/>
      <c r="H223" s="2"/>
      <c r="I223" s="2"/>
    </row>
    <row r="224" spans="4:9" ht="15.75" customHeight="1" x14ac:dyDescent="0.25">
      <c r="D224" s="2"/>
      <c r="E224" s="2"/>
      <c r="F224" s="2"/>
      <c r="G224" s="2"/>
      <c r="H224" s="2"/>
      <c r="I224" s="2"/>
    </row>
    <row r="225" spans="4:9" ht="15.75" customHeight="1" x14ac:dyDescent="0.25">
      <c r="D225" s="2"/>
      <c r="E225" s="2"/>
      <c r="F225" s="2"/>
      <c r="G225" s="2"/>
      <c r="H225" s="2"/>
      <c r="I225" s="2"/>
    </row>
    <row r="226" spans="4:9" ht="15.75" customHeight="1" x14ac:dyDescent="0.25">
      <c r="D226" s="2"/>
      <c r="E226" s="2"/>
      <c r="F226" s="2"/>
      <c r="G226" s="2"/>
      <c r="H226" s="2"/>
      <c r="I226" s="2"/>
    </row>
    <row r="227" spans="4:9" ht="15.75" customHeight="1" x14ac:dyDescent="0.25">
      <c r="D227" s="2"/>
      <c r="E227" s="2"/>
      <c r="F227" s="2"/>
      <c r="G227" s="2"/>
      <c r="H227" s="2"/>
      <c r="I227" s="2"/>
    </row>
    <row r="228" spans="4:9" ht="15.75" customHeight="1" x14ac:dyDescent="0.25">
      <c r="D228" s="2"/>
      <c r="E228" s="2"/>
      <c r="F228" s="2"/>
      <c r="G228" s="2"/>
      <c r="H228" s="2"/>
      <c r="I228" s="2"/>
    </row>
    <row r="229" spans="4:9" ht="15.75" customHeight="1" x14ac:dyDescent="0.25">
      <c r="D229" s="2"/>
      <c r="E229" s="2"/>
      <c r="F229" s="2"/>
      <c r="G229" s="2"/>
      <c r="H229" s="2"/>
      <c r="I229" s="2"/>
    </row>
    <row r="230" spans="4:9" ht="15.75" customHeight="1" x14ac:dyDescent="0.25">
      <c r="D230" s="2"/>
      <c r="E230" s="2"/>
      <c r="F230" s="2"/>
      <c r="G230" s="2"/>
      <c r="H230" s="2"/>
      <c r="I230" s="2"/>
    </row>
    <row r="231" spans="4:9" ht="15.75" customHeight="1" x14ac:dyDescent="0.25">
      <c r="D231" s="2"/>
      <c r="E231" s="2"/>
      <c r="F231" s="2"/>
      <c r="G231" s="2"/>
      <c r="H231" s="2"/>
      <c r="I231" s="2"/>
    </row>
    <row r="232" spans="4:9" ht="15.75" customHeight="1" x14ac:dyDescent="0.25">
      <c r="D232" s="2"/>
      <c r="E232" s="2"/>
      <c r="F232" s="2"/>
      <c r="G232" s="2"/>
      <c r="H232" s="2"/>
      <c r="I232" s="2"/>
    </row>
    <row r="233" spans="4:9" ht="15.75" customHeight="1" x14ac:dyDescent="0.25">
      <c r="D233" s="2"/>
      <c r="E233" s="2"/>
      <c r="F233" s="2"/>
      <c r="G233" s="2"/>
      <c r="H233" s="2"/>
      <c r="I233" s="2"/>
    </row>
    <row r="234" spans="4:9" ht="15.75" customHeight="1" x14ac:dyDescent="0.25">
      <c r="D234" s="2"/>
      <c r="E234" s="2"/>
      <c r="F234" s="2"/>
      <c r="G234" s="2"/>
      <c r="H234" s="2"/>
      <c r="I234" s="2"/>
    </row>
    <row r="235" spans="4:9" ht="15.75" customHeight="1" x14ac:dyDescent="0.25">
      <c r="D235" s="2"/>
      <c r="E235" s="2"/>
      <c r="F235" s="2"/>
      <c r="G235" s="2"/>
      <c r="H235" s="2"/>
      <c r="I235" s="2"/>
    </row>
    <row r="236" spans="4:9" ht="15.75" customHeight="1" x14ac:dyDescent="0.25">
      <c r="D236" s="2"/>
      <c r="E236" s="2"/>
      <c r="F236" s="2"/>
      <c r="G236" s="2"/>
      <c r="H236" s="2"/>
      <c r="I236" s="2"/>
    </row>
    <row r="237" spans="4:9" ht="15.75" customHeight="1" x14ac:dyDescent="0.25">
      <c r="D237" s="2"/>
      <c r="E237" s="2"/>
      <c r="F237" s="2"/>
      <c r="G237" s="2"/>
      <c r="H237" s="2"/>
      <c r="I237" s="2"/>
    </row>
    <row r="238" spans="4:9" ht="15.75" customHeight="1" x14ac:dyDescent="0.25">
      <c r="D238" s="2"/>
      <c r="E238" s="2"/>
      <c r="F238" s="2"/>
      <c r="G238" s="2"/>
      <c r="H238" s="2"/>
      <c r="I238" s="2"/>
    </row>
    <row r="239" spans="4:9" ht="15.75" customHeight="1" x14ac:dyDescent="0.25">
      <c r="D239" s="2"/>
      <c r="E239" s="2"/>
      <c r="F239" s="2"/>
      <c r="G239" s="2"/>
      <c r="H239" s="2"/>
      <c r="I239" s="2"/>
    </row>
    <row r="240" spans="4:9" ht="15.75" customHeight="1" x14ac:dyDescent="0.25">
      <c r="D240" s="2"/>
      <c r="E240" s="2"/>
      <c r="F240" s="2"/>
      <c r="G240" s="2"/>
      <c r="H240" s="2"/>
      <c r="I240" s="2"/>
    </row>
    <row r="241" spans="4:9" ht="15.75" customHeight="1" x14ac:dyDescent="0.25">
      <c r="D241" s="2"/>
      <c r="E241" s="2"/>
      <c r="F241" s="2"/>
      <c r="G241" s="2"/>
      <c r="H241" s="2"/>
      <c r="I241" s="2"/>
    </row>
    <row r="242" spans="4:9" ht="15.75" customHeight="1" x14ac:dyDescent="0.25">
      <c r="D242" s="2"/>
      <c r="E242" s="2"/>
      <c r="F242" s="2"/>
      <c r="G242" s="2"/>
      <c r="H242" s="2"/>
      <c r="I242" s="2"/>
    </row>
    <row r="243" spans="4:9" ht="15.75" customHeight="1" x14ac:dyDescent="0.25">
      <c r="D243" s="2"/>
      <c r="E243" s="2"/>
      <c r="F243" s="2"/>
      <c r="G243" s="2"/>
      <c r="H243" s="2"/>
      <c r="I243" s="2"/>
    </row>
    <row r="244" spans="4:9" ht="15.75" customHeight="1" x14ac:dyDescent="0.25">
      <c r="D244" s="2"/>
      <c r="E244" s="2"/>
      <c r="F244" s="2"/>
      <c r="G244" s="2"/>
      <c r="H244" s="2"/>
      <c r="I244" s="2"/>
    </row>
    <row r="245" spans="4:9" ht="15.75" customHeight="1" x14ac:dyDescent="0.25">
      <c r="D245" s="2"/>
      <c r="E245" s="2"/>
      <c r="F245" s="2"/>
      <c r="G245" s="2"/>
      <c r="H245" s="2"/>
      <c r="I245" s="2"/>
    </row>
    <row r="246" spans="4:9" ht="15.75" customHeight="1" x14ac:dyDescent="0.25">
      <c r="D246" s="2"/>
      <c r="E246" s="2"/>
      <c r="F246" s="2"/>
      <c r="G246" s="2"/>
      <c r="H246" s="2"/>
      <c r="I246" s="2"/>
    </row>
    <row r="247" spans="4:9" ht="15.75" customHeight="1" x14ac:dyDescent="0.25">
      <c r="D247" s="2"/>
      <c r="E247" s="2"/>
      <c r="F247" s="2"/>
      <c r="G247" s="2"/>
      <c r="H247" s="2"/>
      <c r="I247" s="2"/>
    </row>
    <row r="248" spans="4:9" ht="15.75" customHeight="1" x14ac:dyDescent="0.25">
      <c r="D248" s="2"/>
      <c r="E248" s="2"/>
      <c r="F248" s="2"/>
      <c r="G248" s="2"/>
      <c r="H248" s="2"/>
      <c r="I248" s="2"/>
    </row>
    <row r="249" spans="4:9" ht="15.75" customHeight="1" x14ac:dyDescent="0.25">
      <c r="D249" s="2"/>
      <c r="E249" s="2"/>
      <c r="F249" s="2"/>
      <c r="G249" s="2"/>
      <c r="H249" s="2"/>
      <c r="I249" s="2"/>
    </row>
    <row r="250" spans="4:9" ht="15.75" customHeight="1" x14ac:dyDescent="0.25">
      <c r="D250" s="2"/>
      <c r="E250" s="2"/>
      <c r="F250" s="2"/>
      <c r="G250" s="2"/>
      <c r="H250" s="2"/>
      <c r="I250" s="2"/>
    </row>
    <row r="251" spans="4:9" ht="15.75" customHeight="1" x14ac:dyDescent="0.25">
      <c r="D251" s="2"/>
      <c r="E251" s="2"/>
      <c r="F251" s="2"/>
      <c r="G251" s="2"/>
      <c r="H251" s="2"/>
      <c r="I251" s="2"/>
    </row>
    <row r="252" spans="4:9" ht="15.75" customHeight="1" x14ac:dyDescent="0.25">
      <c r="D252" s="2"/>
      <c r="E252" s="2"/>
      <c r="F252" s="2"/>
      <c r="G252" s="2"/>
      <c r="H252" s="2"/>
      <c r="I252" s="2"/>
    </row>
    <row r="253" spans="4:9" ht="15.75" customHeight="1" x14ac:dyDescent="0.25">
      <c r="D253" s="2"/>
      <c r="E253" s="2"/>
      <c r="F253" s="2"/>
      <c r="G253" s="2"/>
      <c r="H253" s="2"/>
      <c r="I253" s="2"/>
    </row>
    <row r="254" spans="4:9" ht="15.75" customHeight="1" x14ac:dyDescent="0.25">
      <c r="D254" s="2"/>
      <c r="E254" s="2"/>
      <c r="F254" s="2"/>
      <c r="G254" s="2"/>
      <c r="H254" s="2"/>
      <c r="I254" s="2"/>
    </row>
    <row r="255" spans="4:9" ht="15.75" customHeight="1" x14ac:dyDescent="0.25">
      <c r="D255" s="2"/>
      <c r="E255" s="2"/>
      <c r="F255" s="2"/>
      <c r="G255" s="2"/>
      <c r="H255" s="2"/>
      <c r="I255" s="2"/>
    </row>
    <row r="256" spans="4:9" ht="15.75" customHeight="1" x14ac:dyDescent="0.25">
      <c r="D256" s="2"/>
      <c r="E256" s="2"/>
      <c r="F256" s="2"/>
      <c r="G256" s="2"/>
      <c r="H256" s="2"/>
      <c r="I256" s="2"/>
    </row>
    <row r="257" spans="4:9" ht="15.75" customHeight="1" x14ac:dyDescent="0.25">
      <c r="D257" s="2"/>
      <c r="E257" s="2"/>
      <c r="F257" s="2"/>
      <c r="G257" s="2"/>
      <c r="H257" s="2"/>
      <c r="I257" s="2"/>
    </row>
    <row r="258" spans="4:9" ht="15.75" customHeight="1" x14ac:dyDescent="0.25">
      <c r="D258" s="2"/>
      <c r="E258" s="2"/>
      <c r="F258" s="2"/>
      <c r="G258" s="2"/>
      <c r="H258" s="2"/>
      <c r="I258" s="2"/>
    </row>
    <row r="259" spans="4:9" ht="15.75" customHeight="1" x14ac:dyDescent="0.25">
      <c r="D259" s="2"/>
      <c r="E259" s="2"/>
      <c r="F259" s="2"/>
      <c r="G259" s="2"/>
      <c r="H259" s="2"/>
      <c r="I259" s="2"/>
    </row>
    <row r="260" spans="4:9" ht="15.75" customHeight="1" x14ac:dyDescent="0.25">
      <c r="D260" s="2"/>
      <c r="E260" s="2"/>
      <c r="F260" s="2"/>
      <c r="G260" s="2"/>
      <c r="H260" s="2"/>
      <c r="I260" s="2"/>
    </row>
    <row r="261" spans="4:9" ht="15.75" customHeight="1" x14ac:dyDescent="0.25">
      <c r="D261" s="2"/>
      <c r="E261" s="2"/>
      <c r="F261" s="2"/>
      <c r="G261" s="2"/>
      <c r="H261" s="2"/>
      <c r="I261" s="2"/>
    </row>
    <row r="262" spans="4:9" ht="15.75" customHeight="1" x14ac:dyDescent="0.25">
      <c r="D262" s="2"/>
      <c r="E262" s="2"/>
      <c r="F262" s="2"/>
      <c r="G262" s="2"/>
      <c r="H262" s="2"/>
      <c r="I262" s="2"/>
    </row>
    <row r="263" spans="4:9" ht="15.75" customHeight="1" x14ac:dyDescent="0.25">
      <c r="D263" s="2"/>
      <c r="E263" s="2"/>
      <c r="F263" s="2"/>
      <c r="G263" s="2"/>
      <c r="H263" s="2"/>
      <c r="I263" s="2"/>
    </row>
    <row r="264" spans="4:9" ht="15.75" customHeight="1" x14ac:dyDescent="0.25">
      <c r="D264" s="2"/>
      <c r="E264" s="2"/>
      <c r="F264" s="2"/>
      <c r="G264" s="2"/>
      <c r="H264" s="2"/>
      <c r="I264" s="2"/>
    </row>
    <row r="265" spans="4:9" ht="15.75" customHeight="1" x14ac:dyDescent="0.25">
      <c r="D265" s="2"/>
      <c r="E265" s="2"/>
      <c r="F265" s="2"/>
      <c r="G265" s="2"/>
      <c r="H265" s="2"/>
      <c r="I265" s="2"/>
    </row>
    <row r="266" spans="4:9" ht="15.75" customHeight="1" x14ac:dyDescent="0.25">
      <c r="D266" s="2"/>
      <c r="E266" s="2"/>
      <c r="F266" s="2"/>
      <c r="G266" s="2"/>
      <c r="H266" s="2"/>
      <c r="I266" s="2"/>
    </row>
    <row r="267" spans="4:9" ht="15.75" customHeight="1" x14ac:dyDescent="0.25">
      <c r="D267" s="2"/>
      <c r="E267" s="2"/>
      <c r="F267" s="2"/>
      <c r="G267" s="2"/>
      <c r="H267" s="2"/>
      <c r="I267" s="2"/>
    </row>
    <row r="268" spans="4:9" ht="15.75" customHeight="1" x14ac:dyDescent="0.25">
      <c r="D268" s="2"/>
      <c r="E268" s="2"/>
      <c r="F268" s="2"/>
      <c r="G268" s="2"/>
      <c r="H268" s="2"/>
      <c r="I268" s="2"/>
    </row>
    <row r="269" spans="4:9" ht="15.75" customHeight="1" x14ac:dyDescent="0.25">
      <c r="D269" s="2"/>
      <c r="E269" s="2"/>
      <c r="F269" s="2"/>
      <c r="G269" s="2"/>
      <c r="H269" s="2"/>
      <c r="I269" s="2"/>
    </row>
    <row r="270" spans="4:9" ht="15.75" customHeight="1" x14ac:dyDescent="0.25">
      <c r="D270" s="2"/>
      <c r="E270" s="2"/>
      <c r="F270" s="2"/>
      <c r="G270" s="2"/>
      <c r="H270" s="2"/>
      <c r="I270" s="2"/>
    </row>
    <row r="271" spans="4:9" ht="15.75" customHeight="1" x14ac:dyDescent="0.25">
      <c r="D271" s="2"/>
      <c r="E271" s="2"/>
      <c r="F271" s="2"/>
      <c r="G271" s="2"/>
      <c r="H271" s="2"/>
      <c r="I271" s="2"/>
    </row>
    <row r="272" spans="4:9" ht="15.75" customHeight="1" x14ac:dyDescent="0.25">
      <c r="D272" s="2"/>
      <c r="E272" s="2"/>
      <c r="F272" s="2"/>
      <c r="G272" s="2"/>
      <c r="H272" s="2"/>
      <c r="I272" s="2"/>
    </row>
    <row r="273" spans="4:9" ht="15.75" customHeight="1" x14ac:dyDescent="0.25">
      <c r="D273" s="2"/>
      <c r="E273" s="2"/>
      <c r="F273" s="2"/>
      <c r="G273" s="2"/>
      <c r="H273" s="2"/>
      <c r="I273" s="2"/>
    </row>
    <row r="274" spans="4:9" ht="15.75" customHeight="1" x14ac:dyDescent="0.25">
      <c r="D274" s="2"/>
      <c r="E274" s="2"/>
      <c r="F274" s="2"/>
      <c r="G274" s="2"/>
      <c r="H274" s="2"/>
      <c r="I274" s="2"/>
    </row>
    <row r="275" spans="4:9" ht="15.75" customHeight="1" x14ac:dyDescent="0.25">
      <c r="D275" s="2"/>
      <c r="E275" s="2"/>
      <c r="F275" s="2"/>
      <c r="G275" s="2"/>
      <c r="H275" s="2"/>
      <c r="I275" s="2"/>
    </row>
    <row r="276" spans="4:9" ht="15.75" customHeight="1" x14ac:dyDescent="0.25">
      <c r="D276" s="2"/>
      <c r="E276" s="2"/>
      <c r="F276" s="2"/>
      <c r="G276" s="2"/>
      <c r="H276" s="2"/>
      <c r="I276" s="2"/>
    </row>
    <row r="277" spans="4:9" ht="15.75" customHeight="1" x14ac:dyDescent="0.25">
      <c r="D277" s="2"/>
      <c r="E277" s="2"/>
      <c r="F277" s="2"/>
      <c r="G277" s="2"/>
      <c r="H277" s="2"/>
      <c r="I277" s="2"/>
    </row>
    <row r="278" spans="4:9" ht="15.75" customHeight="1" x14ac:dyDescent="0.25">
      <c r="D278" s="2"/>
      <c r="E278" s="2"/>
      <c r="F278" s="2"/>
      <c r="G278" s="2"/>
      <c r="H278" s="2"/>
      <c r="I278" s="2"/>
    </row>
    <row r="279" spans="4:9" ht="15.75" customHeight="1" x14ac:dyDescent="0.25">
      <c r="D279" s="2"/>
      <c r="E279" s="2"/>
      <c r="F279" s="2"/>
      <c r="G279" s="2"/>
      <c r="H279" s="2"/>
      <c r="I279" s="2"/>
    </row>
    <row r="280" spans="4:9" ht="15.75" customHeight="1" x14ac:dyDescent="0.25">
      <c r="D280" s="2"/>
      <c r="E280" s="2"/>
      <c r="F280" s="2"/>
      <c r="G280" s="2"/>
      <c r="H280" s="2"/>
      <c r="I280" s="2"/>
    </row>
    <row r="281" spans="4:9" ht="15.75" customHeight="1" x14ac:dyDescent="0.25">
      <c r="D281" s="2"/>
      <c r="E281" s="2"/>
      <c r="F281" s="2"/>
      <c r="G281" s="2"/>
      <c r="H281" s="2"/>
      <c r="I281" s="2"/>
    </row>
    <row r="282" spans="4:9" ht="15.75" customHeight="1" x14ac:dyDescent="0.25">
      <c r="D282" s="2"/>
      <c r="E282" s="2"/>
      <c r="F282" s="2"/>
      <c r="G282" s="2"/>
      <c r="H282" s="2"/>
      <c r="I282" s="2"/>
    </row>
    <row r="283" spans="4:9" ht="15.75" customHeight="1" x14ac:dyDescent="0.25">
      <c r="D283" s="2"/>
      <c r="E283" s="2"/>
      <c r="F283" s="2"/>
      <c r="G283" s="2"/>
      <c r="H283" s="2"/>
      <c r="I283" s="2"/>
    </row>
    <row r="284" spans="4:9" ht="15.75" customHeight="1" x14ac:dyDescent="0.25">
      <c r="D284" s="2"/>
      <c r="E284" s="2"/>
      <c r="F284" s="2"/>
      <c r="G284" s="2"/>
      <c r="H284" s="2"/>
      <c r="I284" s="2"/>
    </row>
    <row r="285" spans="4:9" ht="15.75" customHeight="1" x14ac:dyDescent="0.25">
      <c r="D285" s="2"/>
      <c r="E285" s="2"/>
      <c r="F285" s="2"/>
      <c r="G285" s="2"/>
      <c r="H285" s="2"/>
      <c r="I285" s="2"/>
    </row>
    <row r="286" spans="4:9" ht="15.75" customHeight="1" x14ac:dyDescent="0.25">
      <c r="D286" s="2"/>
      <c r="E286" s="2"/>
      <c r="F286" s="2"/>
      <c r="G286" s="2"/>
      <c r="H286" s="2"/>
      <c r="I286" s="2"/>
    </row>
    <row r="287" spans="4:9" ht="15.75" customHeight="1" x14ac:dyDescent="0.25">
      <c r="D287" s="2"/>
      <c r="E287" s="2"/>
      <c r="F287" s="2"/>
      <c r="G287" s="2"/>
      <c r="H287" s="2"/>
      <c r="I287" s="2"/>
    </row>
    <row r="288" spans="4:9" ht="15.75" customHeight="1" x14ac:dyDescent="0.25">
      <c r="D288" s="2"/>
      <c r="E288" s="2"/>
      <c r="F288" s="2"/>
      <c r="G288" s="2"/>
      <c r="H288" s="2"/>
      <c r="I288" s="2"/>
    </row>
    <row r="289" spans="4:9" ht="15.75" customHeight="1" x14ac:dyDescent="0.25">
      <c r="D289" s="2"/>
      <c r="E289" s="2"/>
      <c r="F289" s="2"/>
      <c r="G289" s="2"/>
      <c r="H289" s="2"/>
      <c r="I289" s="2"/>
    </row>
    <row r="290" spans="4:9" ht="15.75" customHeight="1" x14ac:dyDescent="0.25">
      <c r="D290" s="2"/>
      <c r="E290" s="2"/>
      <c r="F290" s="2"/>
      <c r="G290" s="2"/>
      <c r="H290" s="2"/>
      <c r="I290" s="2"/>
    </row>
    <row r="291" spans="4:9" ht="15.75" customHeight="1" x14ac:dyDescent="0.25">
      <c r="D291" s="2"/>
      <c r="E291" s="2"/>
      <c r="F291" s="2"/>
      <c r="G291" s="2"/>
      <c r="H291" s="2"/>
      <c r="I291" s="2"/>
    </row>
    <row r="292" spans="4:9" ht="15.75" customHeight="1" x14ac:dyDescent="0.25">
      <c r="D292" s="2"/>
      <c r="E292" s="2"/>
      <c r="F292" s="2"/>
      <c r="G292" s="2"/>
      <c r="H292" s="2"/>
      <c r="I292" s="2"/>
    </row>
    <row r="293" spans="4:9" ht="15.75" customHeight="1" x14ac:dyDescent="0.25">
      <c r="D293" s="2"/>
      <c r="E293" s="2"/>
      <c r="F293" s="2"/>
      <c r="G293" s="2"/>
      <c r="H293" s="2"/>
      <c r="I293" s="2"/>
    </row>
    <row r="294" spans="4:9" ht="15.75" customHeight="1" x14ac:dyDescent="0.25">
      <c r="D294" s="2"/>
      <c r="E294" s="2"/>
      <c r="F294" s="2"/>
      <c r="G294" s="2"/>
      <c r="H294" s="2"/>
      <c r="I294" s="2"/>
    </row>
    <row r="295" spans="4:9" ht="15.75" customHeight="1" x14ac:dyDescent="0.25">
      <c r="D295" s="2"/>
      <c r="E295" s="2"/>
      <c r="F295" s="2"/>
      <c r="G295" s="2"/>
      <c r="H295" s="2"/>
      <c r="I295" s="2"/>
    </row>
    <row r="296" spans="4:9" ht="15.75" customHeight="1" x14ac:dyDescent="0.25">
      <c r="D296" s="2"/>
      <c r="E296" s="2"/>
      <c r="F296" s="2"/>
      <c r="G296" s="2"/>
      <c r="H296" s="2"/>
      <c r="I296" s="2"/>
    </row>
    <row r="297" spans="4:9" ht="15.75" customHeight="1" x14ac:dyDescent="0.25">
      <c r="D297" s="2"/>
      <c r="E297" s="2"/>
      <c r="F297" s="2"/>
      <c r="G297" s="2"/>
      <c r="H297" s="2"/>
      <c r="I297" s="2"/>
    </row>
    <row r="298" spans="4:9" ht="15.75" customHeight="1" x14ac:dyDescent="0.25">
      <c r="D298" s="2"/>
      <c r="E298" s="2"/>
      <c r="F298" s="2"/>
      <c r="G298" s="2"/>
      <c r="H298" s="2"/>
      <c r="I298" s="2"/>
    </row>
    <row r="299" spans="4:9" ht="15.75" customHeight="1" x14ac:dyDescent="0.25">
      <c r="D299" s="2"/>
      <c r="E299" s="2"/>
      <c r="F299" s="2"/>
      <c r="G299" s="2"/>
      <c r="H299" s="2"/>
      <c r="I299" s="2"/>
    </row>
    <row r="300" spans="4:9" ht="15.75" customHeight="1" x14ac:dyDescent="0.25">
      <c r="D300" s="2"/>
      <c r="E300" s="2"/>
      <c r="F300" s="2"/>
      <c r="G300" s="2"/>
      <c r="H300" s="2"/>
      <c r="I300" s="2"/>
    </row>
    <row r="301" spans="4:9" ht="15.75" customHeight="1" x14ac:dyDescent="0.25">
      <c r="D301" s="2"/>
      <c r="E301" s="2"/>
      <c r="F301" s="2"/>
      <c r="G301" s="2"/>
      <c r="H301" s="2"/>
      <c r="I301" s="2"/>
    </row>
    <row r="302" spans="4:9" ht="15.75" customHeight="1" x14ac:dyDescent="0.25">
      <c r="D302" s="2"/>
      <c r="E302" s="2"/>
      <c r="F302" s="2"/>
      <c r="G302" s="2"/>
      <c r="H302" s="2"/>
      <c r="I302" s="2"/>
    </row>
    <row r="303" spans="4:9" ht="15.75" customHeight="1" x14ac:dyDescent="0.25">
      <c r="D303" s="2"/>
      <c r="E303" s="2"/>
      <c r="F303" s="2"/>
      <c r="G303" s="2"/>
      <c r="H303" s="2"/>
      <c r="I303" s="2"/>
    </row>
    <row r="304" spans="4:9" ht="15.75" customHeight="1" x14ac:dyDescent="0.25">
      <c r="D304" s="2"/>
      <c r="E304" s="2"/>
      <c r="F304" s="2"/>
      <c r="G304" s="2"/>
      <c r="H304" s="2"/>
      <c r="I304" s="2"/>
    </row>
    <row r="305" spans="4:9" ht="15.75" customHeight="1" x14ac:dyDescent="0.25">
      <c r="D305" s="2"/>
      <c r="E305" s="2"/>
      <c r="F305" s="2"/>
      <c r="G305" s="2"/>
      <c r="H305" s="2"/>
      <c r="I305" s="2"/>
    </row>
    <row r="306" spans="4:9" ht="15.75" customHeight="1" x14ac:dyDescent="0.25">
      <c r="D306" s="2"/>
      <c r="E306" s="2"/>
      <c r="F306" s="2"/>
      <c r="G306" s="2"/>
      <c r="H306" s="2"/>
      <c r="I306" s="2"/>
    </row>
    <row r="307" spans="4:9" ht="15.75" customHeight="1" x14ac:dyDescent="0.25">
      <c r="D307" s="2"/>
      <c r="E307" s="2"/>
      <c r="F307" s="2"/>
      <c r="G307" s="2"/>
      <c r="H307" s="2"/>
      <c r="I307" s="2"/>
    </row>
    <row r="308" spans="4:9" ht="15.75" customHeight="1" x14ac:dyDescent="0.25">
      <c r="D308" s="2"/>
      <c r="E308" s="2"/>
      <c r="F308" s="2"/>
      <c r="G308" s="2"/>
      <c r="H308" s="2"/>
      <c r="I308" s="2"/>
    </row>
    <row r="309" spans="4:9" ht="15.75" customHeight="1" x14ac:dyDescent="0.25">
      <c r="D309" s="2"/>
      <c r="E309" s="2"/>
      <c r="F309" s="2"/>
      <c r="G309" s="2"/>
      <c r="H309" s="2"/>
      <c r="I309" s="2"/>
    </row>
    <row r="310" spans="4:9" ht="15.75" customHeight="1" x14ac:dyDescent="0.25">
      <c r="D310" s="2"/>
      <c r="E310" s="2"/>
      <c r="F310" s="2"/>
      <c r="G310" s="2"/>
      <c r="H310" s="2"/>
      <c r="I310" s="2"/>
    </row>
    <row r="311" spans="4:9" ht="15.75" customHeight="1" x14ac:dyDescent="0.25">
      <c r="D311" s="2"/>
      <c r="E311" s="2"/>
      <c r="F311" s="2"/>
      <c r="G311" s="2"/>
      <c r="H311" s="2"/>
      <c r="I311" s="2"/>
    </row>
    <row r="312" spans="4:9" ht="15.75" customHeight="1" x14ac:dyDescent="0.25">
      <c r="D312" s="2"/>
      <c r="E312" s="2"/>
      <c r="F312" s="2"/>
      <c r="G312" s="2"/>
      <c r="H312" s="2"/>
      <c r="I312" s="2"/>
    </row>
    <row r="313" spans="4:9" ht="15.75" customHeight="1" x14ac:dyDescent="0.25">
      <c r="D313" s="2"/>
      <c r="E313" s="2"/>
      <c r="F313" s="2"/>
      <c r="G313" s="2"/>
      <c r="H313" s="2"/>
      <c r="I313" s="2"/>
    </row>
    <row r="314" spans="4:9" ht="15.75" customHeight="1" x14ac:dyDescent="0.25">
      <c r="D314" s="2"/>
      <c r="E314" s="2"/>
      <c r="F314" s="2"/>
      <c r="G314" s="2"/>
      <c r="H314" s="2"/>
      <c r="I314" s="2"/>
    </row>
    <row r="315" spans="4:9" ht="15.75" customHeight="1" x14ac:dyDescent="0.25">
      <c r="D315" s="2"/>
      <c r="E315" s="2"/>
      <c r="F315" s="2"/>
      <c r="G315" s="2"/>
      <c r="H315" s="2"/>
      <c r="I315" s="2"/>
    </row>
    <row r="316" spans="4:9" ht="15.75" customHeight="1" x14ac:dyDescent="0.25">
      <c r="D316" s="2"/>
      <c r="E316" s="2"/>
      <c r="F316" s="2"/>
      <c r="G316" s="2"/>
      <c r="H316" s="2"/>
      <c r="I316" s="2"/>
    </row>
    <row r="317" spans="4:9" ht="15.75" customHeight="1" x14ac:dyDescent="0.25">
      <c r="D317" s="2"/>
      <c r="E317" s="2"/>
      <c r="F317" s="2"/>
      <c r="G317" s="2"/>
      <c r="H317" s="2"/>
      <c r="I317" s="2"/>
    </row>
    <row r="318" spans="4:9" ht="15.75" customHeight="1" x14ac:dyDescent="0.25">
      <c r="D318" s="2"/>
      <c r="E318" s="2"/>
      <c r="F318" s="2"/>
      <c r="G318" s="2"/>
      <c r="H318" s="2"/>
      <c r="I318" s="2"/>
    </row>
    <row r="319" spans="4:9" ht="15.75" customHeight="1" x14ac:dyDescent="0.25">
      <c r="D319" s="2"/>
      <c r="E319" s="2"/>
      <c r="F319" s="2"/>
      <c r="G319" s="2"/>
      <c r="H319" s="2"/>
      <c r="I319" s="2"/>
    </row>
    <row r="320" spans="4:9" ht="15.75" customHeight="1" x14ac:dyDescent="0.25">
      <c r="D320" s="2"/>
      <c r="E320" s="2"/>
      <c r="F320" s="2"/>
      <c r="G320" s="2"/>
      <c r="H320" s="2"/>
      <c r="I320" s="2"/>
    </row>
    <row r="321" spans="4:9" ht="15.75" customHeight="1" x14ac:dyDescent="0.25">
      <c r="D321" s="2"/>
      <c r="E321" s="2"/>
      <c r="F321" s="2"/>
      <c r="G321" s="2"/>
      <c r="H321" s="2"/>
      <c r="I321" s="2"/>
    </row>
    <row r="322" spans="4:9" ht="15.75" customHeight="1" x14ac:dyDescent="0.25">
      <c r="D322" s="2"/>
      <c r="E322" s="2"/>
      <c r="F322" s="2"/>
      <c r="G322" s="2"/>
      <c r="H322" s="2"/>
      <c r="I322" s="2"/>
    </row>
    <row r="323" spans="4:9" ht="15.75" customHeight="1" x14ac:dyDescent="0.25">
      <c r="D323" s="2"/>
      <c r="E323" s="2"/>
      <c r="F323" s="2"/>
      <c r="G323" s="2"/>
      <c r="H323" s="2"/>
      <c r="I323" s="2"/>
    </row>
    <row r="324" spans="4:9" ht="15.75" customHeight="1" x14ac:dyDescent="0.25">
      <c r="D324" s="2"/>
      <c r="E324" s="2"/>
      <c r="F324" s="2"/>
      <c r="G324" s="2"/>
      <c r="H324" s="2"/>
      <c r="I324" s="2"/>
    </row>
    <row r="325" spans="4:9" ht="15.75" customHeight="1" x14ac:dyDescent="0.25">
      <c r="D325" s="2"/>
      <c r="E325" s="2"/>
      <c r="F325" s="2"/>
      <c r="G325" s="2"/>
      <c r="H325" s="2"/>
      <c r="I325" s="2"/>
    </row>
    <row r="326" spans="4:9" ht="15.75" customHeight="1" x14ac:dyDescent="0.25">
      <c r="D326" s="2"/>
      <c r="E326" s="2"/>
      <c r="F326" s="2"/>
      <c r="G326" s="2"/>
      <c r="H326" s="2"/>
      <c r="I326" s="2"/>
    </row>
    <row r="327" spans="4:9" ht="15.75" customHeight="1" x14ac:dyDescent="0.25">
      <c r="D327" s="2"/>
      <c r="E327" s="2"/>
      <c r="F327" s="2"/>
      <c r="G327" s="2"/>
      <c r="H327" s="2"/>
      <c r="I327" s="2"/>
    </row>
    <row r="328" spans="4:9" ht="15.75" customHeight="1" x14ac:dyDescent="0.25">
      <c r="D328" s="2"/>
      <c r="E328" s="2"/>
      <c r="F328" s="2"/>
      <c r="G328" s="2"/>
      <c r="H328" s="2"/>
      <c r="I328" s="2"/>
    </row>
    <row r="329" spans="4:9" ht="15.75" customHeight="1" x14ac:dyDescent="0.25">
      <c r="D329" s="2"/>
      <c r="E329" s="2"/>
      <c r="F329" s="2"/>
      <c r="G329" s="2"/>
      <c r="H329" s="2"/>
      <c r="I329" s="2"/>
    </row>
    <row r="330" spans="4:9" ht="15.75" customHeight="1" x14ac:dyDescent="0.25">
      <c r="D330" s="2"/>
      <c r="E330" s="2"/>
      <c r="F330" s="2"/>
      <c r="G330" s="2"/>
      <c r="H330" s="2"/>
      <c r="I330" s="2"/>
    </row>
    <row r="331" spans="4:9" ht="15.75" customHeight="1" x14ac:dyDescent="0.25">
      <c r="D331" s="2"/>
      <c r="E331" s="2"/>
      <c r="F331" s="2"/>
      <c r="G331" s="2"/>
      <c r="H331" s="2"/>
      <c r="I331" s="2"/>
    </row>
    <row r="332" spans="4:9" ht="15.75" customHeight="1" x14ac:dyDescent="0.25">
      <c r="D332" s="2"/>
      <c r="E332" s="2"/>
      <c r="F332" s="2"/>
      <c r="G332" s="2"/>
      <c r="H332" s="2"/>
      <c r="I332" s="2"/>
    </row>
    <row r="333" spans="4:9" ht="15.75" customHeight="1" x14ac:dyDescent="0.25">
      <c r="D333" s="2"/>
      <c r="E333" s="2"/>
      <c r="F333" s="2"/>
      <c r="G333" s="2"/>
      <c r="H333" s="2"/>
      <c r="I333" s="2"/>
    </row>
    <row r="334" spans="4:9" ht="15.75" customHeight="1" x14ac:dyDescent="0.25">
      <c r="D334" s="2"/>
      <c r="E334" s="2"/>
      <c r="F334" s="2"/>
      <c r="G334" s="2"/>
      <c r="H334" s="2"/>
      <c r="I334" s="2"/>
    </row>
    <row r="335" spans="4:9" ht="15.75" customHeight="1" x14ac:dyDescent="0.25">
      <c r="D335" s="2"/>
      <c r="E335" s="2"/>
      <c r="F335" s="2"/>
      <c r="G335" s="2"/>
      <c r="H335" s="2"/>
      <c r="I335" s="2"/>
    </row>
    <row r="336" spans="4:9" ht="15.75" customHeight="1" x14ac:dyDescent="0.25">
      <c r="D336" s="2"/>
      <c r="E336" s="2"/>
      <c r="F336" s="2"/>
      <c r="G336" s="2"/>
      <c r="H336" s="2"/>
      <c r="I336" s="2"/>
    </row>
    <row r="337" spans="4:9" ht="15.75" customHeight="1" x14ac:dyDescent="0.25">
      <c r="D337" s="2"/>
      <c r="E337" s="2"/>
      <c r="F337" s="2"/>
      <c r="G337" s="2"/>
      <c r="H337" s="2"/>
      <c r="I337" s="2"/>
    </row>
    <row r="338" spans="4:9" ht="15.75" customHeight="1" x14ac:dyDescent="0.25">
      <c r="D338" s="2"/>
      <c r="E338" s="2"/>
      <c r="F338" s="2"/>
      <c r="G338" s="2"/>
      <c r="H338" s="2"/>
      <c r="I338" s="2"/>
    </row>
    <row r="339" spans="4:9" ht="15.75" customHeight="1" x14ac:dyDescent="0.25">
      <c r="D339" s="2"/>
      <c r="E339" s="2"/>
      <c r="F339" s="2"/>
      <c r="G339" s="2"/>
      <c r="H339" s="2"/>
      <c r="I339" s="2"/>
    </row>
    <row r="340" spans="4:9" ht="15.75" customHeight="1" x14ac:dyDescent="0.25">
      <c r="D340" s="2"/>
      <c r="E340" s="2"/>
      <c r="F340" s="2"/>
      <c r="G340" s="2"/>
      <c r="H340" s="2"/>
      <c r="I340" s="2"/>
    </row>
    <row r="341" spans="4:9" ht="15.75" customHeight="1" x14ac:dyDescent="0.25">
      <c r="D341" s="2"/>
      <c r="E341" s="2"/>
      <c r="F341" s="2"/>
      <c r="G341" s="2"/>
      <c r="H341" s="2"/>
      <c r="I341" s="2"/>
    </row>
    <row r="342" spans="4:9" ht="15.75" customHeight="1" x14ac:dyDescent="0.25">
      <c r="D342" s="2"/>
      <c r="E342" s="2"/>
      <c r="F342" s="2"/>
      <c r="G342" s="2"/>
      <c r="H342" s="2"/>
      <c r="I342" s="2"/>
    </row>
    <row r="343" spans="4:9" ht="15.75" customHeight="1" x14ac:dyDescent="0.25">
      <c r="D343" s="2"/>
      <c r="E343" s="2"/>
      <c r="F343" s="2"/>
      <c r="G343" s="2"/>
      <c r="H343" s="2"/>
      <c r="I343" s="2"/>
    </row>
    <row r="344" spans="4:9" ht="15.75" customHeight="1" x14ac:dyDescent="0.25">
      <c r="D344" s="2"/>
      <c r="E344" s="2"/>
      <c r="F344" s="2"/>
      <c r="G344" s="2"/>
      <c r="H344" s="2"/>
      <c r="I344" s="2"/>
    </row>
    <row r="345" spans="4:9" ht="15.75" customHeight="1" x14ac:dyDescent="0.25">
      <c r="D345" s="2"/>
      <c r="E345" s="2"/>
      <c r="F345" s="2"/>
      <c r="G345" s="2"/>
      <c r="H345" s="2"/>
      <c r="I345" s="2"/>
    </row>
    <row r="346" spans="4:9" ht="15.75" customHeight="1" x14ac:dyDescent="0.25">
      <c r="D346" s="2"/>
      <c r="E346" s="2"/>
      <c r="F346" s="2"/>
      <c r="G346" s="2"/>
      <c r="H346" s="2"/>
      <c r="I346" s="2"/>
    </row>
    <row r="347" spans="4:9" ht="15.75" customHeight="1" x14ac:dyDescent="0.25">
      <c r="D347" s="2"/>
      <c r="E347" s="2"/>
      <c r="F347" s="2"/>
      <c r="G347" s="2"/>
      <c r="H347" s="2"/>
      <c r="I347" s="2"/>
    </row>
    <row r="348" spans="4:9" ht="15.75" customHeight="1" x14ac:dyDescent="0.25">
      <c r="D348" s="2"/>
      <c r="E348" s="2"/>
      <c r="F348" s="2"/>
      <c r="G348" s="2"/>
      <c r="H348" s="2"/>
      <c r="I348" s="2"/>
    </row>
    <row r="349" spans="4:9" ht="15.75" customHeight="1" x14ac:dyDescent="0.25">
      <c r="D349" s="2"/>
      <c r="E349" s="2"/>
      <c r="F349" s="2"/>
      <c r="G349" s="2"/>
      <c r="H349" s="2"/>
      <c r="I349" s="2"/>
    </row>
    <row r="350" spans="4:9" ht="15.75" customHeight="1" x14ac:dyDescent="0.25">
      <c r="D350" s="2"/>
      <c r="E350" s="2"/>
      <c r="F350" s="2"/>
      <c r="G350" s="2"/>
      <c r="H350" s="2"/>
      <c r="I350" s="2"/>
    </row>
    <row r="351" spans="4:9" ht="15.75" customHeight="1" x14ac:dyDescent="0.25">
      <c r="D351" s="2"/>
      <c r="E351" s="2"/>
      <c r="F351" s="2"/>
      <c r="G351" s="2"/>
      <c r="H351" s="2"/>
      <c r="I351" s="2"/>
    </row>
    <row r="352" spans="4:9" ht="15.75" customHeight="1" x14ac:dyDescent="0.25">
      <c r="D352" s="2"/>
      <c r="E352" s="2"/>
      <c r="F352" s="2"/>
      <c r="G352" s="2"/>
      <c r="H352" s="2"/>
      <c r="I352" s="2"/>
    </row>
    <row r="353" spans="4:9" ht="15.75" customHeight="1" x14ac:dyDescent="0.25">
      <c r="D353" s="2"/>
      <c r="E353" s="2"/>
      <c r="F353" s="2"/>
      <c r="G353" s="2"/>
      <c r="H353" s="2"/>
      <c r="I353" s="2"/>
    </row>
    <row r="354" spans="4:9" ht="15.75" customHeight="1" x14ac:dyDescent="0.25">
      <c r="D354" s="2"/>
      <c r="E354" s="2"/>
      <c r="F354" s="2"/>
      <c r="G354" s="2"/>
      <c r="H354" s="2"/>
      <c r="I354" s="2"/>
    </row>
    <row r="355" spans="4:9" ht="15.75" customHeight="1" x14ac:dyDescent="0.25">
      <c r="D355" s="2"/>
      <c r="E355" s="2"/>
      <c r="F355" s="2"/>
      <c r="G355" s="2"/>
      <c r="H355" s="2"/>
      <c r="I355" s="2"/>
    </row>
    <row r="356" spans="4:9" ht="15.75" customHeight="1" x14ac:dyDescent="0.25">
      <c r="D356" s="2"/>
      <c r="E356" s="2"/>
      <c r="F356" s="2"/>
      <c r="G356" s="2"/>
      <c r="H356" s="2"/>
      <c r="I356" s="2"/>
    </row>
    <row r="357" spans="4:9" ht="15.75" customHeight="1" x14ac:dyDescent="0.25">
      <c r="D357" s="2"/>
      <c r="E357" s="2"/>
      <c r="F357" s="2"/>
      <c r="G357" s="2"/>
      <c r="H357" s="2"/>
      <c r="I357" s="2"/>
    </row>
    <row r="358" spans="4:9" ht="15.75" customHeight="1" x14ac:dyDescent="0.25">
      <c r="D358" s="2"/>
      <c r="E358" s="2"/>
      <c r="F358" s="2"/>
      <c r="G358" s="2"/>
      <c r="H358" s="2"/>
      <c r="I358" s="2"/>
    </row>
    <row r="359" spans="4:9" ht="15.75" customHeight="1" x14ac:dyDescent="0.25">
      <c r="D359" s="2"/>
      <c r="E359" s="2"/>
      <c r="F359" s="2"/>
      <c r="G359" s="2"/>
      <c r="H359" s="2"/>
      <c r="I359" s="2"/>
    </row>
    <row r="360" spans="4:9" ht="15.75" customHeight="1" x14ac:dyDescent="0.25">
      <c r="D360" s="2"/>
      <c r="E360" s="2"/>
      <c r="F360" s="2"/>
      <c r="G360" s="2"/>
      <c r="H360" s="2"/>
      <c r="I360" s="2"/>
    </row>
    <row r="361" spans="4:9" ht="15.75" customHeight="1" x14ac:dyDescent="0.25">
      <c r="D361" s="2"/>
      <c r="E361" s="2"/>
      <c r="F361" s="2"/>
      <c r="G361" s="2"/>
      <c r="H361" s="2"/>
      <c r="I361" s="2"/>
    </row>
    <row r="362" spans="4:9" ht="15.75" customHeight="1" x14ac:dyDescent="0.25">
      <c r="D362" s="2"/>
      <c r="E362" s="2"/>
      <c r="F362" s="2"/>
      <c r="G362" s="2"/>
      <c r="H362" s="2"/>
      <c r="I362" s="2"/>
    </row>
    <row r="363" spans="4:9" ht="15.75" customHeight="1" x14ac:dyDescent="0.25">
      <c r="D363" s="2"/>
      <c r="E363" s="2"/>
      <c r="F363" s="2"/>
      <c r="G363" s="2"/>
      <c r="H363" s="2"/>
      <c r="I363" s="2"/>
    </row>
    <row r="364" spans="4:9" ht="15.75" customHeight="1" x14ac:dyDescent="0.25">
      <c r="D364" s="2"/>
      <c r="E364" s="2"/>
      <c r="F364" s="2"/>
      <c r="G364" s="2"/>
      <c r="H364" s="2"/>
      <c r="I364" s="2"/>
    </row>
    <row r="365" spans="4:9" ht="15.75" customHeight="1" x14ac:dyDescent="0.25">
      <c r="D365" s="2"/>
      <c r="E365" s="2"/>
      <c r="F365" s="2"/>
      <c r="G365" s="2"/>
      <c r="H365" s="2"/>
      <c r="I365" s="2"/>
    </row>
    <row r="366" spans="4:9" ht="15.75" customHeight="1" x14ac:dyDescent="0.25">
      <c r="D366" s="2"/>
      <c r="E366" s="2"/>
      <c r="F366" s="2"/>
      <c r="G366" s="2"/>
      <c r="H366" s="2"/>
      <c r="I366" s="2"/>
    </row>
    <row r="367" spans="4:9" ht="15.75" customHeight="1" x14ac:dyDescent="0.25">
      <c r="D367" s="2"/>
      <c r="E367" s="2"/>
      <c r="F367" s="2"/>
      <c r="G367" s="2"/>
      <c r="H367" s="2"/>
      <c r="I367" s="2"/>
    </row>
    <row r="368" spans="4:9" ht="15.75" customHeight="1" x14ac:dyDescent="0.25">
      <c r="D368" s="2"/>
      <c r="E368" s="2"/>
      <c r="F368" s="2"/>
      <c r="G368" s="2"/>
      <c r="H368" s="2"/>
      <c r="I368" s="2"/>
    </row>
    <row r="369" spans="4:9" ht="15.75" customHeight="1" x14ac:dyDescent="0.25">
      <c r="D369" s="2"/>
      <c r="E369" s="2"/>
      <c r="F369" s="2"/>
      <c r="G369" s="2"/>
      <c r="H369" s="2"/>
      <c r="I369" s="2"/>
    </row>
    <row r="370" spans="4:9" ht="15.75" customHeight="1" x14ac:dyDescent="0.25">
      <c r="D370" s="2"/>
      <c r="E370" s="2"/>
      <c r="F370" s="2"/>
      <c r="G370" s="2"/>
      <c r="H370" s="2"/>
      <c r="I370" s="2"/>
    </row>
    <row r="371" spans="4:9" ht="15.75" customHeight="1" x14ac:dyDescent="0.25">
      <c r="D371" s="2"/>
      <c r="E371" s="2"/>
      <c r="F371" s="2"/>
      <c r="G371" s="2"/>
      <c r="H371" s="2"/>
      <c r="I371" s="2"/>
    </row>
    <row r="372" spans="4:9" ht="15.75" customHeight="1" x14ac:dyDescent="0.25">
      <c r="D372" s="2"/>
      <c r="E372" s="2"/>
      <c r="F372" s="2"/>
      <c r="G372" s="2"/>
      <c r="H372" s="2"/>
      <c r="I372" s="2"/>
    </row>
    <row r="373" spans="4:9" ht="15.75" customHeight="1" x14ac:dyDescent="0.25">
      <c r="D373" s="2"/>
      <c r="E373" s="2"/>
      <c r="F373" s="2"/>
      <c r="G373" s="2"/>
      <c r="H373" s="2"/>
      <c r="I373" s="2"/>
    </row>
    <row r="374" spans="4:9" ht="15.75" customHeight="1" x14ac:dyDescent="0.25">
      <c r="D374" s="2"/>
      <c r="E374" s="2"/>
      <c r="F374" s="2"/>
      <c r="G374" s="2"/>
      <c r="H374" s="2"/>
      <c r="I374" s="2"/>
    </row>
    <row r="375" spans="4:9" ht="15.75" customHeight="1" x14ac:dyDescent="0.25">
      <c r="D375" s="2"/>
      <c r="E375" s="2"/>
      <c r="F375" s="2"/>
      <c r="G375" s="2"/>
      <c r="H375" s="2"/>
      <c r="I375" s="2"/>
    </row>
    <row r="376" spans="4:9" ht="15.75" customHeight="1" x14ac:dyDescent="0.25">
      <c r="D376" s="2"/>
      <c r="E376" s="2"/>
      <c r="F376" s="2"/>
      <c r="G376" s="2"/>
      <c r="H376" s="2"/>
      <c r="I376" s="2"/>
    </row>
    <row r="377" spans="4:9" ht="15.75" customHeight="1" x14ac:dyDescent="0.25">
      <c r="D377" s="2"/>
      <c r="E377" s="2"/>
      <c r="F377" s="2"/>
      <c r="G377" s="2"/>
      <c r="H377" s="2"/>
      <c r="I377" s="2"/>
    </row>
    <row r="378" spans="4:9" ht="15.75" customHeight="1" x14ac:dyDescent="0.25">
      <c r="D378" s="2"/>
      <c r="E378" s="2"/>
      <c r="F378" s="2"/>
      <c r="G378" s="2"/>
      <c r="H378" s="2"/>
      <c r="I378" s="2"/>
    </row>
    <row r="379" spans="4:9" ht="15.75" customHeight="1" x14ac:dyDescent="0.25">
      <c r="D379" s="2"/>
      <c r="E379" s="2"/>
      <c r="F379" s="2"/>
      <c r="G379" s="2"/>
      <c r="H379" s="2"/>
      <c r="I379" s="2"/>
    </row>
    <row r="380" spans="4:9" ht="15.75" customHeight="1" x14ac:dyDescent="0.25">
      <c r="D380" s="2"/>
      <c r="E380" s="2"/>
      <c r="F380" s="2"/>
      <c r="G380" s="2"/>
      <c r="H380" s="2"/>
      <c r="I380" s="2"/>
    </row>
    <row r="381" spans="4:9" ht="15.75" customHeight="1" x14ac:dyDescent="0.25">
      <c r="D381" s="2"/>
      <c r="E381" s="2"/>
      <c r="F381" s="2"/>
      <c r="G381" s="2"/>
      <c r="H381" s="2"/>
      <c r="I381" s="2"/>
    </row>
    <row r="382" spans="4:9" ht="15.75" customHeight="1" x14ac:dyDescent="0.25">
      <c r="D382" s="2"/>
      <c r="E382" s="2"/>
      <c r="F382" s="2"/>
      <c r="G382" s="2"/>
      <c r="H382" s="2"/>
      <c r="I382" s="2"/>
    </row>
    <row r="383" spans="4:9" ht="15.75" customHeight="1" x14ac:dyDescent="0.25">
      <c r="D383" s="2"/>
      <c r="E383" s="2"/>
      <c r="F383" s="2"/>
      <c r="G383" s="2"/>
      <c r="H383" s="2"/>
      <c r="I383" s="2"/>
    </row>
    <row r="384" spans="4:9" ht="15.75" customHeight="1" x14ac:dyDescent="0.25">
      <c r="D384" s="2"/>
      <c r="E384" s="2"/>
      <c r="F384" s="2"/>
      <c r="G384" s="2"/>
      <c r="H384" s="2"/>
      <c r="I384" s="2"/>
    </row>
    <row r="385" spans="4:9" ht="15.75" customHeight="1" x14ac:dyDescent="0.25">
      <c r="D385" s="2"/>
      <c r="E385" s="2"/>
      <c r="F385" s="2"/>
      <c r="G385" s="2"/>
      <c r="H385" s="2"/>
      <c r="I385" s="2"/>
    </row>
    <row r="386" spans="4:9" ht="15.75" customHeight="1" x14ac:dyDescent="0.25">
      <c r="D386" s="2"/>
      <c r="E386" s="2"/>
      <c r="F386" s="2"/>
      <c r="G386" s="2"/>
      <c r="H386" s="2"/>
      <c r="I386" s="2"/>
    </row>
    <row r="387" spans="4:9" ht="15.75" customHeight="1" x14ac:dyDescent="0.25">
      <c r="D387" s="2"/>
      <c r="E387" s="2"/>
      <c r="F387" s="2"/>
      <c r="G387" s="2"/>
      <c r="H387" s="2"/>
      <c r="I387" s="2"/>
    </row>
    <row r="388" spans="4:9" ht="15.75" customHeight="1" x14ac:dyDescent="0.25">
      <c r="D388" s="2"/>
      <c r="E388" s="2"/>
      <c r="F388" s="2"/>
      <c r="G388" s="2"/>
      <c r="H388" s="2"/>
      <c r="I388" s="2"/>
    </row>
    <row r="389" spans="4:9" ht="15.75" customHeight="1" x14ac:dyDescent="0.25">
      <c r="D389" s="2"/>
      <c r="E389" s="2"/>
      <c r="F389" s="2"/>
      <c r="G389" s="2"/>
      <c r="H389" s="2"/>
      <c r="I389" s="2"/>
    </row>
    <row r="390" spans="4:9" ht="15.75" customHeight="1" x14ac:dyDescent="0.25">
      <c r="D390" s="2"/>
      <c r="E390" s="2"/>
      <c r="F390" s="2"/>
      <c r="G390" s="2"/>
      <c r="H390" s="2"/>
      <c r="I390" s="2"/>
    </row>
    <row r="391" spans="4:9" ht="15.75" customHeight="1" x14ac:dyDescent="0.25">
      <c r="D391" s="2"/>
      <c r="E391" s="2"/>
      <c r="F391" s="2"/>
      <c r="G391" s="2"/>
      <c r="H391" s="2"/>
      <c r="I391" s="2"/>
    </row>
    <row r="392" spans="4:9" ht="15.75" customHeight="1" x14ac:dyDescent="0.25">
      <c r="D392" s="2"/>
      <c r="E392" s="2"/>
      <c r="F392" s="2"/>
      <c r="G392" s="2"/>
      <c r="H392" s="2"/>
      <c r="I392" s="2"/>
    </row>
    <row r="393" spans="4:9" ht="15.75" customHeight="1" x14ac:dyDescent="0.25">
      <c r="D393" s="2"/>
      <c r="E393" s="2"/>
      <c r="F393" s="2"/>
      <c r="G393" s="2"/>
      <c r="H393" s="2"/>
      <c r="I393" s="2"/>
    </row>
    <row r="394" spans="4:9" ht="15.75" customHeight="1" x14ac:dyDescent="0.25">
      <c r="D394" s="2"/>
      <c r="E394" s="2"/>
      <c r="F394" s="2"/>
      <c r="G394" s="2"/>
      <c r="H394" s="2"/>
      <c r="I394" s="2"/>
    </row>
    <row r="395" spans="4:9" ht="15.75" customHeight="1" x14ac:dyDescent="0.25">
      <c r="D395" s="2"/>
      <c r="E395" s="2"/>
      <c r="F395" s="2"/>
      <c r="G395" s="2"/>
      <c r="H395" s="2"/>
      <c r="I395" s="2"/>
    </row>
    <row r="396" spans="4:9" ht="15.75" customHeight="1" x14ac:dyDescent="0.25">
      <c r="D396" s="2"/>
      <c r="E396" s="2"/>
      <c r="F396" s="2"/>
      <c r="G396" s="2"/>
      <c r="H396" s="2"/>
      <c r="I396" s="2"/>
    </row>
    <row r="397" spans="4:9" ht="15.75" customHeight="1" x14ac:dyDescent="0.25">
      <c r="D397" s="2"/>
      <c r="E397" s="2"/>
      <c r="F397" s="2"/>
      <c r="G397" s="2"/>
      <c r="H397" s="2"/>
      <c r="I397" s="2"/>
    </row>
    <row r="398" spans="4:9" ht="15.75" customHeight="1" x14ac:dyDescent="0.25">
      <c r="D398" s="2"/>
      <c r="E398" s="2"/>
      <c r="F398" s="2"/>
      <c r="G398" s="2"/>
      <c r="H398" s="2"/>
      <c r="I398" s="2"/>
    </row>
    <row r="399" spans="4:9" ht="15.75" customHeight="1" x14ac:dyDescent="0.25">
      <c r="D399" s="2"/>
      <c r="E399" s="2"/>
      <c r="F399" s="2"/>
      <c r="G399" s="2"/>
      <c r="H399" s="2"/>
      <c r="I399" s="2"/>
    </row>
    <row r="400" spans="4:9" ht="15.75" customHeight="1" x14ac:dyDescent="0.25">
      <c r="D400" s="2"/>
      <c r="E400" s="2"/>
      <c r="F400" s="2"/>
      <c r="G400" s="2"/>
      <c r="H400" s="2"/>
      <c r="I400" s="2"/>
    </row>
    <row r="401" spans="4:9" ht="15.75" customHeight="1" x14ac:dyDescent="0.25">
      <c r="D401" s="2"/>
      <c r="E401" s="2"/>
      <c r="F401" s="2"/>
      <c r="G401" s="2"/>
      <c r="H401" s="2"/>
      <c r="I401" s="2"/>
    </row>
    <row r="402" spans="4:9" ht="15.75" customHeight="1" x14ac:dyDescent="0.25">
      <c r="D402" s="2"/>
      <c r="E402" s="2"/>
      <c r="F402" s="2"/>
      <c r="G402" s="2"/>
      <c r="H402" s="2"/>
      <c r="I402" s="2"/>
    </row>
    <row r="403" spans="4:9" ht="15.75" customHeight="1" x14ac:dyDescent="0.25">
      <c r="D403" s="2"/>
      <c r="E403" s="2"/>
      <c r="F403" s="2"/>
      <c r="G403" s="2"/>
      <c r="H403" s="2"/>
      <c r="I403" s="2"/>
    </row>
    <row r="404" spans="4:9" ht="15.75" customHeight="1" x14ac:dyDescent="0.25">
      <c r="D404" s="2"/>
      <c r="E404" s="2"/>
      <c r="F404" s="2"/>
      <c r="G404" s="2"/>
      <c r="H404" s="2"/>
      <c r="I404" s="2"/>
    </row>
    <row r="405" spans="4:9" ht="15.75" customHeight="1" x14ac:dyDescent="0.25">
      <c r="D405" s="2"/>
      <c r="E405" s="2"/>
      <c r="F405" s="2"/>
      <c r="G405" s="2"/>
      <c r="H405" s="2"/>
      <c r="I405" s="2"/>
    </row>
    <row r="406" spans="4:9" ht="15.75" customHeight="1" x14ac:dyDescent="0.25">
      <c r="D406" s="2"/>
      <c r="E406" s="2"/>
      <c r="F406" s="2"/>
      <c r="G406" s="2"/>
      <c r="H406" s="2"/>
      <c r="I406" s="2"/>
    </row>
    <row r="407" spans="4:9" ht="15.75" customHeight="1" x14ac:dyDescent="0.25">
      <c r="D407" s="2"/>
      <c r="E407" s="2"/>
      <c r="F407" s="2"/>
      <c r="G407" s="2"/>
      <c r="H407" s="2"/>
      <c r="I407" s="2"/>
    </row>
    <row r="408" spans="4:9" ht="15.75" customHeight="1" x14ac:dyDescent="0.25">
      <c r="D408" s="2"/>
      <c r="E408" s="2"/>
      <c r="F408" s="2"/>
      <c r="G408" s="2"/>
      <c r="H408" s="2"/>
      <c r="I408" s="2"/>
    </row>
    <row r="409" spans="4:9" ht="15.75" customHeight="1" x14ac:dyDescent="0.25">
      <c r="D409" s="2"/>
      <c r="E409" s="2"/>
      <c r="F409" s="2"/>
      <c r="G409" s="2"/>
      <c r="H409" s="2"/>
      <c r="I409" s="2"/>
    </row>
    <row r="410" spans="4:9" ht="15.75" customHeight="1" x14ac:dyDescent="0.25">
      <c r="D410" s="2"/>
      <c r="E410" s="2"/>
      <c r="F410" s="2"/>
      <c r="G410" s="2"/>
      <c r="H410" s="2"/>
      <c r="I410" s="2"/>
    </row>
    <row r="411" spans="4:9" ht="15.75" customHeight="1" x14ac:dyDescent="0.25">
      <c r="D411" s="2"/>
      <c r="E411" s="2"/>
      <c r="F411" s="2"/>
      <c r="G411" s="2"/>
      <c r="H411" s="2"/>
      <c r="I411" s="2"/>
    </row>
    <row r="412" spans="4:9" ht="15.75" customHeight="1" x14ac:dyDescent="0.25">
      <c r="D412" s="2"/>
      <c r="E412" s="2"/>
      <c r="F412" s="2"/>
      <c r="G412" s="2"/>
      <c r="H412" s="2"/>
      <c r="I412" s="2"/>
    </row>
    <row r="413" spans="4:9" ht="15.75" customHeight="1" x14ac:dyDescent="0.25">
      <c r="D413" s="2"/>
      <c r="E413" s="2"/>
      <c r="F413" s="2"/>
      <c r="G413" s="2"/>
      <c r="H413" s="2"/>
      <c r="I413" s="2"/>
    </row>
    <row r="414" spans="4:9" ht="15.75" customHeight="1" x14ac:dyDescent="0.25">
      <c r="D414" s="2"/>
      <c r="E414" s="2"/>
      <c r="F414" s="2"/>
      <c r="G414" s="2"/>
      <c r="H414" s="2"/>
      <c r="I414" s="2"/>
    </row>
    <row r="415" spans="4:9" ht="15.75" customHeight="1" x14ac:dyDescent="0.25">
      <c r="D415" s="2"/>
      <c r="E415" s="2"/>
      <c r="F415" s="2"/>
      <c r="G415" s="2"/>
      <c r="H415" s="2"/>
      <c r="I415" s="2"/>
    </row>
    <row r="416" spans="4:9" ht="15.75" customHeight="1" x14ac:dyDescent="0.25">
      <c r="D416" s="2"/>
      <c r="E416" s="2"/>
      <c r="F416" s="2"/>
      <c r="G416" s="2"/>
      <c r="H416" s="2"/>
      <c r="I416" s="2"/>
    </row>
    <row r="417" spans="4:9" ht="15.75" customHeight="1" x14ac:dyDescent="0.25">
      <c r="D417" s="2"/>
      <c r="E417" s="2"/>
      <c r="F417" s="2"/>
      <c r="G417" s="2"/>
      <c r="H417" s="2"/>
      <c r="I417" s="2"/>
    </row>
    <row r="418" spans="4:9" ht="15.75" customHeight="1" x14ac:dyDescent="0.25">
      <c r="D418" s="2"/>
      <c r="E418" s="2"/>
      <c r="F418" s="2"/>
      <c r="G418" s="2"/>
      <c r="H418" s="2"/>
      <c r="I418" s="2"/>
    </row>
    <row r="419" spans="4:9" ht="15.75" customHeight="1" x14ac:dyDescent="0.25">
      <c r="D419" s="2"/>
      <c r="E419" s="2"/>
      <c r="F419" s="2"/>
      <c r="G419" s="2"/>
      <c r="H419" s="2"/>
      <c r="I419" s="2"/>
    </row>
    <row r="420" spans="4:9" ht="15.75" customHeight="1" x14ac:dyDescent="0.25">
      <c r="D420" s="2"/>
      <c r="E420" s="2"/>
      <c r="F420" s="2"/>
      <c r="G420" s="2"/>
      <c r="H420" s="2"/>
      <c r="I420" s="2"/>
    </row>
    <row r="421" spans="4:9" ht="15.75" customHeight="1" x14ac:dyDescent="0.25">
      <c r="D421" s="2"/>
      <c r="E421" s="2"/>
      <c r="F421" s="2"/>
      <c r="G421" s="2"/>
      <c r="H421" s="2"/>
      <c r="I421" s="2"/>
    </row>
    <row r="422" spans="4:9" ht="15.75" customHeight="1" x14ac:dyDescent="0.25">
      <c r="D422" s="2"/>
      <c r="E422" s="2"/>
      <c r="F422" s="2"/>
      <c r="G422" s="2"/>
      <c r="H422" s="2"/>
      <c r="I422" s="2"/>
    </row>
    <row r="423" spans="4:9" ht="15.75" customHeight="1" x14ac:dyDescent="0.25">
      <c r="D423" s="2"/>
      <c r="E423" s="2"/>
      <c r="F423" s="2"/>
      <c r="G423" s="2"/>
      <c r="H423" s="2"/>
      <c r="I423" s="2"/>
    </row>
    <row r="424" spans="4:9" ht="15.75" customHeight="1" x14ac:dyDescent="0.25">
      <c r="D424" s="2"/>
      <c r="E424" s="2"/>
      <c r="F424" s="2"/>
      <c r="G424" s="2"/>
      <c r="H424" s="2"/>
      <c r="I424" s="2"/>
    </row>
    <row r="425" spans="4:9" ht="15.75" customHeight="1" x14ac:dyDescent="0.25">
      <c r="D425" s="2"/>
      <c r="E425" s="2"/>
      <c r="F425" s="2"/>
      <c r="G425" s="2"/>
      <c r="H425" s="2"/>
      <c r="I425" s="2"/>
    </row>
    <row r="426" spans="4:9" ht="15.75" customHeight="1" x14ac:dyDescent="0.25">
      <c r="D426" s="2"/>
      <c r="E426" s="2"/>
      <c r="F426" s="2"/>
      <c r="G426" s="2"/>
      <c r="H426" s="2"/>
      <c r="I426" s="2"/>
    </row>
    <row r="427" spans="4:9" ht="15.75" customHeight="1" x14ac:dyDescent="0.25">
      <c r="D427" s="2"/>
      <c r="E427" s="2"/>
      <c r="F427" s="2"/>
      <c r="G427" s="2"/>
      <c r="H427" s="2"/>
      <c r="I427" s="2"/>
    </row>
    <row r="428" spans="4:9" ht="15.75" customHeight="1" x14ac:dyDescent="0.25">
      <c r="D428" s="2"/>
      <c r="E428" s="2"/>
      <c r="F428" s="2"/>
      <c r="G428" s="2"/>
      <c r="H428" s="2"/>
      <c r="I428" s="2"/>
    </row>
    <row r="429" spans="4:9" ht="15.75" customHeight="1" x14ac:dyDescent="0.25">
      <c r="D429" s="2"/>
      <c r="E429" s="2"/>
      <c r="F429" s="2"/>
      <c r="G429" s="2"/>
      <c r="H429" s="2"/>
      <c r="I429" s="2"/>
    </row>
    <row r="430" spans="4:9" ht="15.75" customHeight="1" x14ac:dyDescent="0.25">
      <c r="D430" s="2"/>
      <c r="E430" s="2"/>
      <c r="F430" s="2"/>
      <c r="G430" s="2"/>
      <c r="H430" s="2"/>
      <c r="I430" s="2"/>
    </row>
    <row r="431" spans="4:9" ht="15.75" customHeight="1" x14ac:dyDescent="0.25">
      <c r="D431" s="2"/>
      <c r="E431" s="2"/>
      <c r="F431" s="2"/>
      <c r="G431" s="2"/>
      <c r="H431" s="2"/>
      <c r="I431" s="2"/>
    </row>
    <row r="432" spans="4:9" ht="15.75" customHeight="1" x14ac:dyDescent="0.25">
      <c r="D432" s="2"/>
      <c r="E432" s="2"/>
      <c r="F432" s="2"/>
      <c r="G432" s="2"/>
      <c r="H432" s="2"/>
      <c r="I432" s="2"/>
    </row>
    <row r="433" spans="4:9" ht="15.75" customHeight="1" x14ac:dyDescent="0.25">
      <c r="D433" s="2"/>
      <c r="E433" s="2"/>
      <c r="F433" s="2"/>
      <c r="G433" s="2"/>
      <c r="H433" s="2"/>
      <c r="I433" s="2"/>
    </row>
    <row r="434" spans="4:9" ht="15.75" customHeight="1" x14ac:dyDescent="0.25">
      <c r="D434" s="2"/>
      <c r="E434" s="2"/>
      <c r="F434" s="2"/>
      <c r="G434" s="2"/>
      <c r="H434" s="2"/>
      <c r="I434" s="2"/>
    </row>
    <row r="435" spans="4:9" ht="15.75" customHeight="1" x14ac:dyDescent="0.25">
      <c r="D435" s="2"/>
      <c r="E435" s="2"/>
      <c r="F435" s="2"/>
      <c r="G435" s="2"/>
      <c r="H435" s="2"/>
      <c r="I435" s="2"/>
    </row>
    <row r="436" spans="4:9" ht="15.75" customHeight="1" x14ac:dyDescent="0.25">
      <c r="D436" s="2"/>
      <c r="E436" s="2"/>
      <c r="F436" s="2"/>
      <c r="G436" s="2"/>
      <c r="H436" s="2"/>
      <c r="I436" s="2"/>
    </row>
    <row r="437" spans="4:9" ht="15.75" customHeight="1" x14ac:dyDescent="0.25">
      <c r="D437" s="2"/>
      <c r="E437" s="2"/>
      <c r="F437" s="2"/>
      <c r="G437" s="2"/>
      <c r="H437" s="2"/>
      <c r="I437" s="2"/>
    </row>
    <row r="438" spans="4:9" ht="15.75" customHeight="1" x14ac:dyDescent="0.25">
      <c r="D438" s="2"/>
      <c r="E438" s="2"/>
      <c r="F438" s="2"/>
      <c r="G438" s="2"/>
      <c r="H438" s="2"/>
      <c r="I438" s="2"/>
    </row>
    <row r="439" spans="4:9" ht="15.75" customHeight="1" x14ac:dyDescent="0.25">
      <c r="D439" s="2"/>
      <c r="E439" s="2"/>
      <c r="F439" s="2"/>
      <c r="G439" s="2"/>
      <c r="H439" s="2"/>
      <c r="I439" s="2"/>
    </row>
    <row r="440" spans="4:9" ht="15.75" customHeight="1" x14ac:dyDescent="0.25">
      <c r="D440" s="2"/>
      <c r="E440" s="2"/>
      <c r="F440" s="2"/>
      <c r="G440" s="2"/>
      <c r="H440" s="2"/>
      <c r="I440" s="2"/>
    </row>
    <row r="441" spans="4:9" ht="15.75" customHeight="1" x14ac:dyDescent="0.25">
      <c r="D441" s="2"/>
      <c r="E441" s="2"/>
      <c r="F441" s="2"/>
      <c r="G441" s="2"/>
      <c r="H441" s="2"/>
      <c r="I441" s="2"/>
    </row>
    <row r="442" spans="4:9" ht="15.75" customHeight="1" x14ac:dyDescent="0.25">
      <c r="D442" s="2"/>
      <c r="E442" s="2"/>
      <c r="F442" s="2"/>
      <c r="G442" s="2"/>
      <c r="H442" s="2"/>
      <c r="I442" s="2"/>
    </row>
    <row r="443" spans="4:9" ht="15.75" customHeight="1" x14ac:dyDescent="0.25">
      <c r="D443" s="2"/>
      <c r="E443" s="2"/>
      <c r="F443" s="2"/>
      <c r="G443" s="2"/>
      <c r="H443" s="2"/>
      <c r="I443" s="2"/>
    </row>
    <row r="444" spans="4:9" ht="15.75" customHeight="1" x14ac:dyDescent="0.25">
      <c r="D444" s="2"/>
      <c r="E444" s="2"/>
      <c r="F444" s="2"/>
      <c r="G444" s="2"/>
      <c r="H444" s="2"/>
      <c r="I444" s="2"/>
    </row>
    <row r="445" spans="4:9" ht="15.75" customHeight="1" x14ac:dyDescent="0.25">
      <c r="D445" s="2"/>
      <c r="E445" s="2"/>
      <c r="F445" s="2"/>
      <c r="G445" s="2"/>
      <c r="H445" s="2"/>
      <c r="I445" s="2"/>
    </row>
    <row r="446" spans="4:9" ht="15.75" customHeight="1" x14ac:dyDescent="0.25">
      <c r="D446" s="2"/>
      <c r="E446" s="2"/>
      <c r="F446" s="2"/>
      <c r="G446" s="2"/>
      <c r="H446" s="2"/>
      <c r="I446" s="2"/>
    </row>
    <row r="447" spans="4:9" ht="15.75" customHeight="1" x14ac:dyDescent="0.25">
      <c r="D447" s="2"/>
      <c r="E447" s="2"/>
      <c r="F447" s="2"/>
      <c r="G447" s="2"/>
      <c r="H447" s="2"/>
      <c r="I447" s="2"/>
    </row>
    <row r="448" spans="4:9" ht="15.75" customHeight="1" x14ac:dyDescent="0.25">
      <c r="D448" s="2"/>
      <c r="E448" s="2"/>
      <c r="F448" s="2"/>
      <c r="G448" s="2"/>
      <c r="H448" s="2"/>
      <c r="I448" s="2"/>
    </row>
    <row r="449" spans="4:9" ht="15.75" customHeight="1" x14ac:dyDescent="0.25">
      <c r="D449" s="2"/>
      <c r="E449" s="2"/>
      <c r="F449" s="2"/>
      <c r="G449" s="2"/>
      <c r="H449" s="2"/>
      <c r="I449" s="2"/>
    </row>
    <row r="450" spans="4:9" ht="15.75" customHeight="1" x14ac:dyDescent="0.25">
      <c r="D450" s="2"/>
      <c r="E450" s="2"/>
      <c r="F450" s="2"/>
      <c r="G450" s="2"/>
      <c r="H450" s="2"/>
      <c r="I450" s="2"/>
    </row>
    <row r="451" spans="4:9" ht="15.75" customHeight="1" x14ac:dyDescent="0.25">
      <c r="D451" s="2"/>
      <c r="E451" s="2"/>
      <c r="F451" s="2"/>
      <c r="G451" s="2"/>
      <c r="H451" s="2"/>
      <c r="I451" s="2"/>
    </row>
    <row r="452" spans="4:9" ht="15.75" customHeight="1" x14ac:dyDescent="0.25">
      <c r="D452" s="2"/>
      <c r="E452" s="2"/>
      <c r="F452" s="2"/>
      <c r="G452" s="2"/>
      <c r="H452" s="2"/>
      <c r="I452" s="2"/>
    </row>
    <row r="453" spans="4:9" ht="15.75" customHeight="1" x14ac:dyDescent="0.25">
      <c r="D453" s="2"/>
      <c r="E453" s="2"/>
      <c r="F453" s="2"/>
      <c r="G453" s="2"/>
      <c r="H453" s="2"/>
      <c r="I453" s="2"/>
    </row>
    <row r="454" spans="4:9" ht="15.75" customHeight="1" x14ac:dyDescent="0.25">
      <c r="D454" s="2"/>
      <c r="E454" s="2"/>
      <c r="F454" s="2"/>
      <c r="G454" s="2"/>
      <c r="H454" s="2"/>
      <c r="I454" s="2"/>
    </row>
    <row r="455" spans="4:9" ht="15.75" customHeight="1" x14ac:dyDescent="0.25">
      <c r="D455" s="2"/>
      <c r="E455" s="2"/>
      <c r="F455" s="2"/>
      <c r="G455" s="2"/>
      <c r="H455" s="2"/>
      <c r="I455" s="2"/>
    </row>
    <row r="456" spans="4:9" ht="15.75" customHeight="1" x14ac:dyDescent="0.25">
      <c r="D456" s="2"/>
      <c r="E456" s="2"/>
      <c r="F456" s="2"/>
      <c r="G456" s="2"/>
      <c r="H456" s="2"/>
      <c r="I456" s="2"/>
    </row>
    <row r="457" spans="4:9" ht="15.75" customHeight="1" x14ac:dyDescent="0.25">
      <c r="D457" s="2"/>
      <c r="E457" s="2"/>
      <c r="F457" s="2"/>
      <c r="G457" s="2"/>
      <c r="H457" s="2"/>
      <c r="I457" s="2"/>
    </row>
    <row r="458" spans="4:9" ht="15.75" customHeight="1" x14ac:dyDescent="0.25">
      <c r="D458" s="2"/>
      <c r="E458" s="2"/>
      <c r="F458" s="2"/>
      <c r="G458" s="2"/>
      <c r="H458" s="2"/>
      <c r="I458" s="2"/>
    </row>
    <row r="459" spans="4:9" ht="15.75" customHeight="1" x14ac:dyDescent="0.25">
      <c r="D459" s="2"/>
      <c r="E459" s="2"/>
      <c r="F459" s="2"/>
      <c r="G459" s="2"/>
      <c r="H459" s="2"/>
      <c r="I459" s="2"/>
    </row>
    <row r="460" spans="4:9" ht="15.75" customHeight="1" x14ac:dyDescent="0.25">
      <c r="D460" s="2"/>
      <c r="E460" s="2"/>
      <c r="F460" s="2"/>
      <c r="G460" s="2"/>
      <c r="H460" s="2"/>
      <c r="I460" s="2"/>
    </row>
    <row r="461" spans="4:9" ht="15.75" customHeight="1" x14ac:dyDescent="0.25">
      <c r="D461" s="2"/>
      <c r="E461" s="2"/>
      <c r="F461" s="2"/>
      <c r="G461" s="2"/>
      <c r="H461" s="2"/>
      <c r="I461" s="2"/>
    </row>
    <row r="462" spans="4:9" ht="15.75" customHeight="1" x14ac:dyDescent="0.25">
      <c r="D462" s="2"/>
      <c r="E462" s="2"/>
      <c r="F462" s="2"/>
      <c r="G462" s="2"/>
      <c r="H462" s="2"/>
      <c r="I462" s="2"/>
    </row>
    <row r="463" spans="4:9" ht="15.75" customHeight="1" x14ac:dyDescent="0.25">
      <c r="D463" s="2"/>
      <c r="E463" s="2"/>
      <c r="F463" s="2"/>
      <c r="G463" s="2"/>
      <c r="H463" s="2"/>
      <c r="I463" s="2"/>
    </row>
    <row r="464" spans="4:9" ht="15.75" customHeight="1" x14ac:dyDescent="0.25">
      <c r="D464" s="2"/>
      <c r="E464" s="2"/>
      <c r="F464" s="2"/>
      <c r="G464" s="2"/>
      <c r="H464" s="2"/>
      <c r="I464" s="2"/>
    </row>
    <row r="465" spans="4:9" ht="15.75" customHeight="1" x14ac:dyDescent="0.25">
      <c r="D465" s="2"/>
      <c r="E465" s="2"/>
      <c r="F465" s="2"/>
      <c r="G465" s="2"/>
      <c r="H465" s="2"/>
      <c r="I465" s="2"/>
    </row>
    <row r="466" spans="4:9" ht="15.75" customHeight="1" x14ac:dyDescent="0.25">
      <c r="D466" s="2"/>
      <c r="E466" s="2"/>
      <c r="F466" s="2"/>
      <c r="G466" s="2"/>
      <c r="H466" s="2"/>
      <c r="I466" s="2"/>
    </row>
    <row r="467" spans="4:9" ht="15.75" customHeight="1" x14ac:dyDescent="0.25">
      <c r="D467" s="2"/>
      <c r="E467" s="2"/>
      <c r="F467" s="2"/>
      <c r="G467" s="2"/>
      <c r="H467" s="2"/>
      <c r="I467" s="2"/>
    </row>
    <row r="468" spans="4:9" ht="15.75" customHeight="1" x14ac:dyDescent="0.25">
      <c r="D468" s="2"/>
      <c r="E468" s="2"/>
      <c r="F468" s="2"/>
      <c r="G468" s="2"/>
      <c r="H468" s="2"/>
      <c r="I468" s="2"/>
    </row>
    <row r="469" spans="4:9" ht="15.75" customHeight="1" x14ac:dyDescent="0.25">
      <c r="D469" s="2"/>
      <c r="E469" s="2"/>
      <c r="F469" s="2"/>
      <c r="G469" s="2"/>
      <c r="H469" s="2"/>
      <c r="I469" s="2"/>
    </row>
    <row r="470" spans="4:9" ht="15.75" customHeight="1" x14ac:dyDescent="0.25">
      <c r="D470" s="2"/>
      <c r="E470" s="2"/>
      <c r="F470" s="2"/>
      <c r="G470" s="2"/>
      <c r="H470" s="2"/>
      <c r="I470" s="2"/>
    </row>
    <row r="471" spans="4:9" ht="15.75" customHeight="1" x14ac:dyDescent="0.25">
      <c r="D471" s="2"/>
      <c r="E471" s="2"/>
      <c r="F471" s="2"/>
      <c r="G471" s="2"/>
      <c r="H471" s="2"/>
      <c r="I471" s="2"/>
    </row>
    <row r="472" spans="4:9" ht="15.75" customHeight="1" x14ac:dyDescent="0.25">
      <c r="D472" s="2"/>
      <c r="E472" s="2"/>
      <c r="F472" s="2"/>
      <c r="G472" s="2"/>
      <c r="H472" s="2"/>
      <c r="I472" s="2"/>
    </row>
    <row r="473" spans="4:9" ht="15.75" customHeight="1" x14ac:dyDescent="0.25">
      <c r="D473" s="2"/>
      <c r="E473" s="2"/>
      <c r="F473" s="2"/>
      <c r="G473" s="2"/>
      <c r="H473" s="2"/>
      <c r="I473" s="2"/>
    </row>
    <row r="474" spans="4:9" ht="15.75" customHeight="1" x14ac:dyDescent="0.25">
      <c r="D474" s="2"/>
      <c r="E474" s="2"/>
      <c r="F474" s="2"/>
      <c r="G474" s="2"/>
      <c r="H474" s="2"/>
      <c r="I474" s="2"/>
    </row>
    <row r="475" spans="4:9" ht="15.75" customHeight="1" x14ac:dyDescent="0.25">
      <c r="D475" s="2"/>
      <c r="E475" s="2"/>
      <c r="F475" s="2"/>
      <c r="G475" s="2"/>
      <c r="H475" s="2"/>
      <c r="I475" s="2"/>
    </row>
    <row r="476" spans="4:9" ht="15.75" customHeight="1" x14ac:dyDescent="0.25">
      <c r="D476" s="2"/>
      <c r="E476" s="2"/>
      <c r="F476" s="2"/>
      <c r="G476" s="2"/>
      <c r="H476" s="2"/>
      <c r="I476" s="2"/>
    </row>
    <row r="477" spans="4:9" ht="15.75" customHeight="1" x14ac:dyDescent="0.25">
      <c r="D477" s="2"/>
      <c r="E477" s="2"/>
      <c r="F477" s="2"/>
      <c r="G477" s="2"/>
      <c r="H477" s="2"/>
      <c r="I477" s="2"/>
    </row>
    <row r="478" spans="4:9" ht="15.75" customHeight="1" x14ac:dyDescent="0.25">
      <c r="D478" s="2"/>
      <c r="E478" s="2"/>
      <c r="F478" s="2"/>
      <c r="G478" s="2"/>
      <c r="H478" s="2"/>
      <c r="I478" s="2"/>
    </row>
    <row r="479" spans="4:9" ht="15.75" customHeight="1" x14ac:dyDescent="0.25">
      <c r="D479" s="2"/>
      <c r="E479" s="2"/>
      <c r="F479" s="2"/>
      <c r="G479" s="2"/>
      <c r="H479" s="2"/>
      <c r="I479" s="2"/>
    </row>
    <row r="480" spans="4:9" ht="15.75" customHeight="1" x14ac:dyDescent="0.25">
      <c r="D480" s="2"/>
      <c r="E480" s="2"/>
      <c r="F480" s="2"/>
      <c r="G480" s="2"/>
      <c r="H480" s="2"/>
      <c r="I480" s="2"/>
    </row>
    <row r="481" spans="4:9" ht="15.75" customHeight="1" x14ac:dyDescent="0.25">
      <c r="D481" s="2"/>
      <c r="E481" s="2"/>
      <c r="F481" s="2"/>
      <c r="G481" s="2"/>
      <c r="H481" s="2"/>
      <c r="I481" s="2"/>
    </row>
    <row r="482" spans="4:9" ht="15.75" customHeight="1" x14ac:dyDescent="0.25">
      <c r="D482" s="2"/>
      <c r="E482" s="2"/>
      <c r="F482" s="2"/>
      <c r="G482" s="2"/>
      <c r="H482" s="2"/>
      <c r="I482" s="2"/>
    </row>
    <row r="483" spans="4:9" ht="15.75" customHeight="1" x14ac:dyDescent="0.25">
      <c r="D483" s="2"/>
      <c r="E483" s="2"/>
      <c r="F483" s="2"/>
      <c r="G483" s="2"/>
      <c r="H483" s="2"/>
      <c r="I483" s="2"/>
    </row>
    <row r="484" spans="4:9" ht="15.75" customHeight="1" x14ac:dyDescent="0.25">
      <c r="D484" s="2"/>
      <c r="E484" s="2"/>
      <c r="F484" s="2"/>
      <c r="G484" s="2"/>
      <c r="H484" s="2"/>
      <c r="I484" s="2"/>
    </row>
    <row r="485" spans="4:9" ht="15.75" customHeight="1" x14ac:dyDescent="0.25">
      <c r="D485" s="2"/>
      <c r="E485" s="2"/>
      <c r="F485" s="2"/>
      <c r="G485" s="2"/>
      <c r="H485" s="2"/>
      <c r="I485" s="2"/>
    </row>
    <row r="486" spans="4:9" ht="15.75" customHeight="1" x14ac:dyDescent="0.25">
      <c r="D486" s="2"/>
      <c r="E486" s="2"/>
      <c r="F486" s="2"/>
      <c r="G486" s="2"/>
      <c r="H486" s="2"/>
      <c r="I486" s="2"/>
    </row>
    <row r="487" spans="4:9" ht="15.75" customHeight="1" x14ac:dyDescent="0.25">
      <c r="D487" s="2"/>
      <c r="E487" s="2"/>
      <c r="F487" s="2"/>
      <c r="G487" s="2"/>
      <c r="H487" s="2"/>
      <c r="I487" s="2"/>
    </row>
    <row r="488" spans="4:9" ht="15.75" customHeight="1" x14ac:dyDescent="0.25">
      <c r="D488" s="2"/>
      <c r="E488" s="2"/>
      <c r="F488" s="2"/>
      <c r="G488" s="2"/>
      <c r="H488" s="2"/>
      <c r="I488" s="2"/>
    </row>
    <row r="489" spans="4:9" ht="15.75" customHeight="1" x14ac:dyDescent="0.25">
      <c r="D489" s="2"/>
      <c r="E489" s="2"/>
      <c r="F489" s="2"/>
      <c r="G489" s="2"/>
      <c r="H489" s="2"/>
      <c r="I489" s="2"/>
    </row>
    <row r="490" spans="4:9" ht="15.75" customHeight="1" x14ac:dyDescent="0.25">
      <c r="D490" s="2"/>
      <c r="E490" s="2"/>
      <c r="F490" s="2"/>
      <c r="G490" s="2"/>
      <c r="H490" s="2"/>
      <c r="I490" s="2"/>
    </row>
    <row r="491" spans="4:9" ht="15.75" customHeight="1" x14ac:dyDescent="0.25">
      <c r="D491" s="2"/>
      <c r="E491" s="2"/>
      <c r="F491" s="2"/>
      <c r="G491" s="2"/>
      <c r="H491" s="2"/>
      <c r="I491" s="2"/>
    </row>
    <row r="492" spans="4:9" ht="15.75" customHeight="1" x14ac:dyDescent="0.25">
      <c r="D492" s="2"/>
      <c r="E492" s="2"/>
      <c r="F492" s="2"/>
      <c r="G492" s="2"/>
      <c r="H492" s="2"/>
      <c r="I492" s="2"/>
    </row>
    <row r="493" spans="4:9" ht="15.75" customHeight="1" x14ac:dyDescent="0.25">
      <c r="D493" s="2"/>
      <c r="E493" s="2"/>
      <c r="F493" s="2"/>
      <c r="G493" s="2"/>
      <c r="H493" s="2"/>
      <c r="I493" s="2"/>
    </row>
    <row r="494" spans="4:9" ht="15.75" customHeight="1" x14ac:dyDescent="0.25">
      <c r="D494" s="2"/>
      <c r="E494" s="2"/>
      <c r="F494" s="2"/>
      <c r="G494" s="2"/>
      <c r="H494" s="2"/>
      <c r="I494" s="2"/>
    </row>
    <row r="495" spans="4:9" ht="15.75" customHeight="1" x14ac:dyDescent="0.25">
      <c r="D495" s="2"/>
      <c r="E495" s="2"/>
      <c r="F495" s="2"/>
      <c r="G495" s="2"/>
      <c r="H495" s="2"/>
      <c r="I495" s="2"/>
    </row>
    <row r="496" spans="4:9" ht="15.75" customHeight="1" x14ac:dyDescent="0.25">
      <c r="D496" s="2"/>
      <c r="E496" s="2"/>
      <c r="F496" s="2"/>
      <c r="G496" s="2"/>
      <c r="H496" s="2"/>
      <c r="I496" s="2"/>
    </row>
    <row r="497" spans="4:9" ht="15.75" customHeight="1" x14ac:dyDescent="0.25">
      <c r="D497" s="2"/>
      <c r="E497" s="2"/>
      <c r="F497" s="2"/>
      <c r="G497" s="2"/>
      <c r="H497" s="2"/>
      <c r="I497" s="2"/>
    </row>
    <row r="498" spans="4:9" ht="15.75" customHeight="1" x14ac:dyDescent="0.25">
      <c r="D498" s="2"/>
      <c r="E498" s="2"/>
      <c r="F498" s="2"/>
      <c r="G498" s="2"/>
      <c r="H498" s="2"/>
      <c r="I498" s="2"/>
    </row>
    <row r="499" spans="4:9" ht="15.75" customHeight="1" x14ac:dyDescent="0.25">
      <c r="D499" s="2"/>
      <c r="E499" s="2"/>
      <c r="F499" s="2"/>
      <c r="G499" s="2"/>
      <c r="H499" s="2"/>
      <c r="I499" s="2"/>
    </row>
    <row r="500" spans="4:9" ht="15.75" customHeight="1" x14ac:dyDescent="0.25">
      <c r="D500" s="2"/>
      <c r="E500" s="2"/>
      <c r="F500" s="2"/>
      <c r="G500" s="2"/>
      <c r="H500" s="2"/>
      <c r="I500" s="2"/>
    </row>
    <row r="501" spans="4:9" ht="15.75" customHeight="1" x14ac:dyDescent="0.25">
      <c r="D501" s="2"/>
      <c r="E501" s="2"/>
      <c r="F501" s="2"/>
      <c r="G501" s="2"/>
      <c r="H501" s="2"/>
      <c r="I501" s="2"/>
    </row>
    <row r="502" spans="4:9" ht="15.75" customHeight="1" x14ac:dyDescent="0.25">
      <c r="D502" s="2"/>
      <c r="E502" s="2"/>
      <c r="F502" s="2"/>
      <c r="G502" s="2"/>
      <c r="H502" s="2"/>
      <c r="I502" s="2"/>
    </row>
    <row r="503" spans="4:9" ht="15.75" customHeight="1" x14ac:dyDescent="0.25">
      <c r="D503" s="2"/>
      <c r="E503" s="2"/>
      <c r="F503" s="2"/>
      <c r="G503" s="2"/>
      <c r="H503" s="2"/>
      <c r="I503" s="2"/>
    </row>
    <row r="504" spans="4:9" ht="15.75" customHeight="1" x14ac:dyDescent="0.25">
      <c r="D504" s="2"/>
      <c r="E504" s="2"/>
      <c r="F504" s="2"/>
      <c r="G504" s="2"/>
      <c r="H504" s="2"/>
      <c r="I504" s="2"/>
    </row>
    <row r="505" spans="4:9" ht="15.75" customHeight="1" x14ac:dyDescent="0.25">
      <c r="D505" s="2"/>
      <c r="E505" s="2"/>
      <c r="F505" s="2"/>
      <c r="G505" s="2"/>
      <c r="H505" s="2"/>
      <c r="I505" s="2"/>
    </row>
    <row r="506" spans="4:9" ht="15.75" customHeight="1" x14ac:dyDescent="0.25">
      <c r="D506" s="2"/>
      <c r="E506" s="2"/>
      <c r="F506" s="2"/>
      <c r="G506" s="2"/>
      <c r="H506" s="2"/>
      <c r="I506" s="2"/>
    </row>
    <row r="507" spans="4:9" ht="15.75" customHeight="1" x14ac:dyDescent="0.25">
      <c r="D507" s="2"/>
      <c r="E507" s="2"/>
      <c r="F507" s="2"/>
      <c r="G507" s="2"/>
      <c r="H507" s="2"/>
      <c r="I507" s="2"/>
    </row>
    <row r="508" spans="4:9" ht="15.75" customHeight="1" x14ac:dyDescent="0.25">
      <c r="D508" s="2"/>
      <c r="E508" s="2"/>
      <c r="F508" s="2"/>
      <c r="G508" s="2"/>
      <c r="H508" s="2"/>
      <c r="I508" s="2"/>
    </row>
    <row r="509" spans="4:9" ht="15.75" customHeight="1" x14ac:dyDescent="0.25">
      <c r="D509" s="2"/>
      <c r="E509" s="2"/>
      <c r="F509" s="2"/>
      <c r="G509" s="2"/>
      <c r="H509" s="2"/>
      <c r="I509" s="2"/>
    </row>
    <row r="510" spans="4:9" ht="15.75" customHeight="1" x14ac:dyDescent="0.25">
      <c r="D510" s="2"/>
      <c r="E510" s="2"/>
      <c r="F510" s="2"/>
      <c r="G510" s="2"/>
      <c r="H510" s="2"/>
      <c r="I510" s="2"/>
    </row>
    <row r="511" spans="4:9" ht="15.75" customHeight="1" x14ac:dyDescent="0.25">
      <c r="D511" s="2"/>
      <c r="E511" s="2"/>
      <c r="F511" s="2"/>
      <c r="G511" s="2"/>
      <c r="H511" s="2"/>
      <c r="I511" s="2"/>
    </row>
    <row r="512" spans="4:9" ht="15.75" customHeight="1" x14ac:dyDescent="0.25">
      <c r="D512" s="2"/>
      <c r="E512" s="2"/>
      <c r="F512" s="2"/>
      <c r="G512" s="2"/>
      <c r="H512" s="2"/>
      <c r="I512" s="2"/>
    </row>
    <row r="513" spans="4:9" ht="15.75" customHeight="1" x14ac:dyDescent="0.25">
      <c r="D513" s="2"/>
      <c r="E513" s="2"/>
      <c r="F513" s="2"/>
      <c r="G513" s="2"/>
      <c r="H513" s="2"/>
      <c r="I513" s="2"/>
    </row>
    <row r="514" spans="4:9" ht="15.75" customHeight="1" x14ac:dyDescent="0.25">
      <c r="D514" s="2"/>
      <c r="E514" s="2"/>
      <c r="F514" s="2"/>
      <c r="G514" s="2"/>
      <c r="H514" s="2"/>
      <c r="I514" s="2"/>
    </row>
    <row r="515" spans="4:9" ht="15.75" customHeight="1" x14ac:dyDescent="0.25">
      <c r="D515" s="2"/>
      <c r="E515" s="2"/>
      <c r="F515" s="2"/>
      <c r="G515" s="2"/>
      <c r="H515" s="2"/>
      <c r="I515" s="2"/>
    </row>
    <row r="516" spans="4:9" ht="15.75" customHeight="1" x14ac:dyDescent="0.25">
      <c r="D516" s="2"/>
      <c r="E516" s="2"/>
      <c r="F516" s="2"/>
      <c r="G516" s="2"/>
      <c r="H516" s="2"/>
      <c r="I516" s="2"/>
    </row>
    <row r="517" spans="4:9" ht="15.75" customHeight="1" x14ac:dyDescent="0.25">
      <c r="D517" s="2"/>
      <c r="E517" s="2"/>
      <c r="F517" s="2"/>
      <c r="G517" s="2"/>
      <c r="H517" s="2"/>
      <c r="I517" s="2"/>
    </row>
    <row r="518" spans="4:9" ht="15.75" customHeight="1" x14ac:dyDescent="0.25">
      <c r="D518" s="2"/>
      <c r="E518" s="2"/>
      <c r="F518" s="2"/>
      <c r="G518" s="2"/>
      <c r="H518" s="2"/>
      <c r="I518" s="2"/>
    </row>
    <row r="519" spans="4:9" ht="15.75" customHeight="1" x14ac:dyDescent="0.25">
      <c r="D519" s="2"/>
      <c r="E519" s="2"/>
      <c r="F519" s="2"/>
      <c r="G519" s="2"/>
      <c r="H519" s="2"/>
      <c r="I519" s="2"/>
    </row>
    <row r="520" spans="4:9" ht="15.75" customHeight="1" x14ac:dyDescent="0.25">
      <c r="D520" s="2"/>
      <c r="E520" s="2"/>
      <c r="F520" s="2"/>
      <c r="G520" s="2"/>
      <c r="H520" s="2"/>
      <c r="I520" s="2"/>
    </row>
    <row r="521" spans="4:9" ht="15.75" customHeight="1" x14ac:dyDescent="0.25">
      <c r="D521" s="2"/>
      <c r="E521" s="2"/>
      <c r="F521" s="2"/>
      <c r="G521" s="2"/>
      <c r="H521" s="2"/>
      <c r="I521" s="2"/>
    </row>
    <row r="522" spans="4:9" ht="15.75" customHeight="1" x14ac:dyDescent="0.25">
      <c r="D522" s="2"/>
      <c r="E522" s="2"/>
      <c r="F522" s="2"/>
      <c r="G522" s="2"/>
      <c r="H522" s="2"/>
      <c r="I522" s="2"/>
    </row>
    <row r="523" spans="4:9" ht="15.75" customHeight="1" x14ac:dyDescent="0.25">
      <c r="D523" s="2"/>
      <c r="E523" s="2"/>
      <c r="F523" s="2"/>
      <c r="G523" s="2"/>
      <c r="H523" s="2"/>
      <c r="I523" s="2"/>
    </row>
    <row r="524" spans="4:9" ht="15.75" customHeight="1" x14ac:dyDescent="0.25">
      <c r="D524" s="2"/>
      <c r="E524" s="2"/>
      <c r="F524" s="2"/>
      <c r="G524" s="2"/>
      <c r="H524" s="2"/>
      <c r="I524" s="2"/>
    </row>
    <row r="525" spans="4:9" ht="15.75" customHeight="1" x14ac:dyDescent="0.25">
      <c r="D525" s="2"/>
      <c r="E525" s="2"/>
      <c r="F525" s="2"/>
      <c r="G525" s="2"/>
      <c r="H525" s="2"/>
      <c r="I525" s="2"/>
    </row>
    <row r="526" spans="4:9" ht="15.75" customHeight="1" x14ac:dyDescent="0.25">
      <c r="D526" s="2"/>
      <c r="E526" s="2"/>
      <c r="F526" s="2"/>
      <c r="G526" s="2"/>
      <c r="H526" s="2"/>
      <c r="I526" s="2"/>
    </row>
    <row r="527" spans="4:9" ht="15.75" customHeight="1" x14ac:dyDescent="0.25">
      <c r="D527" s="2"/>
      <c r="E527" s="2"/>
      <c r="F527" s="2"/>
      <c r="G527" s="2"/>
      <c r="H527" s="2"/>
      <c r="I527" s="2"/>
    </row>
    <row r="528" spans="4:9" ht="15.75" customHeight="1" x14ac:dyDescent="0.25">
      <c r="D528" s="2"/>
      <c r="E528" s="2"/>
      <c r="F528" s="2"/>
      <c r="G528" s="2"/>
      <c r="H528" s="2"/>
      <c r="I528" s="2"/>
    </row>
    <row r="529" spans="4:9" ht="15.75" customHeight="1" x14ac:dyDescent="0.25">
      <c r="D529" s="2"/>
      <c r="E529" s="2"/>
      <c r="F529" s="2"/>
      <c r="G529" s="2"/>
      <c r="H529" s="2"/>
      <c r="I529" s="2"/>
    </row>
    <row r="530" spans="4:9" ht="15.75" customHeight="1" x14ac:dyDescent="0.25">
      <c r="D530" s="2"/>
      <c r="E530" s="2"/>
      <c r="F530" s="2"/>
      <c r="G530" s="2"/>
      <c r="H530" s="2"/>
      <c r="I530" s="2"/>
    </row>
    <row r="531" spans="4:9" ht="15.75" customHeight="1" x14ac:dyDescent="0.25">
      <c r="D531" s="2"/>
      <c r="E531" s="2"/>
      <c r="F531" s="2"/>
      <c r="G531" s="2"/>
      <c r="H531" s="2"/>
      <c r="I531" s="2"/>
    </row>
    <row r="532" spans="4:9" ht="15.75" customHeight="1" x14ac:dyDescent="0.25">
      <c r="D532" s="2"/>
      <c r="E532" s="2"/>
      <c r="F532" s="2"/>
      <c r="G532" s="2"/>
      <c r="H532" s="2"/>
      <c r="I532" s="2"/>
    </row>
    <row r="533" spans="4:9" ht="15.75" customHeight="1" x14ac:dyDescent="0.25">
      <c r="D533" s="2"/>
      <c r="E533" s="2"/>
      <c r="F533" s="2"/>
      <c r="G533" s="2"/>
      <c r="H533" s="2"/>
      <c r="I533" s="2"/>
    </row>
    <row r="534" spans="4:9" ht="15.75" customHeight="1" x14ac:dyDescent="0.25">
      <c r="D534" s="2"/>
      <c r="E534" s="2"/>
      <c r="F534" s="2"/>
      <c r="G534" s="2"/>
      <c r="H534" s="2"/>
      <c r="I534" s="2"/>
    </row>
    <row r="535" spans="4:9" ht="15.75" customHeight="1" x14ac:dyDescent="0.25">
      <c r="D535" s="2"/>
      <c r="E535" s="2"/>
      <c r="F535" s="2"/>
      <c r="G535" s="2"/>
      <c r="H535" s="2"/>
      <c r="I535" s="2"/>
    </row>
    <row r="536" spans="4:9" ht="15.75" customHeight="1" x14ac:dyDescent="0.25">
      <c r="D536" s="2"/>
      <c r="E536" s="2"/>
      <c r="F536" s="2"/>
      <c r="G536" s="2"/>
      <c r="H536" s="2"/>
      <c r="I536" s="2"/>
    </row>
    <row r="537" spans="4:9" ht="15.75" customHeight="1" x14ac:dyDescent="0.25">
      <c r="D537" s="2"/>
      <c r="E537" s="2"/>
      <c r="F537" s="2"/>
      <c r="G537" s="2"/>
      <c r="H537" s="2"/>
      <c r="I537" s="2"/>
    </row>
    <row r="538" spans="4:9" ht="15.75" customHeight="1" x14ac:dyDescent="0.25">
      <c r="D538" s="2"/>
      <c r="E538" s="2"/>
      <c r="F538" s="2"/>
      <c r="G538" s="2"/>
      <c r="H538" s="2"/>
      <c r="I538" s="2"/>
    </row>
    <row r="539" spans="4:9" ht="15.75" customHeight="1" x14ac:dyDescent="0.25">
      <c r="D539" s="2"/>
      <c r="E539" s="2"/>
      <c r="F539" s="2"/>
      <c r="G539" s="2"/>
      <c r="H539" s="2"/>
      <c r="I539" s="2"/>
    </row>
    <row r="540" spans="4:9" ht="15.75" customHeight="1" x14ac:dyDescent="0.25">
      <c r="D540" s="2"/>
      <c r="E540" s="2"/>
      <c r="F540" s="2"/>
      <c r="G540" s="2"/>
      <c r="H540" s="2"/>
      <c r="I540" s="2"/>
    </row>
    <row r="541" spans="4:9" ht="15.75" customHeight="1" x14ac:dyDescent="0.25">
      <c r="D541" s="2"/>
      <c r="E541" s="2"/>
      <c r="F541" s="2"/>
      <c r="G541" s="2"/>
      <c r="H541" s="2"/>
      <c r="I541" s="2"/>
    </row>
    <row r="542" spans="4:9" ht="15.75" customHeight="1" x14ac:dyDescent="0.25">
      <c r="D542" s="2"/>
      <c r="E542" s="2"/>
      <c r="F542" s="2"/>
      <c r="G542" s="2"/>
      <c r="H542" s="2"/>
      <c r="I542" s="2"/>
    </row>
    <row r="543" spans="4:9" ht="15.75" customHeight="1" x14ac:dyDescent="0.25">
      <c r="D543" s="2"/>
      <c r="E543" s="2"/>
      <c r="F543" s="2"/>
      <c r="G543" s="2"/>
      <c r="H543" s="2"/>
      <c r="I543" s="2"/>
    </row>
    <row r="544" spans="4:9" ht="15.75" customHeight="1" x14ac:dyDescent="0.25">
      <c r="D544" s="2"/>
      <c r="E544" s="2"/>
      <c r="F544" s="2"/>
      <c r="G544" s="2"/>
      <c r="H544" s="2"/>
      <c r="I544" s="2"/>
    </row>
    <row r="545" spans="4:9" ht="15.75" customHeight="1" x14ac:dyDescent="0.25">
      <c r="D545" s="2"/>
      <c r="E545" s="2"/>
      <c r="F545" s="2"/>
      <c r="G545" s="2"/>
      <c r="H545" s="2"/>
      <c r="I545" s="2"/>
    </row>
    <row r="546" spans="4:9" ht="15.75" customHeight="1" x14ac:dyDescent="0.25">
      <c r="D546" s="2"/>
      <c r="E546" s="2"/>
      <c r="F546" s="2"/>
      <c r="G546" s="2"/>
      <c r="H546" s="2"/>
      <c r="I546" s="2"/>
    </row>
    <row r="547" spans="4:9" ht="15.75" customHeight="1" x14ac:dyDescent="0.25">
      <c r="D547" s="2"/>
      <c r="E547" s="2"/>
      <c r="F547" s="2"/>
      <c r="G547" s="2"/>
      <c r="H547" s="2"/>
      <c r="I547" s="2"/>
    </row>
    <row r="548" spans="4:9" ht="15.75" customHeight="1" x14ac:dyDescent="0.25">
      <c r="D548" s="2"/>
      <c r="E548" s="2"/>
      <c r="F548" s="2"/>
      <c r="G548" s="2"/>
      <c r="H548" s="2"/>
      <c r="I548" s="2"/>
    </row>
    <row r="549" spans="4:9" ht="15.75" customHeight="1" x14ac:dyDescent="0.25">
      <c r="D549" s="2"/>
      <c r="E549" s="2"/>
      <c r="F549" s="2"/>
      <c r="G549" s="2"/>
      <c r="H549" s="2"/>
      <c r="I549" s="2"/>
    </row>
    <row r="550" spans="4:9" ht="15.75" customHeight="1" x14ac:dyDescent="0.25">
      <c r="D550" s="2"/>
      <c r="E550" s="2"/>
      <c r="F550" s="2"/>
      <c r="G550" s="2"/>
      <c r="H550" s="2"/>
      <c r="I550" s="2"/>
    </row>
    <row r="551" spans="4:9" ht="15.75" customHeight="1" x14ac:dyDescent="0.25">
      <c r="D551" s="2"/>
      <c r="E551" s="2"/>
      <c r="F551" s="2"/>
      <c r="G551" s="2"/>
      <c r="H551" s="2"/>
      <c r="I551" s="2"/>
    </row>
    <row r="552" spans="4:9" ht="15.75" customHeight="1" x14ac:dyDescent="0.25">
      <c r="D552" s="2"/>
      <c r="E552" s="2"/>
      <c r="F552" s="2"/>
      <c r="G552" s="2"/>
      <c r="H552" s="2"/>
      <c r="I552" s="2"/>
    </row>
    <row r="553" spans="4:9" ht="15.75" customHeight="1" x14ac:dyDescent="0.25">
      <c r="D553" s="2"/>
      <c r="E553" s="2"/>
      <c r="F553" s="2"/>
      <c r="G553" s="2"/>
      <c r="H553" s="2"/>
      <c r="I553" s="2"/>
    </row>
    <row r="554" spans="4:9" ht="15.75" customHeight="1" x14ac:dyDescent="0.25">
      <c r="D554" s="2"/>
      <c r="E554" s="2"/>
      <c r="F554" s="2"/>
      <c r="G554" s="2"/>
      <c r="H554" s="2"/>
      <c r="I554" s="2"/>
    </row>
    <row r="555" spans="4:9" ht="15.75" customHeight="1" x14ac:dyDescent="0.25">
      <c r="D555" s="2"/>
      <c r="E555" s="2"/>
      <c r="F555" s="2"/>
      <c r="G555" s="2"/>
      <c r="H555" s="2"/>
      <c r="I555" s="2"/>
    </row>
    <row r="556" spans="4:9" ht="15.75" customHeight="1" x14ac:dyDescent="0.25">
      <c r="D556" s="2"/>
      <c r="E556" s="2"/>
      <c r="F556" s="2"/>
      <c r="G556" s="2"/>
      <c r="H556" s="2"/>
      <c r="I556" s="2"/>
    </row>
    <row r="557" spans="4:9" ht="15.75" customHeight="1" x14ac:dyDescent="0.25">
      <c r="D557" s="2"/>
      <c r="E557" s="2"/>
      <c r="F557" s="2"/>
      <c r="G557" s="2"/>
      <c r="H557" s="2"/>
      <c r="I557" s="2"/>
    </row>
    <row r="558" spans="4:9" ht="15.75" customHeight="1" x14ac:dyDescent="0.25">
      <c r="D558" s="2"/>
      <c r="E558" s="2"/>
      <c r="F558" s="2"/>
      <c r="G558" s="2"/>
      <c r="H558" s="2"/>
      <c r="I558" s="2"/>
    </row>
    <row r="559" spans="4:9" ht="15.75" customHeight="1" x14ac:dyDescent="0.25">
      <c r="D559" s="2"/>
      <c r="E559" s="2"/>
      <c r="F559" s="2"/>
      <c r="G559" s="2"/>
      <c r="H559" s="2"/>
      <c r="I559" s="2"/>
    </row>
    <row r="560" spans="4:9" ht="15.75" customHeight="1" x14ac:dyDescent="0.25">
      <c r="D560" s="2"/>
      <c r="E560" s="2"/>
      <c r="F560" s="2"/>
      <c r="G560" s="2"/>
      <c r="H560" s="2"/>
      <c r="I560" s="2"/>
    </row>
    <row r="561" spans="4:9" ht="15.75" customHeight="1" x14ac:dyDescent="0.25">
      <c r="D561" s="2"/>
      <c r="E561" s="2"/>
      <c r="F561" s="2"/>
      <c r="G561" s="2"/>
      <c r="H561" s="2"/>
      <c r="I561" s="2"/>
    </row>
    <row r="562" spans="4:9" ht="15.75" customHeight="1" x14ac:dyDescent="0.25">
      <c r="D562" s="2"/>
      <c r="E562" s="2"/>
      <c r="F562" s="2"/>
      <c r="G562" s="2"/>
      <c r="H562" s="2"/>
      <c r="I562" s="2"/>
    </row>
    <row r="563" spans="4:9" ht="15.75" customHeight="1" x14ac:dyDescent="0.25">
      <c r="D563" s="2"/>
      <c r="E563" s="2"/>
      <c r="F563" s="2"/>
      <c r="G563" s="2"/>
      <c r="H563" s="2"/>
      <c r="I563" s="2"/>
    </row>
    <row r="564" spans="4:9" ht="15.75" customHeight="1" x14ac:dyDescent="0.25">
      <c r="D564" s="2"/>
      <c r="E564" s="2"/>
      <c r="F564" s="2"/>
      <c r="G564" s="2"/>
      <c r="H564" s="2"/>
      <c r="I564" s="2"/>
    </row>
    <row r="565" spans="4:9" ht="15.75" customHeight="1" x14ac:dyDescent="0.25">
      <c r="D565" s="2"/>
      <c r="E565" s="2"/>
      <c r="F565" s="2"/>
      <c r="G565" s="2"/>
      <c r="H565" s="2"/>
      <c r="I565" s="2"/>
    </row>
    <row r="566" spans="4:9" ht="15.75" customHeight="1" x14ac:dyDescent="0.25">
      <c r="D566" s="2"/>
      <c r="E566" s="2"/>
      <c r="F566" s="2"/>
      <c r="G566" s="2"/>
      <c r="H566" s="2"/>
      <c r="I566" s="2"/>
    </row>
    <row r="567" spans="4:9" ht="15.75" customHeight="1" x14ac:dyDescent="0.25">
      <c r="D567" s="2"/>
      <c r="E567" s="2"/>
      <c r="F567" s="2"/>
      <c r="G567" s="2"/>
      <c r="H567" s="2"/>
      <c r="I567" s="2"/>
    </row>
    <row r="568" spans="4:9" ht="15.75" customHeight="1" x14ac:dyDescent="0.25">
      <c r="D568" s="2"/>
      <c r="E568" s="2"/>
      <c r="F568" s="2"/>
      <c r="G568" s="2"/>
      <c r="H568" s="2"/>
      <c r="I568" s="2"/>
    </row>
    <row r="569" spans="4:9" ht="15.75" customHeight="1" x14ac:dyDescent="0.25">
      <c r="D569" s="2"/>
      <c r="E569" s="2"/>
      <c r="F569" s="2"/>
      <c r="G569" s="2"/>
      <c r="H569" s="2"/>
      <c r="I569" s="2"/>
    </row>
    <row r="570" spans="4:9" ht="15.75" customHeight="1" x14ac:dyDescent="0.25">
      <c r="D570" s="2"/>
      <c r="E570" s="2"/>
      <c r="F570" s="2"/>
      <c r="G570" s="2"/>
      <c r="H570" s="2"/>
      <c r="I570" s="2"/>
    </row>
    <row r="571" spans="4:9" ht="15.75" customHeight="1" x14ac:dyDescent="0.25">
      <c r="D571" s="2"/>
      <c r="E571" s="2"/>
      <c r="F571" s="2"/>
      <c r="G571" s="2"/>
      <c r="H571" s="2"/>
      <c r="I571" s="2"/>
    </row>
    <row r="572" spans="4:9" ht="15.75" customHeight="1" x14ac:dyDescent="0.25">
      <c r="D572" s="2"/>
      <c r="E572" s="2"/>
      <c r="F572" s="2"/>
      <c r="G572" s="2"/>
      <c r="H572" s="2"/>
      <c r="I572" s="2"/>
    </row>
    <row r="573" spans="4:9" ht="15.75" customHeight="1" x14ac:dyDescent="0.25">
      <c r="D573" s="2"/>
      <c r="E573" s="2"/>
      <c r="F573" s="2"/>
      <c r="G573" s="2"/>
      <c r="H573" s="2"/>
      <c r="I573" s="2"/>
    </row>
    <row r="574" spans="4:9" ht="15.75" customHeight="1" x14ac:dyDescent="0.25">
      <c r="D574" s="2"/>
      <c r="E574" s="2"/>
      <c r="F574" s="2"/>
      <c r="G574" s="2"/>
      <c r="H574" s="2"/>
      <c r="I574" s="2"/>
    </row>
    <row r="575" spans="4:9" ht="15.75" customHeight="1" x14ac:dyDescent="0.25">
      <c r="D575" s="2"/>
      <c r="E575" s="2"/>
      <c r="F575" s="2"/>
      <c r="G575" s="2"/>
      <c r="H575" s="2"/>
      <c r="I575" s="2"/>
    </row>
    <row r="576" spans="4:9" ht="15.75" customHeight="1" x14ac:dyDescent="0.25">
      <c r="D576" s="2"/>
      <c r="E576" s="2"/>
      <c r="F576" s="2"/>
      <c r="G576" s="2"/>
      <c r="H576" s="2"/>
      <c r="I576" s="2"/>
    </row>
    <row r="577" spans="4:9" ht="15.75" customHeight="1" x14ac:dyDescent="0.25">
      <c r="D577" s="2"/>
      <c r="E577" s="2"/>
      <c r="F577" s="2"/>
      <c r="G577" s="2"/>
      <c r="H577" s="2"/>
      <c r="I577" s="2"/>
    </row>
    <row r="578" spans="4:9" ht="15.75" customHeight="1" x14ac:dyDescent="0.25">
      <c r="D578" s="2"/>
      <c r="E578" s="2"/>
      <c r="F578" s="2"/>
      <c r="G578" s="2"/>
      <c r="H578" s="2"/>
      <c r="I578" s="2"/>
    </row>
    <row r="579" spans="4:9" ht="15.75" customHeight="1" x14ac:dyDescent="0.25">
      <c r="D579" s="2"/>
      <c r="E579" s="2"/>
      <c r="F579" s="2"/>
      <c r="G579" s="2"/>
      <c r="H579" s="2"/>
      <c r="I579" s="2"/>
    </row>
    <row r="580" spans="4:9" ht="15.75" customHeight="1" x14ac:dyDescent="0.25">
      <c r="D580" s="2"/>
      <c r="E580" s="2"/>
      <c r="F580" s="2"/>
      <c r="G580" s="2"/>
      <c r="H580" s="2"/>
      <c r="I580" s="2"/>
    </row>
    <row r="581" spans="4:9" ht="15.75" customHeight="1" x14ac:dyDescent="0.25">
      <c r="D581" s="2"/>
      <c r="E581" s="2"/>
      <c r="F581" s="2"/>
      <c r="G581" s="2"/>
      <c r="H581" s="2"/>
      <c r="I581" s="2"/>
    </row>
    <row r="582" spans="4:9" ht="15.75" customHeight="1" x14ac:dyDescent="0.25">
      <c r="D582" s="2"/>
      <c r="E582" s="2"/>
      <c r="F582" s="2"/>
      <c r="G582" s="2"/>
      <c r="H582" s="2"/>
      <c r="I582" s="2"/>
    </row>
    <row r="583" spans="4:9" ht="15.75" customHeight="1" x14ac:dyDescent="0.25">
      <c r="D583" s="2"/>
      <c r="E583" s="2"/>
      <c r="F583" s="2"/>
      <c r="G583" s="2"/>
      <c r="H583" s="2"/>
      <c r="I583" s="2"/>
    </row>
    <row r="584" spans="4:9" ht="15.75" customHeight="1" x14ac:dyDescent="0.25">
      <c r="D584" s="2"/>
      <c r="E584" s="2"/>
      <c r="F584" s="2"/>
      <c r="G584" s="2"/>
      <c r="H584" s="2"/>
      <c r="I584" s="2"/>
    </row>
    <row r="585" spans="4:9" ht="15.75" customHeight="1" x14ac:dyDescent="0.25">
      <c r="D585" s="2"/>
      <c r="E585" s="2"/>
      <c r="F585" s="2"/>
      <c r="G585" s="2"/>
      <c r="H585" s="2"/>
      <c r="I585" s="2"/>
    </row>
    <row r="586" spans="4:9" ht="15.75" customHeight="1" x14ac:dyDescent="0.25">
      <c r="D586" s="2"/>
      <c r="E586" s="2"/>
      <c r="F586" s="2"/>
      <c r="G586" s="2"/>
      <c r="H586" s="2"/>
      <c r="I586" s="2"/>
    </row>
    <row r="587" spans="4:9" ht="15.75" customHeight="1" x14ac:dyDescent="0.25">
      <c r="D587" s="2"/>
      <c r="E587" s="2"/>
      <c r="F587" s="2"/>
      <c r="G587" s="2"/>
      <c r="H587" s="2"/>
      <c r="I587" s="2"/>
    </row>
    <row r="588" spans="4:9" ht="15.75" customHeight="1" x14ac:dyDescent="0.25">
      <c r="D588" s="2"/>
      <c r="E588" s="2"/>
      <c r="F588" s="2"/>
      <c r="G588" s="2"/>
      <c r="H588" s="2"/>
      <c r="I588" s="2"/>
    </row>
    <row r="589" spans="4:9" ht="15.75" customHeight="1" x14ac:dyDescent="0.25">
      <c r="D589" s="2"/>
      <c r="E589" s="2"/>
      <c r="F589" s="2"/>
      <c r="G589" s="2"/>
      <c r="H589" s="2"/>
      <c r="I589" s="2"/>
    </row>
    <row r="590" spans="4:9" ht="15.75" customHeight="1" x14ac:dyDescent="0.25">
      <c r="D590" s="2"/>
      <c r="E590" s="2"/>
      <c r="F590" s="2"/>
      <c r="G590" s="2"/>
      <c r="H590" s="2"/>
      <c r="I590" s="2"/>
    </row>
    <row r="591" spans="4:9" ht="15.75" customHeight="1" x14ac:dyDescent="0.25">
      <c r="D591" s="2"/>
      <c r="E591" s="2"/>
      <c r="F591" s="2"/>
      <c r="G591" s="2"/>
      <c r="H591" s="2"/>
      <c r="I591" s="2"/>
    </row>
    <row r="592" spans="4:9" ht="15.75" customHeight="1" x14ac:dyDescent="0.25">
      <c r="D592" s="2"/>
      <c r="E592" s="2"/>
      <c r="F592" s="2"/>
      <c r="G592" s="2"/>
      <c r="H592" s="2"/>
      <c r="I592" s="2"/>
    </row>
    <row r="593" spans="4:9" ht="15.75" customHeight="1" x14ac:dyDescent="0.25">
      <c r="D593" s="2"/>
      <c r="E593" s="2"/>
      <c r="F593" s="2"/>
      <c r="G593" s="2"/>
      <c r="H593" s="2"/>
      <c r="I593" s="2"/>
    </row>
    <row r="594" spans="4:9" ht="15.75" customHeight="1" x14ac:dyDescent="0.25">
      <c r="D594" s="2"/>
      <c r="E594" s="2"/>
      <c r="F594" s="2"/>
      <c r="G594" s="2"/>
      <c r="H594" s="2"/>
      <c r="I594" s="2"/>
    </row>
    <row r="595" spans="4:9" ht="15.75" customHeight="1" x14ac:dyDescent="0.25">
      <c r="D595" s="2"/>
      <c r="E595" s="2"/>
      <c r="F595" s="2"/>
      <c r="G595" s="2"/>
      <c r="H595" s="2"/>
      <c r="I595" s="2"/>
    </row>
    <row r="596" spans="4:9" ht="15.75" customHeight="1" x14ac:dyDescent="0.25">
      <c r="D596" s="2"/>
      <c r="E596" s="2"/>
      <c r="F596" s="2"/>
      <c r="G596" s="2"/>
      <c r="H596" s="2"/>
      <c r="I596" s="2"/>
    </row>
    <row r="597" spans="4:9" ht="15.75" customHeight="1" x14ac:dyDescent="0.25">
      <c r="D597" s="2"/>
      <c r="E597" s="2"/>
      <c r="F597" s="2"/>
      <c r="G597" s="2"/>
      <c r="H597" s="2"/>
      <c r="I597" s="2"/>
    </row>
    <row r="598" spans="4:9" ht="15.75" customHeight="1" x14ac:dyDescent="0.25">
      <c r="D598" s="2"/>
      <c r="E598" s="2"/>
      <c r="F598" s="2"/>
      <c r="G598" s="2"/>
      <c r="H598" s="2"/>
      <c r="I598" s="2"/>
    </row>
    <row r="599" spans="4:9" ht="15.75" customHeight="1" x14ac:dyDescent="0.25">
      <c r="D599" s="2"/>
      <c r="E599" s="2"/>
      <c r="F599" s="2"/>
      <c r="G599" s="2"/>
      <c r="H599" s="2"/>
      <c r="I599" s="2"/>
    </row>
    <row r="600" spans="4:9" ht="15.75" customHeight="1" x14ac:dyDescent="0.25">
      <c r="D600" s="2"/>
      <c r="E600" s="2"/>
      <c r="F600" s="2"/>
      <c r="G600" s="2"/>
      <c r="H600" s="2"/>
      <c r="I600" s="2"/>
    </row>
    <row r="601" spans="4:9" ht="15.75" customHeight="1" x14ac:dyDescent="0.25">
      <c r="D601" s="2"/>
      <c r="E601" s="2"/>
      <c r="F601" s="2"/>
      <c r="G601" s="2"/>
      <c r="H601" s="2"/>
      <c r="I601" s="2"/>
    </row>
    <row r="602" spans="4:9" ht="15.75" customHeight="1" x14ac:dyDescent="0.25">
      <c r="D602" s="2"/>
      <c r="E602" s="2"/>
      <c r="F602" s="2"/>
      <c r="G602" s="2"/>
      <c r="H602" s="2"/>
      <c r="I602" s="2"/>
    </row>
    <row r="603" spans="4:9" ht="15.75" customHeight="1" x14ac:dyDescent="0.25">
      <c r="D603" s="2"/>
      <c r="E603" s="2"/>
      <c r="F603" s="2"/>
      <c r="G603" s="2"/>
      <c r="H603" s="2"/>
      <c r="I603" s="2"/>
    </row>
    <row r="604" spans="4:9" ht="15.75" customHeight="1" x14ac:dyDescent="0.25">
      <c r="D604" s="2"/>
      <c r="E604" s="2"/>
      <c r="F604" s="2"/>
      <c r="G604" s="2"/>
      <c r="H604" s="2"/>
      <c r="I604" s="2"/>
    </row>
    <row r="605" spans="4:9" ht="15.75" customHeight="1" x14ac:dyDescent="0.25">
      <c r="D605" s="2"/>
      <c r="E605" s="2"/>
      <c r="F605" s="2"/>
      <c r="G605" s="2"/>
      <c r="H605" s="2"/>
      <c r="I605" s="2"/>
    </row>
    <row r="606" spans="4:9" ht="15.75" customHeight="1" x14ac:dyDescent="0.25">
      <c r="D606" s="2"/>
      <c r="E606" s="2"/>
      <c r="F606" s="2"/>
      <c r="G606" s="2"/>
      <c r="H606" s="2"/>
      <c r="I606" s="2"/>
    </row>
    <row r="607" spans="4:9" ht="15.75" customHeight="1" x14ac:dyDescent="0.25">
      <c r="D607" s="2"/>
      <c r="E607" s="2"/>
      <c r="F607" s="2"/>
      <c r="G607" s="2"/>
      <c r="H607" s="2"/>
      <c r="I607" s="2"/>
    </row>
    <row r="608" spans="4:9" ht="15.75" customHeight="1" x14ac:dyDescent="0.25">
      <c r="D608" s="2"/>
      <c r="E608" s="2"/>
      <c r="F608" s="2"/>
      <c r="G608" s="2"/>
      <c r="H608" s="2"/>
      <c r="I608" s="2"/>
    </row>
    <row r="609" spans="4:9" ht="15.75" customHeight="1" x14ac:dyDescent="0.25">
      <c r="D609" s="2"/>
      <c r="E609" s="2"/>
      <c r="F609" s="2"/>
      <c r="G609" s="2"/>
      <c r="H609" s="2"/>
      <c r="I609" s="2"/>
    </row>
    <row r="610" spans="4:9" ht="15.75" customHeight="1" x14ac:dyDescent="0.25">
      <c r="D610" s="2"/>
      <c r="E610" s="2"/>
      <c r="F610" s="2"/>
      <c r="G610" s="2"/>
      <c r="H610" s="2"/>
      <c r="I610" s="2"/>
    </row>
    <row r="611" spans="4:9" ht="15.75" customHeight="1" x14ac:dyDescent="0.25">
      <c r="D611" s="2"/>
      <c r="E611" s="2"/>
      <c r="F611" s="2"/>
      <c r="G611" s="2"/>
      <c r="H611" s="2"/>
      <c r="I611" s="2"/>
    </row>
    <row r="612" spans="4:9" ht="15.75" customHeight="1" x14ac:dyDescent="0.25">
      <c r="D612" s="2"/>
      <c r="E612" s="2"/>
      <c r="F612" s="2"/>
      <c r="G612" s="2"/>
      <c r="H612" s="2"/>
      <c r="I612" s="2"/>
    </row>
    <row r="613" spans="4:9" ht="15.75" customHeight="1" x14ac:dyDescent="0.25">
      <c r="D613" s="2"/>
      <c r="E613" s="2"/>
      <c r="F613" s="2"/>
      <c r="G613" s="2"/>
      <c r="H613" s="2"/>
      <c r="I613" s="2"/>
    </row>
    <row r="614" spans="4:9" ht="15.75" customHeight="1" x14ac:dyDescent="0.25">
      <c r="D614" s="2"/>
      <c r="E614" s="2"/>
      <c r="F614" s="2"/>
      <c r="G614" s="2"/>
      <c r="H614" s="2"/>
      <c r="I614" s="2"/>
    </row>
    <row r="615" spans="4:9" ht="15.75" customHeight="1" x14ac:dyDescent="0.25">
      <c r="D615" s="2"/>
      <c r="E615" s="2"/>
      <c r="F615" s="2"/>
      <c r="G615" s="2"/>
      <c r="H615" s="2"/>
      <c r="I615" s="2"/>
    </row>
    <row r="616" spans="4:9" ht="15.75" customHeight="1" x14ac:dyDescent="0.25">
      <c r="D616" s="2"/>
      <c r="E616" s="2"/>
      <c r="F616" s="2"/>
      <c r="G616" s="2"/>
      <c r="H616" s="2"/>
      <c r="I616" s="2"/>
    </row>
    <row r="617" spans="4:9" ht="15.75" customHeight="1" x14ac:dyDescent="0.25">
      <c r="D617" s="2"/>
      <c r="E617" s="2"/>
      <c r="F617" s="2"/>
      <c r="G617" s="2"/>
      <c r="H617" s="2"/>
      <c r="I617" s="2"/>
    </row>
    <row r="618" spans="4:9" ht="15.75" customHeight="1" x14ac:dyDescent="0.25">
      <c r="D618" s="2"/>
      <c r="E618" s="2"/>
      <c r="F618" s="2"/>
      <c r="G618" s="2"/>
      <c r="H618" s="2"/>
      <c r="I618" s="2"/>
    </row>
    <row r="619" spans="4:9" ht="15.75" customHeight="1" x14ac:dyDescent="0.25">
      <c r="D619" s="2"/>
      <c r="E619" s="2"/>
      <c r="F619" s="2"/>
      <c r="G619" s="2"/>
      <c r="H619" s="2"/>
      <c r="I619" s="2"/>
    </row>
    <row r="620" spans="4:9" ht="15.75" customHeight="1" x14ac:dyDescent="0.25">
      <c r="D620" s="2"/>
      <c r="E620" s="2"/>
      <c r="F620" s="2"/>
      <c r="G620" s="2"/>
      <c r="H620" s="2"/>
      <c r="I620" s="2"/>
    </row>
    <row r="621" spans="4:9" ht="15.75" customHeight="1" x14ac:dyDescent="0.25">
      <c r="D621" s="2"/>
      <c r="E621" s="2"/>
      <c r="F621" s="2"/>
      <c r="G621" s="2"/>
      <c r="H621" s="2"/>
      <c r="I621" s="2"/>
    </row>
    <row r="622" spans="4:9" ht="15.75" customHeight="1" x14ac:dyDescent="0.25">
      <c r="D622" s="2"/>
      <c r="E622" s="2"/>
      <c r="F622" s="2"/>
      <c r="G622" s="2"/>
      <c r="H622" s="2"/>
      <c r="I622" s="2"/>
    </row>
    <row r="623" spans="4:9" ht="15.75" customHeight="1" x14ac:dyDescent="0.25">
      <c r="D623" s="2"/>
      <c r="E623" s="2"/>
      <c r="F623" s="2"/>
      <c r="G623" s="2"/>
      <c r="H623" s="2"/>
      <c r="I623" s="2"/>
    </row>
    <row r="624" spans="4:9" ht="15.75" customHeight="1" x14ac:dyDescent="0.25">
      <c r="D624" s="2"/>
      <c r="E624" s="2"/>
      <c r="F624" s="2"/>
      <c r="G624" s="2"/>
      <c r="H624" s="2"/>
      <c r="I624" s="2"/>
    </row>
    <row r="625" spans="4:9" ht="15.75" customHeight="1" x14ac:dyDescent="0.25">
      <c r="D625" s="2"/>
      <c r="E625" s="2"/>
      <c r="F625" s="2"/>
      <c r="G625" s="2"/>
      <c r="H625" s="2"/>
      <c r="I625" s="2"/>
    </row>
    <row r="626" spans="4:9" ht="15.75" customHeight="1" x14ac:dyDescent="0.25">
      <c r="D626" s="2"/>
      <c r="E626" s="2"/>
      <c r="F626" s="2"/>
      <c r="G626" s="2"/>
      <c r="H626" s="2"/>
      <c r="I626" s="2"/>
    </row>
    <row r="627" spans="4:9" ht="15.75" customHeight="1" x14ac:dyDescent="0.25">
      <c r="D627" s="2"/>
      <c r="E627" s="2"/>
      <c r="F627" s="2"/>
      <c r="G627" s="2"/>
      <c r="H627" s="2"/>
      <c r="I627" s="2"/>
    </row>
    <row r="628" spans="4:9" ht="15.75" customHeight="1" x14ac:dyDescent="0.25">
      <c r="D628" s="2"/>
      <c r="E628" s="2"/>
      <c r="F628" s="2"/>
      <c r="G628" s="2"/>
      <c r="H628" s="2"/>
      <c r="I628" s="2"/>
    </row>
    <row r="629" spans="4:9" ht="15.75" customHeight="1" x14ac:dyDescent="0.25">
      <c r="D629" s="2"/>
      <c r="E629" s="2"/>
      <c r="F629" s="2"/>
      <c r="G629" s="2"/>
      <c r="H629" s="2"/>
      <c r="I629" s="2"/>
    </row>
    <row r="630" spans="4:9" ht="15.75" customHeight="1" x14ac:dyDescent="0.25">
      <c r="D630" s="2"/>
      <c r="E630" s="2"/>
      <c r="F630" s="2"/>
      <c r="G630" s="2"/>
      <c r="H630" s="2"/>
      <c r="I630" s="2"/>
    </row>
    <row r="631" spans="4:9" ht="15.75" customHeight="1" x14ac:dyDescent="0.25">
      <c r="D631" s="2"/>
      <c r="E631" s="2"/>
      <c r="F631" s="2"/>
      <c r="G631" s="2"/>
      <c r="H631" s="2"/>
      <c r="I631" s="2"/>
    </row>
    <row r="632" spans="4:9" ht="15.75" customHeight="1" x14ac:dyDescent="0.25">
      <c r="D632" s="2"/>
      <c r="E632" s="2"/>
      <c r="F632" s="2"/>
      <c r="G632" s="2"/>
      <c r="H632" s="2"/>
      <c r="I632" s="2"/>
    </row>
    <row r="633" spans="4:9" ht="15.75" customHeight="1" x14ac:dyDescent="0.25">
      <c r="D633" s="2"/>
      <c r="E633" s="2"/>
      <c r="F633" s="2"/>
      <c r="G633" s="2"/>
      <c r="H633" s="2"/>
      <c r="I633" s="2"/>
    </row>
    <row r="634" spans="4:9" ht="15.75" customHeight="1" x14ac:dyDescent="0.25">
      <c r="D634" s="2"/>
      <c r="E634" s="2"/>
      <c r="F634" s="2"/>
      <c r="G634" s="2"/>
      <c r="H634" s="2"/>
      <c r="I634" s="2"/>
    </row>
    <row r="635" spans="4:9" ht="15.75" customHeight="1" x14ac:dyDescent="0.25">
      <c r="D635" s="2"/>
      <c r="E635" s="2"/>
      <c r="F635" s="2"/>
      <c r="G635" s="2"/>
      <c r="H635" s="2"/>
      <c r="I635" s="2"/>
    </row>
    <row r="636" spans="4:9" ht="15.75" customHeight="1" x14ac:dyDescent="0.25">
      <c r="D636" s="2"/>
      <c r="E636" s="2"/>
      <c r="F636" s="2"/>
      <c r="G636" s="2"/>
      <c r="H636" s="2"/>
      <c r="I636" s="2"/>
    </row>
    <row r="637" spans="4:9" ht="15.75" customHeight="1" x14ac:dyDescent="0.25">
      <c r="D637" s="2"/>
      <c r="E637" s="2"/>
      <c r="F637" s="2"/>
      <c r="G637" s="2"/>
      <c r="H637" s="2"/>
      <c r="I637" s="2"/>
    </row>
    <row r="638" spans="4:9" ht="15.75" customHeight="1" x14ac:dyDescent="0.25">
      <c r="D638" s="2"/>
      <c r="E638" s="2"/>
      <c r="F638" s="2"/>
      <c r="G638" s="2"/>
      <c r="H638" s="2"/>
      <c r="I638" s="2"/>
    </row>
    <row r="639" spans="4:9" ht="15.75" customHeight="1" x14ac:dyDescent="0.25">
      <c r="D639" s="2"/>
      <c r="E639" s="2"/>
      <c r="F639" s="2"/>
      <c r="G639" s="2"/>
      <c r="H639" s="2"/>
      <c r="I639" s="2"/>
    </row>
    <row r="640" spans="4:9" ht="15.75" customHeight="1" x14ac:dyDescent="0.25">
      <c r="D640" s="2"/>
      <c r="E640" s="2"/>
      <c r="F640" s="2"/>
      <c r="G640" s="2"/>
      <c r="H640" s="2"/>
      <c r="I640" s="2"/>
    </row>
    <row r="641" spans="4:9" ht="15.75" customHeight="1" x14ac:dyDescent="0.25">
      <c r="D641" s="2"/>
      <c r="E641" s="2"/>
      <c r="F641" s="2"/>
      <c r="G641" s="2"/>
      <c r="H641" s="2"/>
      <c r="I641" s="2"/>
    </row>
    <row r="642" spans="4:9" ht="15.75" customHeight="1" x14ac:dyDescent="0.25">
      <c r="D642" s="2"/>
      <c r="E642" s="2"/>
      <c r="F642" s="2"/>
      <c r="G642" s="2"/>
      <c r="H642" s="2"/>
      <c r="I642" s="2"/>
    </row>
    <row r="643" spans="4:9" ht="15.75" customHeight="1" x14ac:dyDescent="0.25">
      <c r="D643" s="2"/>
      <c r="E643" s="2"/>
      <c r="F643" s="2"/>
      <c r="G643" s="2"/>
      <c r="H643" s="2"/>
      <c r="I643" s="2"/>
    </row>
    <row r="644" spans="4:9" ht="15.75" customHeight="1" x14ac:dyDescent="0.25">
      <c r="D644" s="2"/>
      <c r="E644" s="2"/>
      <c r="F644" s="2"/>
      <c r="G644" s="2"/>
      <c r="H644" s="2"/>
      <c r="I644" s="2"/>
    </row>
    <row r="645" spans="4:9" ht="15.75" customHeight="1" x14ac:dyDescent="0.25">
      <c r="D645" s="2"/>
      <c r="E645" s="2"/>
      <c r="F645" s="2"/>
      <c r="G645" s="2"/>
      <c r="H645" s="2"/>
      <c r="I645" s="2"/>
    </row>
    <row r="646" spans="4:9" ht="15.75" customHeight="1" x14ac:dyDescent="0.25">
      <c r="D646" s="2"/>
      <c r="E646" s="2"/>
      <c r="F646" s="2"/>
      <c r="G646" s="2"/>
      <c r="H646" s="2"/>
      <c r="I646" s="2"/>
    </row>
    <row r="647" spans="4:9" ht="15.75" customHeight="1" x14ac:dyDescent="0.25">
      <c r="D647" s="2"/>
      <c r="E647" s="2"/>
      <c r="F647" s="2"/>
      <c r="G647" s="2"/>
      <c r="H647" s="2"/>
      <c r="I647" s="2"/>
    </row>
    <row r="648" spans="4:9" ht="15.75" customHeight="1" x14ac:dyDescent="0.25">
      <c r="D648" s="2"/>
      <c r="E648" s="2"/>
      <c r="F648" s="2"/>
      <c r="G648" s="2"/>
      <c r="H648" s="2"/>
      <c r="I648" s="2"/>
    </row>
    <row r="649" spans="4:9" ht="15.75" customHeight="1" x14ac:dyDescent="0.25">
      <c r="D649" s="2"/>
      <c r="E649" s="2"/>
      <c r="F649" s="2"/>
      <c r="G649" s="2"/>
      <c r="H649" s="2"/>
      <c r="I649" s="2"/>
    </row>
    <row r="650" spans="4:9" ht="15.75" customHeight="1" x14ac:dyDescent="0.25">
      <c r="D650" s="2"/>
      <c r="E650" s="2"/>
      <c r="F650" s="2"/>
      <c r="G650" s="2"/>
      <c r="H650" s="2"/>
      <c r="I650" s="2"/>
    </row>
    <row r="651" spans="4:9" ht="15.75" customHeight="1" x14ac:dyDescent="0.25">
      <c r="D651" s="2"/>
      <c r="E651" s="2"/>
      <c r="F651" s="2"/>
      <c r="G651" s="2"/>
      <c r="H651" s="2"/>
      <c r="I651" s="2"/>
    </row>
    <row r="652" spans="4:9" ht="15.75" customHeight="1" x14ac:dyDescent="0.25">
      <c r="D652" s="2"/>
      <c r="E652" s="2"/>
      <c r="F652" s="2"/>
      <c r="G652" s="2"/>
      <c r="H652" s="2"/>
      <c r="I652" s="2"/>
    </row>
    <row r="653" spans="4:9" ht="15.75" customHeight="1" x14ac:dyDescent="0.25">
      <c r="D653" s="2"/>
      <c r="E653" s="2"/>
      <c r="F653" s="2"/>
      <c r="G653" s="2"/>
      <c r="H653" s="2"/>
      <c r="I653" s="2"/>
    </row>
    <row r="654" spans="4:9" ht="15.75" customHeight="1" x14ac:dyDescent="0.25">
      <c r="D654" s="2"/>
      <c r="E654" s="2"/>
      <c r="F654" s="2"/>
      <c r="G654" s="2"/>
      <c r="H654" s="2"/>
      <c r="I654" s="2"/>
    </row>
    <row r="655" spans="4:9" ht="15.75" customHeight="1" x14ac:dyDescent="0.25">
      <c r="D655" s="2"/>
      <c r="E655" s="2"/>
      <c r="F655" s="2"/>
      <c r="G655" s="2"/>
      <c r="H655" s="2"/>
      <c r="I655" s="2"/>
    </row>
    <row r="656" spans="4:9" ht="15.75" customHeight="1" x14ac:dyDescent="0.25">
      <c r="D656" s="2"/>
      <c r="E656" s="2"/>
      <c r="F656" s="2"/>
      <c r="G656" s="2"/>
      <c r="H656" s="2"/>
      <c r="I656" s="2"/>
    </row>
    <row r="657" spans="4:9" ht="15.75" customHeight="1" x14ac:dyDescent="0.25">
      <c r="D657" s="2"/>
      <c r="E657" s="2"/>
      <c r="F657" s="2"/>
      <c r="G657" s="2"/>
      <c r="H657" s="2"/>
      <c r="I657" s="2"/>
    </row>
    <row r="658" spans="4:9" ht="15.75" customHeight="1" x14ac:dyDescent="0.25">
      <c r="D658" s="2"/>
      <c r="E658" s="2"/>
      <c r="F658" s="2"/>
      <c r="G658" s="2"/>
      <c r="H658" s="2"/>
      <c r="I658" s="2"/>
    </row>
    <row r="659" spans="4:9" ht="15.75" customHeight="1" x14ac:dyDescent="0.25">
      <c r="D659" s="2"/>
      <c r="E659" s="2"/>
      <c r="F659" s="2"/>
      <c r="G659" s="2"/>
      <c r="H659" s="2"/>
      <c r="I659" s="2"/>
    </row>
    <row r="660" spans="4:9" ht="15.75" customHeight="1" x14ac:dyDescent="0.25">
      <c r="D660" s="2"/>
      <c r="E660" s="2"/>
      <c r="F660" s="2"/>
      <c r="G660" s="2"/>
      <c r="H660" s="2"/>
      <c r="I660" s="2"/>
    </row>
    <row r="661" spans="4:9" ht="15.75" customHeight="1" x14ac:dyDescent="0.25">
      <c r="D661" s="2"/>
      <c r="E661" s="2"/>
      <c r="F661" s="2"/>
      <c r="G661" s="2"/>
      <c r="H661" s="2"/>
      <c r="I661" s="2"/>
    </row>
    <row r="662" spans="4:9" ht="15.75" customHeight="1" x14ac:dyDescent="0.25">
      <c r="D662" s="2"/>
      <c r="E662" s="2"/>
      <c r="F662" s="2"/>
      <c r="G662" s="2"/>
      <c r="H662" s="2"/>
      <c r="I662" s="2"/>
    </row>
    <row r="663" spans="4:9" ht="15.75" customHeight="1" x14ac:dyDescent="0.25">
      <c r="D663" s="2"/>
      <c r="E663" s="2"/>
      <c r="F663" s="2"/>
      <c r="G663" s="2"/>
      <c r="H663" s="2"/>
      <c r="I663" s="2"/>
    </row>
    <row r="664" spans="4:9" ht="15.75" customHeight="1" x14ac:dyDescent="0.25">
      <c r="D664" s="2"/>
      <c r="E664" s="2"/>
      <c r="F664" s="2"/>
      <c r="G664" s="2"/>
      <c r="H664" s="2"/>
      <c r="I664" s="2"/>
    </row>
    <row r="665" spans="4:9" ht="15.75" customHeight="1" x14ac:dyDescent="0.25">
      <c r="D665" s="2"/>
      <c r="E665" s="2"/>
      <c r="F665" s="2"/>
      <c r="G665" s="2"/>
      <c r="H665" s="2"/>
      <c r="I665" s="2"/>
    </row>
    <row r="666" spans="4:9" ht="15.75" customHeight="1" x14ac:dyDescent="0.25">
      <c r="D666" s="2"/>
      <c r="E666" s="2"/>
      <c r="F666" s="2"/>
      <c r="G666" s="2"/>
      <c r="H666" s="2"/>
      <c r="I666" s="2"/>
    </row>
    <row r="667" spans="4:9" ht="15.75" customHeight="1" x14ac:dyDescent="0.25">
      <c r="D667" s="2"/>
      <c r="E667" s="2"/>
      <c r="F667" s="2"/>
      <c r="G667" s="2"/>
      <c r="H667" s="2"/>
      <c r="I667" s="2"/>
    </row>
    <row r="668" spans="4:9" ht="15.75" customHeight="1" x14ac:dyDescent="0.25">
      <c r="D668" s="2"/>
      <c r="E668" s="2"/>
      <c r="F668" s="2"/>
      <c r="G668" s="2"/>
      <c r="H668" s="2"/>
      <c r="I668" s="2"/>
    </row>
    <row r="669" spans="4:9" ht="15.75" customHeight="1" x14ac:dyDescent="0.25">
      <c r="D669" s="2"/>
      <c r="E669" s="2"/>
      <c r="F669" s="2"/>
      <c r="G669" s="2"/>
      <c r="H669" s="2"/>
      <c r="I669" s="2"/>
    </row>
    <row r="670" spans="4:9" ht="15.75" customHeight="1" x14ac:dyDescent="0.25">
      <c r="D670" s="2"/>
      <c r="E670" s="2"/>
      <c r="F670" s="2"/>
      <c r="G670" s="2"/>
      <c r="H670" s="2"/>
      <c r="I670" s="2"/>
    </row>
    <row r="671" spans="4:9" ht="15.75" customHeight="1" x14ac:dyDescent="0.25">
      <c r="D671" s="2"/>
      <c r="E671" s="2"/>
      <c r="F671" s="2"/>
      <c r="G671" s="2"/>
      <c r="H671" s="2"/>
      <c r="I671" s="2"/>
    </row>
    <row r="672" spans="4:9" ht="15.75" customHeight="1" x14ac:dyDescent="0.25">
      <c r="D672" s="2"/>
      <c r="E672" s="2"/>
      <c r="F672" s="2"/>
      <c r="G672" s="2"/>
      <c r="H672" s="2"/>
      <c r="I672" s="2"/>
    </row>
    <row r="673" spans="4:9" ht="15.75" customHeight="1" x14ac:dyDescent="0.25">
      <c r="D673" s="2"/>
      <c r="E673" s="2"/>
      <c r="F673" s="2"/>
      <c r="G673" s="2"/>
      <c r="H673" s="2"/>
      <c r="I673" s="2"/>
    </row>
    <row r="674" spans="4:9" ht="15.75" customHeight="1" x14ac:dyDescent="0.25">
      <c r="D674" s="2"/>
      <c r="E674" s="2"/>
      <c r="F674" s="2"/>
      <c r="G674" s="2"/>
      <c r="H674" s="2"/>
      <c r="I674" s="2"/>
    </row>
    <row r="675" spans="4:9" ht="15.75" customHeight="1" x14ac:dyDescent="0.25">
      <c r="D675" s="2"/>
      <c r="E675" s="2"/>
      <c r="F675" s="2"/>
      <c r="G675" s="2"/>
      <c r="H675" s="2"/>
      <c r="I675" s="2"/>
    </row>
    <row r="676" spans="4:9" ht="15.75" customHeight="1" x14ac:dyDescent="0.25">
      <c r="D676" s="2"/>
      <c r="E676" s="2"/>
      <c r="F676" s="2"/>
      <c r="G676" s="2"/>
      <c r="H676" s="2"/>
      <c r="I676" s="2"/>
    </row>
    <row r="677" spans="4:9" ht="15.75" customHeight="1" x14ac:dyDescent="0.25">
      <c r="D677" s="2"/>
      <c r="E677" s="2"/>
      <c r="F677" s="2"/>
      <c r="G677" s="2"/>
      <c r="H677" s="2"/>
      <c r="I677" s="2"/>
    </row>
    <row r="678" spans="4:9" ht="15.75" customHeight="1" x14ac:dyDescent="0.25">
      <c r="D678" s="2"/>
      <c r="E678" s="2"/>
      <c r="F678" s="2"/>
      <c r="G678" s="2"/>
      <c r="H678" s="2"/>
      <c r="I678" s="2"/>
    </row>
    <row r="679" spans="4:9" ht="15.75" customHeight="1" x14ac:dyDescent="0.25">
      <c r="D679" s="2"/>
      <c r="E679" s="2"/>
      <c r="F679" s="2"/>
      <c r="G679" s="2"/>
      <c r="H679" s="2"/>
      <c r="I679" s="2"/>
    </row>
    <row r="680" spans="4:9" ht="15.75" customHeight="1" x14ac:dyDescent="0.25">
      <c r="D680" s="2"/>
      <c r="E680" s="2"/>
      <c r="F680" s="2"/>
      <c r="G680" s="2"/>
      <c r="H680" s="2"/>
      <c r="I680" s="2"/>
    </row>
    <row r="681" spans="4:9" ht="15.75" customHeight="1" x14ac:dyDescent="0.25">
      <c r="D681" s="2"/>
      <c r="E681" s="2"/>
      <c r="F681" s="2"/>
      <c r="G681" s="2"/>
      <c r="H681" s="2"/>
      <c r="I681" s="2"/>
    </row>
    <row r="682" spans="4:9" ht="15.75" customHeight="1" x14ac:dyDescent="0.25">
      <c r="D682" s="2"/>
      <c r="E682" s="2"/>
      <c r="F682" s="2"/>
      <c r="G682" s="2"/>
      <c r="H682" s="2"/>
      <c r="I682" s="2"/>
    </row>
    <row r="683" spans="4:9" ht="15.75" customHeight="1" x14ac:dyDescent="0.25">
      <c r="D683" s="2"/>
      <c r="E683" s="2"/>
      <c r="F683" s="2"/>
      <c r="G683" s="2"/>
      <c r="H683" s="2"/>
      <c r="I683" s="2"/>
    </row>
    <row r="684" spans="4:9" ht="15.75" customHeight="1" x14ac:dyDescent="0.25">
      <c r="D684" s="2"/>
      <c r="E684" s="2"/>
      <c r="F684" s="2"/>
      <c r="G684" s="2"/>
      <c r="H684" s="2"/>
      <c r="I684" s="2"/>
    </row>
    <row r="685" spans="4:9" ht="15.75" customHeight="1" x14ac:dyDescent="0.25">
      <c r="D685" s="2"/>
      <c r="E685" s="2"/>
      <c r="F685" s="2"/>
      <c r="G685" s="2"/>
      <c r="H685" s="2"/>
      <c r="I685" s="2"/>
    </row>
    <row r="686" spans="4:9" ht="15.75" customHeight="1" x14ac:dyDescent="0.25">
      <c r="D686" s="2"/>
      <c r="E686" s="2"/>
      <c r="F686" s="2"/>
      <c r="G686" s="2"/>
      <c r="H686" s="2"/>
      <c r="I686" s="2"/>
    </row>
    <row r="687" spans="4:9" ht="15.75" customHeight="1" x14ac:dyDescent="0.25">
      <c r="D687" s="2"/>
      <c r="E687" s="2"/>
      <c r="F687" s="2"/>
      <c r="G687" s="2"/>
      <c r="H687" s="2"/>
      <c r="I687" s="2"/>
    </row>
    <row r="688" spans="4:9" ht="15.75" customHeight="1" x14ac:dyDescent="0.25">
      <c r="D688" s="2"/>
      <c r="E688" s="2"/>
      <c r="F688" s="2"/>
      <c r="G688" s="2"/>
      <c r="H688" s="2"/>
      <c r="I688" s="2"/>
    </row>
    <row r="689" spans="4:9" ht="15.75" customHeight="1" x14ac:dyDescent="0.25">
      <c r="D689" s="2"/>
      <c r="E689" s="2"/>
      <c r="F689" s="2"/>
      <c r="G689" s="2"/>
      <c r="H689" s="2"/>
      <c r="I689" s="2"/>
    </row>
    <row r="690" spans="4:9" ht="15.75" customHeight="1" x14ac:dyDescent="0.25">
      <c r="D690" s="2"/>
      <c r="E690" s="2"/>
      <c r="F690" s="2"/>
      <c r="G690" s="2"/>
      <c r="H690" s="2"/>
      <c r="I690" s="2"/>
    </row>
    <row r="691" spans="4:9" ht="15.75" customHeight="1" x14ac:dyDescent="0.25">
      <c r="D691" s="2"/>
      <c r="E691" s="2"/>
      <c r="F691" s="2"/>
      <c r="G691" s="2"/>
      <c r="H691" s="2"/>
      <c r="I691" s="2"/>
    </row>
    <row r="692" spans="4:9" ht="15.75" customHeight="1" x14ac:dyDescent="0.25">
      <c r="D692" s="2"/>
      <c r="E692" s="2"/>
      <c r="F692" s="2"/>
      <c r="G692" s="2"/>
      <c r="H692" s="2"/>
      <c r="I692" s="2"/>
    </row>
    <row r="693" spans="4:9" ht="15.75" customHeight="1" x14ac:dyDescent="0.25">
      <c r="D693" s="2"/>
      <c r="E693" s="2"/>
      <c r="F693" s="2"/>
      <c r="G693" s="2"/>
      <c r="H693" s="2"/>
      <c r="I693" s="2"/>
    </row>
    <row r="694" spans="4:9" ht="15.75" customHeight="1" x14ac:dyDescent="0.25">
      <c r="D694" s="2"/>
      <c r="E694" s="2"/>
      <c r="F694" s="2"/>
      <c r="G694" s="2"/>
      <c r="H694" s="2"/>
      <c r="I694" s="2"/>
    </row>
    <row r="695" spans="4:9" ht="15.75" customHeight="1" x14ac:dyDescent="0.25">
      <c r="D695" s="2"/>
      <c r="E695" s="2"/>
      <c r="F695" s="2"/>
      <c r="G695" s="2"/>
      <c r="H695" s="2"/>
      <c r="I695" s="2"/>
    </row>
    <row r="696" spans="4:9" ht="15.75" customHeight="1" x14ac:dyDescent="0.25">
      <c r="D696" s="2"/>
      <c r="E696" s="2"/>
      <c r="F696" s="2"/>
      <c r="G696" s="2"/>
      <c r="H696" s="2"/>
      <c r="I696" s="2"/>
    </row>
    <row r="697" spans="4:9" ht="15.75" customHeight="1" x14ac:dyDescent="0.25">
      <c r="D697" s="2"/>
      <c r="E697" s="2"/>
      <c r="F697" s="2"/>
      <c r="G697" s="2"/>
      <c r="H697" s="2"/>
      <c r="I697" s="2"/>
    </row>
    <row r="698" spans="4:9" ht="15.75" customHeight="1" x14ac:dyDescent="0.25">
      <c r="D698" s="2"/>
      <c r="E698" s="2"/>
      <c r="F698" s="2"/>
      <c r="G698" s="2"/>
      <c r="H698" s="2"/>
      <c r="I698" s="2"/>
    </row>
    <row r="699" spans="4:9" ht="15.75" customHeight="1" x14ac:dyDescent="0.25">
      <c r="D699" s="2"/>
      <c r="E699" s="2"/>
      <c r="F699" s="2"/>
      <c r="G699" s="2"/>
      <c r="H699" s="2"/>
      <c r="I699" s="2"/>
    </row>
    <row r="700" spans="4:9" ht="15.75" customHeight="1" x14ac:dyDescent="0.25">
      <c r="D700" s="2"/>
      <c r="E700" s="2"/>
      <c r="F700" s="2"/>
      <c r="G700" s="2"/>
      <c r="H700" s="2"/>
      <c r="I700" s="2"/>
    </row>
    <row r="701" spans="4:9" ht="15.75" customHeight="1" x14ac:dyDescent="0.25">
      <c r="D701" s="2"/>
      <c r="E701" s="2"/>
      <c r="F701" s="2"/>
      <c r="G701" s="2"/>
      <c r="H701" s="2"/>
      <c r="I701" s="2"/>
    </row>
    <row r="702" spans="4:9" ht="15.75" customHeight="1" x14ac:dyDescent="0.25">
      <c r="D702" s="2"/>
      <c r="E702" s="2"/>
      <c r="F702" s="2"/>
      <c r="G702" s="2"/>
      <c r="H702" s="2"/>
      <c r="I702" s="2"/>
    </row>
    <row r="703" spans="4:9" ht="15.75" customHeight="1" x14ac:dyDescent="0.25">
      <c r="D703" s="2"/>
      <c r="E703" s="2"/>
      <c r="F703" s="2"/>
      <c r="G703" s="2"/>
      <c r="H703" s="2"/>
      <c r="I703" s="2"/>
    </row>
    <row r="704" spans="4:9" ht="15.75" customHeight="1" x14ac:dyDescent="0.25">
      <c r="D704" s="2"/>
      <c r="E704" s="2"/>
      <c r="F704" s="2"/>
      <c r="G704" s="2"/>
      <c r="H704" s="2"/>
      <c r="I704" s="2"/>
    </row>
    <row r="705" spans="4:9" ht="15.75" customHeight="1" x14ac:dyDescent="0.25">
      <c r="D705" s="2"/>
      <c r="E705" s="2"/>
      <c r="F705" s="2"/>
      <c r="G705" s="2"/>
      <c r="H705" s="2"/>
      <c r="I705" s="2"/>
    </row>
    <row r="706" spans="4:9" ht="15.75" customHeight="1" x14ac:dyDescent="0.25">
      <c r="D706" s="2"/>
      <c r="E706" s="2"/>
      <c r="F706" s="2"/>
      <c r="G706" s="2"/>
      <c r="H706" s="2"/>
      <c r="I706" s="2"/>
    </row>
    <row r="707" spans="4:9" ht="15.75" customHeight="1" x14ac:dyDescent="0.25">
      <c r="D707" s="2"/>
      <c r="E707" s="2"/>
      <c r="F707" s="2"/>
      <c r="G707" s="2"/>
      <c r="H707" s="2"/>
      <c r="I707" s="2"/>
    </row>
    <row r="708" spans="4:9" ht="15.75" customHeight="1" x14ac:dyDescent="0.25">
      <c r="D708" s="2"/>
      <c r="E708" s="2"/>
      <c r="F708" s="2"/>
      <c r="G708" s="2"/>
      <c r="H708" s="2"/>
      <c r="I708" s="2"/>
    </row>
    <row r="709" spans="4:9" ht="15.75" customHeight="1" x14ac:dyDescent="0.25">
      <c r="D709" s="2"/>
      <c r="E709" s="2"/>
      <c r="F709" s="2"/>
      <c r="G709" s="2"/>
      <c r="H709" s="2"/>
      <c r="I709" s="2"/>
    </row>
    <row r="710" spans="4:9" ht="15.75" customHeight="1" x14ac:dyDescent="0.25">
      <c r="D710" s="2"/>
      <c r="E710" s="2"/>
      <c r="F710" s="2"/>
      <c r="G710" s="2"/>
      <c r="H710" s="2"/>
      <c r="I710" s="2"/>
    </row>
    <row r="711" spans="4:9" ht="15.75" customHeight="1" x14ac:dyDescent="0.25">
      <c r="D711" s="2"/>
      <c r="E711" s="2"/>
      <c r="F711" s="2"/>
      <c r="G711" s="2"/>
      <c r="H711" s="2"/>
      <c r="I711" s="2"/>
    </row>
    <row r="712" spans="4:9" ht="15.75" customHeight="1" x14ac:dyDescent="0.25">
      <c r="D712" s="2"/>
      <c r="E712" s="2"/>
      <c r="F712" s="2"/>
      <c r="G712" s="2"/>
      <c r="H712" s="2"/>
      <c r="I712" s="2"/>
    </row>
    <row r="713" spans="4:9" ht="15.75" customHeight="1" x14ac:dyDescent="0.25">
      <c r="D713" s="2"/>
      <c r="E713" s="2"/>
      <c r="F713" s="2"/>
      <c r="G713" s="2"/>
      <c r="H713" s="2"/>
      <c r="I713" s="2"/>
    </row>
    <row r="714" spans="4:9" ht="15.75" customHeight="1" x14ac:dyDescent="0.25">
      <c r="D714" s="2"/>
      <c r="E714" s="2"/>
      <c r="F714" s="2"/>
      <c r="G714" s="2"/>
      <c r="H714" s="2"/>
      <c r="I714" s="2"/>
    </row>
    <row r="715" spans="4:9" ht="15.75" customHeight="1" x14ac:dyDescent="0.25">
      <c r="D715" s="2"/>
      <c r="E715" s="2"/>
      <c r="F715" s="2"/>
      <c r="G715" s="2"/>
      <c r="H715" s="2"/>
      <c r="I715" s="2"/>
    </row>
    <row r="716" spans="4:9" ht="15.75" customHeight="1" x14ac:dyDescent="0.25">
      <c r="D716" s="2"/>
      <c r="E716" s="2"/>
      <c r="F716" s="2"/>
      <c r="G716" s="2"/>
      <c r="H716" s="2"/>
      <c r="I716" s="2"/>
    </row>
    <row r="717" spans="4:9" ht="15.75" customHeight="1" x14ac:dyDescent="0.25">
      <c r="D717" s="2"/>
      <c r="E717" s="2"/>
      <c r="F717" s="2"/>
      <c r="G717" s="2"/>
      <c r="H717" s="2"/>
      <c r="I717" s="2"/>
    </row>
    <row r="718" spans="4:9" ht="15.75" customHeight="1" x14ac:dyDescent="0.25">
      <c r="D718" s="2"/>
      <c r="E718" s="2"/>
      <c r="F718" s="2"/>
      <c r="G718" s="2"/>
      <c r="H718" s="2"/>
      <c r="I718" s="2"/>
    </row>
    <row r="719" spans="4:9" ht="15.75" customHeight="1" x14ac:dyDescent="0.25">
      <c r="D719" s="2"/>
      <c r="E719" s="2"/>
      <c r="F719" s="2"/>
      <c r="G719" s="2"/>
      <c r="H719" s="2"/>
      <c r="I719" s="2"/>
    </row>
    <row r="720" spans="4:9" ht="15.75" customHeight="1" x14ac:dyDescent="0.25">
      <c r="D720" s="2"/>
      <c r="E720" s="2"/>
      <c r="F720" s="2"/>
      <c r="G720" s="2"/>
      <c r="H720" s="2"/>
      <c r="I720" s="2"/>
    </row>
    <row r="721" spans="4:9" ht="15.75" customHeight="1" x14ac:dyDescent="0.25">
      <c r="D721" s="2"/>
      <c r="E721" s="2"/>
      <c r="F721" s="2"/>
      <c r="G721" s="2"/>
      <c r="H721" s="2"/>
      <c r="I721" s="2"/>
    </row>
    <row r="722" spans="4:9" ht="15.75" customHeight="1" x14ac:dyDescent="0.25">
      <c r="D722" s="2"/>
      <c r="E722" s="2"/>
      <c r="F722" s="2"/>
      <c r="G722" s="2"/>
      <c r="H722" s="2"/>
      <c r="I722" s="2"/>
    </row>
    <row r="723" spans="4:9" ht="15.75" customHeight="1" x14ac:dyDescent="0.25">
      <c r="D723" s="2"/>
      <c r="E723" s="2"/>
      <c r="F723" s="2"/>
      <c r="G723" s="2"/>
      <c r="H723" s="2"/>
      <c r="I723" s="2"/>
    </row>
    <row r="724" spans="4:9" ht="15.75" customHeight="1" x14ac:dyDescent="0.25">
      <c r="D724" s="2"/>
      <c r="E724" s="2"/>
      <c r="F724" s="2"/>
      <c r="G724" s="2"/>
      <c r="H724" s="2"/>
      <c r="I724" s="2"/>
    </row>
    <row r="725" spans="4:9" ht="15.75" customHeight="1" x14ac:dyDescent="0.25">
      <c r="D725" s="2"/>
      <c r="E725" s="2"/>
      <c r="F725" s="2"/>
      <c r="G725" s="2"/>
      <c r="H725" s="2"/>
      <c r="I725" s="2"/>
    </row>
    <row r="726" spans="4:9" ht="15.75" customHeight="1" x14ac:dyDescent="0.25">
      <c r="D726" s="2"/>
      <c r="E726" s="2"/>
      <c r="F726" s="2"/>
      <c r="G726" s="2"/>
      <c r="H726" s="2"/>
      <c r="I726" s="2"/>
    </row>
    <row r="727" spans="4:9" ht="15.75" customHeight="1" x14ac:dyDescent="0.25">
      <c r="D727" s="2"/>
      <c r="E727" s="2"/>
      <c r="F727" s="2"/>
      <c r="G727" s="2"/>
      <c r="H727" s="2"/>
      <c r="I727" s="2"/>
    </row>
    <row r="728" spans="4:9" ht="15.75" customHeight="1" x14ac:dyDescent="0.25">
      <c r="D728" s="2"/>
      <c r="E728" s="2"/>
      <c r="F728" s="2"/>
      <c r="G728" s="2"/>
      <c r="H728" s="2"/>
      <c r="I728" s="2"/>
    </row>
    <row r="729" spans="4:9" ht="15.75" customHeight="1" x14ac:dyDescent="0.25">
      <c r="D729" s="2"/>
      <c r="E729" s="2"/>
      <c r="F729" s="2"/>
      <c r="G729" s="2"/>
      <c r="H729" s="2"/>
      <c r="I729" s="2"/>
    </row>
    <row r="730" spans="4:9" ht="15.75" customHeight="1" x14ac:dyDescent="0.25">
      <c r="D730" s="2"/>
      <c r="E730" s="2"/>
      <c r="F730" s="2"/>
      <c r="G730" s="2"/>
      <c r="H730" s="2"/>
      <c r="I730" s="2"/>
    </row>
    <row r="731" spans="4:9" ht="15.75" customHeight="1" x14ac:dyDescent="0.25">
      <c r="D731" s="2"/>
      <c r="E731" s="2"/>
      <c r="F731" s="2"/>
      <c r="G731" s="2"/>
      <c r="H731" s="2"/>
      <c r="I731" s="2"/>
    </row>
    <row r="732" spans="4:9" ht="15.75" customHeight="1" x14ac:dyDescent="0.25">
      <c r="D732" s="2"/>
      <c r="E732" s="2"/>
      <c r="F732" s="2"/>
      <c r="G732" s="2"/>
      <c r="H732" s="2"/>
      <c r="I732" s="2"/>
    </row>
    <row r="733" spans="4:9" ht="15.75" customHeight="1" x14ac:dyDescent="0.25">
      <c r="D733" s="2"/>
      <c r="E733" s="2"/>
      <c r="F733" s="2"/>
      <c r="G733" s="2"/>
      <c r="H733" s="2"/>
      <c r="I733" s="2"/>
    </row>
    <row r="734" spans="4:9" ht="15.75" customHeight="1" x14ac:dyDescent="0.25">
      <c r="D734" s="2"/>
      <c r="E734" s="2"/>
      <c r="F734" s="2"/>
      <c r="G734" s="2"/>
      <c r="H734" s="2"/>
      <c r="I734" s="2"/>
    </row>
    <row r="735" spans="4:9" ht="15.75" customHeight="1" x14ac:dyDescent="0.25">
      <c r="D735" s="2"/>
      <c r="E735" s="2"/>
      <c r="F735" s="2"/>
      <c r="G735" s="2"/>
      <c r="H735" s="2"/>
      <c r="I735" s="2"/>
    </row>
    <row r="736" spans="4:9" ht="15.75" customHeight="1" x14ac:dyDescent="0.25">
      <c r="D736" s="2"/>
      <c r="E736" s="2"/>
      <c r="F736" s="2"/>
      <c r="G736" s="2"/>
      <c r="H736" s="2"/>
      <c r="I736" s="2"/>
    </row>
    <row r="737" spans="4:9" ht="15.75" customHeight="1" x14ac:dyDescent="0.25">
      <c r="D737" s="2"/>
      <c r="E737" s="2"/>
      <c r="F737" s="2"/>
      <c r="G737" s="2"/>
      <c r="H737" s="2"/>
      <c r="I737" s="2"/>
    </row>
    <row r="738" spans="4:9" ht="15.75" customHeight="1" x14ac:dyDescent="0.25">
      <c r="D738" s="2"/>
      <c r="E738" s="2"/>
      <c r="F738" s="2"/>
      <c r="G738" s="2"/>
      <c r="H738" s="2"/>
      <c r="I738" s="2"/>
    </row>
    <row r="739" spans="4:9" ht="15.75" customHeight="1" x14ac:dyDescent="0.25">
      <c r="D739" s="2"/>
      <c r="E739" s="2"/>
      <c r="F739" s="2"/>
      <c r="G739" s="2"/>
      <c r="H739" s="2"/>
      <c r="I739" s="2"/>
    </row>
    <row r="740" spans="4:9" ht="15.75" customHeight="1" x14ac:dyDescent="0.25">
      <c r="D740" s="2"/>
      <c r="E740" s="2"/>
      <c r="F740" s="2"/>
      <c r="G740" s="2"/>
      <c r="H740" s="2"/>
      <c r="I740" s="2"/>
    </row>
    <row r="741" spans="4:9" ht="15.75" customHeight="1" x14ac:dyDescent="0.25">
      <c r="D741" s="2"/>
      <c r="E741" s="2"/>
      <c r="F741" s="2"/>
      <c r="G741" s="2"/>
      <c r="H741" s="2"/>
      <c r="I741" s="2"/>
    </row>
    <row r="742" spans="4:9" ht="15.75" customHeight="1" x14ac:dyDescent="0.25">
      <c r="D742" s="2"/>
      <c r="E742" s="2"/>
      <c r="F742" s="2"/>
      <c r="G742" s="2"/>
      <c r="H742" s="2"/>
      <c r="I742" s="2"/>
    </row>
    <row r="743" spans="4:9" ht="15.75" customHeight="1" x14ac:dyDescent="0.25">
      <c r="D743" s="2"/>
      <c r="E743" s="2"/>
      <c r="F743" s="2"/>
      <c r="G743" s="2"/>
      <c r="H743" s="2"/>
      <c r="I743" s="2"/>
    </row>
    <row r="744" spans="4:9" ht="15.75" customHeight="1" x14ac:dyDescent="0.25">
      <c r="D744" s="2"/>
      <c r="E744" s="2"/>
      <c r="F744" s="2"/>
      <c r="G744" s="2"/>
      <c r="H744" s="2"/>
      <c r="I744" s="2"/>
    </row>
    <row r="745" spans="4:9" ht="15.75" customHeight="1" x14ac:dyDescent="0.25">
      <c r="D745" s="2"/>
      <c r="E745" s="2"/>
      <c r="F745" s="2"/>
      <c r="G745" s="2"/>
      <c r="H745" s="2"/>
      <c r="I745" s="2"/>
    </row>
    <row r="746" spans="4:9" ht="15.75" customHeight="1" x14ac:dyDescent="0.25">
      <c r="D746" s="2"/>
      <c r="E746" s="2"/>
      <c r="F746" s="2"/>
      <c r="G746" s="2"/>
      <c r="H746" s="2"/>
      <c r="I746" s="2"/>
    </row>
    <row r="747" spans="4:9" ht="15.75" customHeight="1" x14ac:dyDescent="0.25">
      <c r="D747" s="2"/>
      <c r="E747" s="2"/>
      <c r="F747" s="2"/>
      <c r="G747" s="2"/>
      <c r="H747" s="2"/>
      <c r="I747" s="2"/>
    </row>
    <row r="748" spans="4:9" ht="15.75" customHeight="1" x14ac:dyDescent="0.25">
      <c r="D748" s="2"/>
      <c r="E748" s="2"/>
      <c r="F748" s="2"/>
      <c r="G748" s="2"/>
      <c r="H748" s="2"/>
      <c r="I748" s="2"/>
    </row>
    <row r="749" spans="4:9" ht="15.75" customHeight="1" x14ac:dyDescent="0.25">
      <c r="D749" s="2"/>
      <c r="E749" s="2"/>
      <c r="F749" s="2"/>
      <c r="G749" s="2"/>
      <c r="H749" s="2"/>
      <c r="I749" s="2"/>
    </row>
    <row r="750" spans="4:9" ht="15.75" customHeight="1" x14ac:dyDescent="0.25">
      <c r="D750" s="2"/>
      <c r="E750" s="2"/>
      <c r="F750" s="2"/>
      <c r="G750" s="2"/>
      <c r="H750" s="2"/>
      <c r="I750" s="2"/>
    </row>
    <row r="751" spans="4:9" ht="15.75" customHeight="1" x14ac:dyDescent="0.25">
      <c r="D751" s="2"/>
      <c r="E751" s="2"/>
      <c r="F751" s="2"/>
      <c r="G751" s="2"/>
      <c r="H751" s="2"/>
      <c r="I751" s="2"/>
    </row>
    <row r="752" spans="4:9" ht="15.75" customHeight="1" x14ac:dyDescent="0.25">
      <c r="D752" s="2"/>
      <c r="E752" s="2"/>
      <c r="F752" s="2"/>
      <c r="G752" s="2"/>
      <c r="H752" s="2"/>
      <c r="I752" s="2"/>
    </row>
    <row r="753" spans="4:9" ht="15.75" customHeight="1" x14ac:dyDescent="0.25">
      <c r="D753" s="2"/>
      <c r="E753" s="2"/>
      <c r="F753" s="2"/>
      <c r="G753" s="2"/>
      <c r="H753" s="2"/>
      <c r="I753" s="2"/>
    </row>
    <row r="754" spans="4:9" ht="15.75" customHeight="1" x14ac:dyDescent="0.25">
      <c r="D754" s="2"/>
      <c r="E754" s="2"/>
      <c r="F754" s="2"/>
      <c r="G754" s="2"/>
      <c r="H754" s="2"/>
      <c r="I754" s="2"/>
    </row>
    <row r="755" spans="4:9" ht="15.75" customHeight="1" x14ac:dyDescent="0.25">
      <c r="D755" s="2"/>
      <c r="E755" s="2"/>
      <c r="F755" s="2"/>
      <c r="G755" s="2"/>
      <c r="H755" s="2"/>
      <c r="I755" s="2"/>
    </row>
    <row r="756" spans="4:9" ht="15.75" customHeight="1" x14ac:dyDescent="0.25">
      <c r="D756" s="2"/>
      <c r="E756" s="2"/>
      <c r="F756" s="2"/>
      <c r="G756" s="2"/>
      <c r="H756" s="2"/>
      <c r="I756" s="2"/>
    </row>
    <row r="757" spans="4:9" ht="15.75" customHeight="1" x14ac:dyDescent="0.25">
      <c r="D757" s="2"/>
      <c r="E757" s="2"/>
      <c r="F757" s="2"/>
      <c r="G757" s="2"/>
      <c r="H757" s="2"/>
      <c r="I757" s="2"/>
    </row>
    <row r="758" spans="4:9" ht="15.75" customHeight="1" x14ac:dyDescent="0.25">
      <c r="D758" s="2"/>
      <c r="E758" s="2"/>
      <c r="F758" s="2"/>
      <c r="G758" s="2"/>
      <c r="H758" s="2"/>
      <c r="I758" s="2"/>
    </row>
    <row r="759" spans="4:9" ht="15.75" customHeight="1" x14ac:dyDescent="0.25">
      <c r="D759" s="2"/>
      <c r="E759" s="2"/>
      <c r="F759" s="2"/>
      <c r="G759" s="2"/>
      <c r="H759" s="2"/>
      <c r="I759" s="2"/>
    </row>
    <row r="760" spans="4:9" ht="15.75" customHeight="1" x14ac:dyDescent="0.25">
      <c r="D760" s="2"/>
      <c r="E760" s="2"/>
      <c r="F760" s="2"/>
      <c r="G760" s="2"/>
      <c r="H760" s="2"/>
      <c r="I760" s="2"/>
    </row>
    <row r="761" spans="4:9" ht="15.75" customHeight="1" x14ac:dyDescent="0.25">
      <c r="D761" s="2"/>
      <c r="E761" s="2"/>
      <c r="F761" s="2"/>
      <c r="G761" s="2"/>
      <c r="H761" s="2"/>
      <c r="I761" s="2"/>
    </row>
    <row r="762" spans="4:9" ht="15.75" customHeight="1" x14ac:dyDescent="0.25">
      <c r="D762" s="2"/>
      <c r="E762" s="2"/>
      <c r="F762" s="2"/>
      <c r="G762" s="2"/>
      <c r="H762" s="2"/>
      <c r="I762" s="2"/>
    </row>
    <row r="763" spans="4:9" ht="15.75" customHeight="1" x14ac:dyDescent="0.25">
      <c r="D763" s="2"/>
      <c r="E763" s="2"/>
      <c r="F763" s="2"/>
      <c r="G763" s="2"/>
      <c r="H763" s="2"/>
      <c r="I763" s="2"/>
    </row>
    <row r="764" spans="4:9" ht="15.75" customHeight="1" x14ac:dyDescent="0.25">
      <c r="D764" s="2"/>
      <c r="E764" s="2"/>
      <c r="F764" s="2"/>
      <c r="G764" s="2"/>
      <c r="H764" s="2"/>
      <c r="I764" s="2"/>
    </row>
    <row r="765" spans="4:9" ht="15.75" customHeight="1" x14ac:dyDescent="0.25">
      <c r="D765" s="2"/>
      <c r="E765" s="2"/>
      <c r="F765" s="2"/>
      <c r="G765" s="2"/>
      <c r="H765" s="2"/>
      <c r="I765" s="2"/>
    </row>
    <row r="766" spans="4:9" ht="15.75" customHeight="1" x14ac:dyDescent="0.25">
      <c r="D766" s="2"/>
      <c r="E766" s="2"/>
      <c r="F766" s="2"/>
      <c r="G766" s="2"/>
      <c r="H766" s="2"/>
      <c r="I766" s="2"/>
    </row>
    <row r="767" spans="4:9" ht="15.75" customHeight="1" x14ac:dyDescent="0.25">
      <c r="D767" s="2"/>
      <c r="E767" s="2"/>
      <c r="F767" s="2"/>
      <c r="G767" s="2"/>
      <c r="H767" s="2"/>
      <c r="I767" s="2"/>
    </row>
    <row r="768" spans="4:9" ht="15.75" customHeight="1" x14ac:dyDescent="0.25">
      <c r="D768" s="2"/>
      <c r="E768" s="2"/>
      <c r="F768" s="2"/>
      <c r="G768" s="2"/>
      <c r="H768" s="2"/>
      <c r="I768" s="2"/>
    </row>
    <row r="769" spans="4:9" ht="15.75" customHeight="1" x14ac:dyDescent="0.25">
      <c r="D769" s="2"/>
      <c r="E769" s="2"/>
      <c r="F769" s="2"/>
      <c r="G769" s="2"/>
      <c r="H769" s="2"/>
      <c r="I769" s="2"/>
    </row>
    <row r="770" spans="4:9" ht="15.75" customHeight="1" x14ac:dyDescent="0.25">
      <c r="D770" s="2"/>
      <c r="E770" s="2"/>
      <c r="F770" s="2"/>
      <c r="G770" s="2"/>
      <c r="H770" s="2"/>
      <c r="I770" s="2"/>
    </row>
    <row r="771" spans="4:9" ht="15.75" customHeight="1" x14ac:dyDescent="0.25">
      <c r="D771" s="2"/>
      <c r="E771" s="2"/>
      <c r="F771" s="2"/>
      <c r="G771" s="2"/>
      <c r="H771" s="2"/>
      <c r="I771" s="2"/>
    </row>
    <row r="772" spans="4:9" ht="15.75" customHeight="1" x14ac:dyDescent="0.25">
      <c r="D772" s="2"/>
      <c r="E772" s="2"/>
      <c r="F772" s="2"/>
      <c r="G772" s="2"/>
      <c r="H772" s="2"/>
      <c r="I772" s="2"/>
    </row>
    <row r="773" spans="4:9" ht="15.75" customHeight="1" x14ac:dyDescent="0.25">
      <c r="D773" s="2"/>
      <c r="E773" s="2"/>
      <c r="F773" s="2"/>
      <c r="G773" s="2"/>
      <c r="H773" s="2"/>
      <c r="I773" s="2"/>
    </row>
    <row r="774" spans="4:9" ht="15.75" customHeight="1" x14ac:dyDescent="0.25">
      <c r="D774" s="2"/>
      <c r="E774" s="2"/>
      <c r="F774" s="2"/>
      <c r="G774" s="2"/>
      <c r="H774" s="2"/>
      <c r="I774" s="2"/>
    </row>
    <row r="775" spans="4:9" ht="15.75" customHeight="1" x14ac:dyDescent="0.25">
      <c r="D775" s="2"/>
      <c r="E775" s="2"/>
      <c r="F775" s="2"/>
      <c r="G775" s="2"/>
      <c r="H775" s="2"/>
      <c r="I775" s="2"/>
    </row>
    <row r="776" spans="4:9" ht="15.75" customHeight="1" x14ac:dyDescent="0.25">
      <c r="D776" s="2"/>
      <c r="E776" s="2"/>
      <c r="F776" s="2"/>
      <c r="G776" s="2"/>
      <c r="H776" s="2"/>
      <c r="I776" s="2"/>
    </row>
    <row r="777" spans="4:9" ht="15.75" customHeight="1" x14ac:dyDescent="0.25">
      <c r="D777" s="2"/>
      <c r="E777" s="2"/>
      <c r="F777" s="2"/>
      <c r="G777" s="2"/>
      <c r="H777" s="2"/>
      <c r="I777" s="2"/>
    </row>
    <row r="778" spans="4:9" ht="15.75" customHeight="1" x14ac:dyDescent="0.25">
      <c r="D778" s="2"/>
      <c r="E778" s="2"/>
      <c r="F778" s="2"/>
      <c r="G778" s="2"/>
      <c r="H778" s="2"/>
      <c r="I778" s="2"/>
    </row>
    <row r="779" spans="4:9" ht="15.75" customHeight="1" x14ac:dyDescent="0.25">
      <c r="D779" s="2"/>
      <c r="E779" s="2"/>
      <c r="F779" s="2"/>
      <c r="G779" s="2"/>
      <c r="H779" s="2"/>
      <c r="I779" s="2"/>
    </row>
    <row r="780" spans="4:9" ht="15.75" customHeight="1" x14ac:dyDescent="0.25">
      <c r="D780" s="2"/>
      <c r="E780" s="2"/>
      <c r="F780" s="2"/>
      <c r="G780" s="2"/>
      <c r="H780" s="2"/>
      <c r="I780" s="2"/>
    </row>
    <row r="781" spans="4:9" ht="15.75" customHeight="1" x14ac:dyDescent="0.25">
      <c r="D781" s="2"/>
      <c r="E781" s="2"/>
      <c r="F781" s="2"/>
      <c r="G781" s="2"/>
      <c r="H781" s="2"/>
      <c r="I781" s="2"/>
    </row>
    <row r="782" spans="4:9" ht="15.75" customHeight="1" x14ac:dyDescent="0.25">
      <c r="D782" s="2"/>
      <c r="E782" s="2"/>
      <c r="F782" s="2"/>
      <c r="G782" s="2"/>
      <c r="H782" s="2"/>
      <c r="I782" s="2"/>
    </row>
    <row r="783" spans="4:9" ht="15.75" customHeight="1" x14ac:dyDescent="0.25">
      <c r="D783" s="2"/>
      <c r="E783" s="2"/>
      <c r="F783" s="2"/>
      <c r="G783" s="2"/>
      <c r="H783" s="2"/>
      <c r="I783" s="2"/>
    </row>
    <row r="784" spans="4:9" ht="15.75" customHeight="1" x14ac:dyDescent="0.25">
      <c r="D784" s="2"/>
      <c r="E784" s="2"/>
      <c r="F784" s="2"/>
      <c r="G784" s="2"/>
      <c r="H784" s="2"/>
      <c r="I784" s="2"/>
    </row>
    <row r="785" spans="4:9" ht="15.75" customHeight="1" x14ac:dyDescent="0.25">
      <c r="D785" s="2"/>
      <c r="E785" s="2"/>
      <c r="F785" s="2"/>
      <c r="G785" s="2"/>
      <c r="H785" s="2"/>
      <c r="I785" s="2"/>
    </row>
    <row r="786" spans="4:9" ht="15.75" customHeight="1" x14ac:dyDescent="0.25">
      <c r="D786" s="2"/>
      <c r="E786" s="2"/>
      <c r="F786" s="2"/>
      <c r="G786" s="2"/>
      <c r="H786" s="2"/>
      <c r="I786" s="2"/>
    </row>
    <row r="787" spans="4:9" ht="15.75" customHeight="1" x14ac:dyDescent="0.25">
      <c r="D787" s="2"/>
      <c r="E787" s="2"/>
      <c r="F787" s="2"/>
      <c r="G787" s="2"/>
      <c r="H787" s="2"/>
      <c r="I787" s="2"/>
    </row>
    <row r="788" spans="4:9" ht="15.75" customHeight="1" x14ac:dyDescent="0.25">
      <c r="D788" s="2"/>
      <c r="E788" s="2"/>
      <c r="F788" s="2"/>
      <c r="G788" s="2"/>
      <c r="H788" s="2"/>
      <c r="I788" s="2"/>
    </row>
    <row r="789" spans="4:9" ht="15.75" customHeight="1" x14ac:dyDescent="0.25">
      <c r="D789" s="2"/>
      <c r="E789" s="2"/>
      <c r="F789" s="2"/>
      <c r="G789" s="2"/>
      <c r="H789" s="2"/>
      <c r="I789" s="2"/>
    </row>
    <row r="790" spans="4:9" ht="15.75" customHeight="1" x14ac:dyDescent="0.25">
      <c r="D790" s="2"/>
      <c r="E790" s="2"/>
      <c r="F790" s="2"/>
      <c r="G790" s="2"/>
      <c r="H790" s="2"/>
      <c r="I790" s="2"/>
    </row>
    <row r="791" spans="4:9" ht="15.75" customHeight="1" x14ac:dyDescent="0.25">
      <c r="D791" s="2"/>
      <c r="E791" s="2"/>
      <c r="F791" s="2"/>
      <c r="G791" s="2"/>
      <c r="H791" s="2"/>
      <c r="I791" s="2"/>
    </row>
    <row r="792" spans="4:9" ht="15.75" customHeight="1" x14ac:dyDescent="0.25">
      <c r="D792" s="2"/>
      <c r="E792" s="2"/>
      <c r="F792" s="2"/>
      <c r="G792" s="2"/>
      <c r="H792" s="2"/>
      <c r="I792" s="2"/>
    </row>
    <row r="793" spans="4:9" ht="15.75" customHeight="1" x14ac:dyDescent="0.25">
      <c r="D793" s="2"/>
      <c r="E793" s="2"/>
      <c r="F793" s="2"/>
      <c r="G793" s="2"/>
      <c r="H793" s="2"/>
      <c r="I793" s="2"/>
    </row>
    <row r="794" spans="4:9" ht="15.75" customHeight="1" x14ac:dyDescent="0.25">
      <c r="D794" s="2"/>
      <c r="E794" s="2"/>
      <c r="F794" s="2"/>
      <c r="G794" s="2"/>
      <c r="H794" s="2"/>
      <c r="I794" s="2"/>
    </row>
    <row r="795" spans="4:9" ht="15.75" customHeight="1" x14ac:dyDescent="0.25">
      <c r="D795" s="2"/>
      <c r="E795" s="2"/>
      <c r="F795" s="2"/>
      <c r="G795" s="2"/>
      <c r="H795" s="2"/>
      <c r="I795" s="2"/>
    </row>
    <row r="796" spans="4:9" ht="15.75" customHeight="1" x14ac:dyDescent="0.25">
      <c r="D796" s="2"/>
      <c r="E796" s="2"/>
      <c r="F796" s="2"/>
      <c r="G796" s="2"/>
      <c r="H796" s="2"/>
      <c r="I796" s="2"/>
    </row>
    <row r="797" spans="4:9" ht="15.75" customHeight="1" x14ac:dyDescent="0.25">
      <c r="D797" s="2"/>
      <c r="E797" s="2"/>
      <c r="F797" s="2"/>
      <c r="G797" s="2"/>
      <c r="H797" s="2"/>
      <c r="I797" s="2"/>
    </row>
    <row r="798" spans="4:9" ht="15.75" customHeight="1" x14ac:dyDescent="0.25">
      <c r="D798" s="2"/>
      <c r="E798" s="2"/>
      <c r="F798" s="2"/>
      <c r="G798" s="2"/>
      <c r="H798" s="2"/>
      <c r="I798" s="2"/>
    </row>
    <row r="799" spans="4:9" ht="15.75" customHeight="1" x14ac:dyDescent="0.25">
      <c r="D799" s="2"/>
      <c r="E799" s="2"/>
      <c r="F799" s="2"/>
      <c r="G799" s="2"/>
      <c r="H799" s="2"/>
      <c r="I799" s="2"/>
    </row>
    <row r="800" spans="4:9" ht="15.75" customHeight="1" x14ac:dyDescent="0.25">
      <c r="D800" s="2"/>
      <c r="E800" s="2"/>
      <c r="F800" s="2"/>
      <c r="G800" s="2"/>
      <c r="H800" s="2"/>
      <c r="I800" s="2"/>
    </row>
    <row r="801" spans="4:9" ht="15.75" customHeight="1" x14ac:dyDescent="0.25">
      <c r="D801" s="2"/>
      <c r="E801" s="2"/>
      <c r="F801" s="2"/>
      <c r="G801" s="2"/>
      <c r="H801" s="2"/>
      <c r="I801" s="2"/>
    </row>
    <row r="802" spans="4:9" ht="15.75" customHeight="1" x14ac:dyDescent="0.25">
      <c r="D802" s="2"/>
      <c r="E802" s="2"/>
      <c r="F802" s="2"/>
      <c r="G802" s="2"/>
      <c r="H802" s="2"/>
      <c r="I802" s="2"/>
    </row>
    <row r="803" spans="4:9" ht="15.75" customHeight="1" x14ac:dyDescent="0.25">
      <c r="D803" s="2"/>
      <c r="E803" s="2"/>
      <c r="F803" s="2"/>
      <c r="G803" s="2"/>
      <c r="H803" s="2"/>
      <c r="I803" s="2"/>
    </row>
    <row r="804" spans="4:9" ht="15.75" customHeight="1" x14ac:dyDescent="0.25">
      <c r="D804" s="2"/>
      <c r="E804" s="2"/>
      <c r="F804" s="2"/>
      <c r="G804" s="2"/>
      <c r="H804" s="2"/>
      <c r="I804" s="2"/>
    </row>
    <row r="805" spans="4:9" ht="15.75" customHeight="1" x14ac:dyDescent="0.25">
      <c r="D805" s="2"/>
      <c r="E805" s="2"/>
      <c r="F805" s="2"/>
      <c r="G805" s="2"/>
      <c r="H805" s="2"/>
      <c r="I805" s="2"/>
    </row>
    <row r="806" spans="4:9" ht="15.75" customHeight="1" x14ac:dyDescent="0.25">
      <c r="D806" s="2"/>
      <c r="E806" s="2"/>
      <c r="F806" s="2"/>
      <c r="G806" s="2"/>
      <c r="H806" s="2"/>
      <c r="I806" s="2"/>
    </row>
    <row r="807" spans="4:9" ht="15.75" customHeight="1" x14ac:dyDescent="0.25">
      <c r="D807" s="2"/>
      <c r="E807" s="2"/>
      <c r="F807" s="2"/>
      <c r="G807" s="2"/>
      <c r="H807" s="2"/>
      <c r="I807" s="2"/>
    </row>
    <row r="808" spans="4:9" ht="15.75" customHeight="1" x14ac:dyDescent="0.25">
      <c r="D808" s="2"/>
      <c r="E808" s="2"/>
      <c r="F808" s="2"/>
      <c r="G808" s="2"/>
      <c r="H808" s="2"/>
      <c r="I808" s="2"/>
    </row>
    <row r="809" spans="4:9" ht="15.75" customHeight="1" x14ac:dyDescent="0.25">
      <c r="D809" s="2"/>
      <c r="E809" s="2"/>
      <c r="F809" s="2"/>
      <c r="G809" s="2"/>
      <c r="H809" s="2"/>
      <c r="I809" s="2"/>
    </row>
    <row r="810" spans="4:9" ht="15.75" customHeight="1" x14ac:dyDescent="0.25">
      <c r="D810" s="2"/>
      <c r="E810" s="2"/>
      <c r="F810" s="2"/>
      <c r="G810" s="2"/>
      <c r="H810" s="2"/>
      <c r="I810" s="2"/>
    </row>
    <row r="811" spans="4:9" ht="15.75" customHeight="1" x14ac:dyDescent="0.25">
      <c r="D811" s="2"/>
      <c r="E811" s="2"/>
      <c r="F811" s="2"/>
      <c r="G811" s="2"/>
      <c r="H811" s="2"/>
      <c r="I811" s="2"/>
    </row>
    <row r="812" spans="4:9" ht="15.75" customHeight="1" x14ac:dyDescent="0.25">
      <c r="D812" s="2"/>
      <c r="E812" s="2"/>
      <c r="F812" s="2"/>
      <c r="G812" s="2"/>
      <c r="H812" s="2"/>
      <c r="I812" s="2"/>
    </row>
    <row r="813" spans="4:9" ht="15.75" customHeight="1" x14ac:dyDescent="0.25">
      <c r="D813" s="2"/>
      <c r="E813" s="2"/>
      <c r="F813" s="2"/>
      <c r="G813" s="2"/>
      <c r="H813" s="2"/>
      <c r="I813" s="2"/>
    </row>
    <row r="814" spans="4:9" ht="15.75" customHeight="1" x14ac:dyDescent="0.25">
      <c r="D814" s="2"/>
      <c r="E814" s="2"/>
      <c r="F814" s="2"/>
      <c r="G814" s="2"/>
      <c r="H814" s="2"/>
      <c r="I814" s="2"/>
    </row>
    <row r="815" spans="4:9" ht="15.75" customHeight="1" x14ac:dyDescent="0.25">
      <c r="D815" s="2"/>
      <c r="E815" s="2"/>
      <c r="F815" s="2"/>
      <c r="G815" s="2"/>
      <c r="H815" s="2"/>
      <c r="I815" s="2"/>
    </row>
    <row r="816" spans="4:9" ht="15.75" customHeight="1" x14ac:dyDescent="0.25">
      <c r="D816" s="2"/>
      <c r="E816" s="2"/>
      <c r="F816" s="2"/>
      <c r="G816" s="2"/>
      <c r="H816" s="2"/>
      <c r="I816" s="2"/>
    </row>
    <row r="817" spans="4:9" ht="15.75" customHeight="1" x14ac:dyDescent="0.25">
      <c r="D817" s="2"/>
      <c r="E817" s="2"/>
      <c r="F817" s="2"/>
      <c r="G817" s="2"/>
      <c r="H817" s="2"/>
      <c r="I817" s="2"/>
    </row>
    <row r="818" spans="4:9" ht="15.75" customHeight="1" x14ac:dyDescent="0.25">
      <c r="D818" s="2"/>
      <c r="E818" s="2"/>
      <c r="F818" s="2"/>
      <c r="G818" s="2"/>
      <c r="H818" s="2"/>
      <c r="I818" s="2"/>
    </row>
    <row r="819" spans="4:9" ht="15.75" customHeight="1" x14ac:dyDescent="0.25">
      <c r="D819" s="2"/>
      <c r="E819" s="2"/>
      <c r="F819" s="2"/>
      <c r="G819" s="2"/>
      <c r="H819" s="2"/>
      <c r="I819" s="2"/>
    </row>
    <row r="820" spans="4:9" ht="15.75" customHeight="1" x14ac:dyDescent="0.25">
      <c r="D820" s="2"/>
      <c r="E820" s="2"/>
      <c r="F820" s="2"/>
      <c r="G820" s="2"/>
      <c r="H820" s="2"/>
      <c r="I820" s="2"/>
    </row>
    <row r="821" spans="4:9" ht="15.75" customHeight="1" x14ac:dyDescent="0.25">
      <c r="D821" s="2"/>
      <c r="E821" s="2"/>
      <c r="F821" s="2"/>
      <c r="G821" s="2"/>
      <c r="H821" s="2"/>
      <c r="I821" s="2"/>
    </row>
    <row r="822" spans="4:9" ht="15.75" customHeight="1" x14ac:dyDescent="0.25">
      <c r="D822" s="2"/>
      <c r="E822" s="2"/>
      <c r="F822" s="2"/>
      <c r="G822" s="2"/>
      <c r="H822" s="2"/>
      <c r="I822" s="2"/>
    </row>
    <row r="823" spans="4:9" ht="15.75" customHeight="1" x14ac:dyDescent="0.25">
      <c r="D823" s="2"/>
      <c r="E823" s="2"/>
      <c r="F823" s="2"/>
      <c r="G823" s="2"/>
      <c r="H823" s="2"/>
      <c r="I823" s="2"/>
    </row>
    <row r="824" spans="4:9" ht="15.75" customHeight="1" x14ac:dyDescent="0.25">
      <c r="D824" s="2"/>
      <c r="E824" s="2"/>
      <c r="F824" s="2"/>
      <c r="G824" s="2"/>
      <c r="H824" s="2"/>
      <c r="I824" s="2"/>
    </row>
    <row r="825" spans="4:9" ht="15.75" customHeight="1" x14ac:dyDescent="0.25">
      <c r="D825" s="2"/>
      <c r="E825" s="2"/>
      <c r="F825" s="2"/>
      <c r="G825" s="2"/>
      <c r="H825" s="2"/>
      <c r="I825" s="2"/>
    </row>
    <row r="826" spans="4:9" ht="15.75" customHeight="1" x14ac:dyDescent="0.25">
      <c r="D826" s="2"/>
      <c r="E826" s="2"/>
      <c r="F826" s="2"/>
      <c r="G826" s="2"/>
      <c r="H826" s="2"/>
      <c r="I826" s="2"/>
    </row>
    <row r="827" spans="4:9" ht="15.75" customHeight="1" x14ac:dyDescent="0.25">
      <c r="D827" s="2"/>
      <c r="E827" s="2"/>
      <c r="F827" s="2"/>
      <c r="G827" s="2"/>
      <c r="H827" s="2"/>
      <c r="I827" s="2"/>
    </row>
    <row r="828" spans="4:9" ht="15.75" customHeight="1" x14ac:dyDescent="0.25">
      <c r="D828" s="2"/>
      <c r="E828" s="2"/>
      <c r="F828" s="2"/>
      <c r="G828" s="2"/>
      <c r="H828" s="2"/>
      <c r="I828" s="2"/>
    </row>
    <row r="829" spans="4:9" ht="15.75" customHeight="1" x14ac:dyDescent="0.25">
      <c r="D829" s="2"/>
      <c r="E829" s="2"/>
      <c r="F829" s="2"/>
      <c r="G829" s="2"/>
      <c r="H829" s="2"/>
      <c r="I829" s="2"/>
    </row>
    <row r="830" spans="4:9" ht="15.75" customHeight="1" x14ac:dyDescent="0.25">
      <c r="D830" s="2"/>
      <c r="E830" s="2"/>
      <c r="F830" s="2"/>
      <c r="G830" s="2"/>
      <c r="H830" s="2"/>
      <c r="I830" s="2"/>
    </row>
    <row r="831" spans="4:9" ht="15.75" customHeight="1" x14ac:dyDescent="0.25">
      <c r="D831" s="2"/>
      <c r="E831" s="2"/>
      <c r="F831" s="2"/>
      <c r="G831" s="2"/>
      <c r="H831" s="2"/>
      <c r="I831" s="2"/>
    </row>
    <row r="832" spans="4:9" ht="15.75" customHeight="1" x14ac:dyDescent="0.25">
      <c r="D832" s="2"/>
      <c r="E832" s="2"/>
      <c r="F832" s="2"/>
      <c r="G832" s="2"/>
      <c r="H832" s="2"/>
      <c r="I832" s="2"/>
    </row>
    <row r="833" spans="4:9" ht="15.75" customHeight="1" x14ac:dyDescent="0.25">
      <c r="D833" s="2"/>
      <c r="E833" s="2"/>
      <c r="F833" s="2"/>
      <c r="G833" s="2"/>
      <c r="H833" s="2"/>
      <c r="I833" s="2"/>
    </row>
    <row r="834" spans="4:9" ht="15.75" customHeight="1" x14ac:dyDescent="0.25">
      <c r="D834" s="2"/>
      <c r="E834" s="2"/>
      <c r="F834" s="2"/>
      <c r="G834" s="2"/>
      <c r="H834" s="2"/>
      <c r="I834" s="2"/>
    </row>
    <row r="835" spans="4:9" ht="15.75" customHeight="1" x14ac:dyDescent="0.25">
      <c r="D835" s="2"/>
      <c r="E835" s="2"/>
      <c r="F835" s="2"/>
      <c r="G835" s="2"/>
      <c r="H835" s="2"/>
      <c r="I835" s="2"/>
    </row>
    <row r="836" spans="4:9" ht="15.75" customHeight="1" x14ac:dyDescent="0.25">
      <c r="D836" s="2"/>
      <c r="E836" s="2"/>
      <c r="F836" s="2"/>
      <c r="G836" s="2"/>
      <c r="H836" s="2"/>
      <c r="I836" s="2"/>
    </row>
    <row r="837" spans="4:9" ht="15.75" customHeight="1" x14ac:dyDescent="0.25">
      <c r="D837" s="2"/>
      <c r="E837" s="2"/>
      <c r="F837" s="2"/>
      <c r="G837" s="2"/>
      <c r="H837" s="2"/>
      <c r="I837" s="2"/>
    </row>
    <row r="838" spans="4:9" ht="15.75" customHeight="1" x14ac:dyDescent="0.25">
      <c r="D838" s="2"/>
      <c r="E838" s="2"/>
      <c r="F838" s="2"/>
      <c r="G838" s="2"/>
      <c r="H838" s="2"/>
      <c r="I838" s="2"/>
    </row>
    <row r="839" spans="4:9" ht="15.75" customHeight="1" x14ac:dyDescent="0.25">
      <c r="D839" s="2"/>
      <c r="E839" s="2"/>
      <c r="F839" s="2"/>
      <c r="G839" s="2"/>
      <c r="H839" s="2"/>
      <c r="I839" s="2"/>
    </row>
    <row r="840" spans="4:9" ht="15.75" customHeight="1" x14ac:dyDescent="0.25">
      <c r="D840" s="2"/>
      <c r="E840" s="2"/>
      <c r="F840" s="2"/>
      <c r="G840" s="2"/>
      <c r="H840" s="2"/>
      <c r="I840" s="2"/>
    </row>
    <row r="841" spans="4:9" ht="15.75" customHeight="1" x14ac:dyDescent="0.25">
      <c r="D841" s="2"/>
      <c r="E841" s="2"/>
      <c r="F841" s="2"/>
      <c r="G841" s="2"/>
      <c r="H841" s="2"/>
      <c r="I841" s="2"/>
    </row>
    <row r="842" spans="4:9" ht="15.75" customHeight="1" x14ac:dyDescent="0.25">
      <c r="D842" s="2"/>
      <c r="E842" s="2"/>
      <c r="F842" s="2"/>
      <c r="G842" s="2"/>
      <c r="H842" s="2"/>
      <c r="I842" s="2"/>
    </row>
    <row r="843" spans="4:9" ht="15.75" customHeight="1" x14ac:dyDescent="0.25">
      <c r="D843" s="2"/>
      <c r="E843" s="2"/>
      <c r="F843" s="2"/>
      <c r="G843" s="2"/>
      <c r="H843" s="2"/>
      <c r="I843" s="2"/>
    </row>
    <row r="844" spans="4:9" ht="15.75" customHeight="1" x14ac:dyDescent="0.25">
      <c r="D844" s="2"/>
      <c r="E844" s="2"/>
      <c r="F844" s="2"/>
      <c r="G844" s="2"/>
      <c r="H844" s="2"/>
      <c r="I844" s="2"/>
    </row>
    <row r="845" spans="4:9" ht="15.75" customHeight="1" x14ac:dyDescent="0.25">
      <c r="D845" s="2"/>
      <c r="E845" s="2"/>
      <c r="F845" s="2"/>
      <c r="G845" s="2"/>
      <c r="H845" s="2"/>
      <c r="I845" s="2"/>
    </row>
    <row r="846" spans="4:9" ht="15.75" customHeight="1" x14ac:dyDescent="0.25">
      <c r="D846" s="2"/>
      <c r="E846" s="2"/>
      <c r="F846" s="2"/>
      <c r="G846" s="2"/>
      <c r="H846" s="2"/>
      <c r="I846" s="2"/>
    </row>
    <row r="847" spans="4:9" ht="15.75" customHeight="1" x14ac:dyDescent="0.25">
      <c r="D847" s="2"/>
      <c r="E847" s="2"/>
      <c r="F847" s="2"/>
      <c r="G847" s="2"/>
      <c r="H847" s="2"/>
      <c r="I847" s="2"/>
    </row>
    <row r="848" spans="4:9" ht="15.75" customHeight="1" x14ac:dyDescent="0.25">
      <c r="D848" s="2"/>
      <c r="E848" s="2"/>
      <c r="F848" s="2"/>
      <c r="G848" s="2"/>
      <c r="H848" s="2"/>
      <c r="I848" s="2"/>
    </row>
    <row r="849" spans="4:9" ht="15.75" customHeight="1" x14ac:dyDescent="0.25">
      <c r="D849" s="2"/>
      <c r="E849" s="2"/>
      <c r="F849" s="2"/>
      <c r="G849" s="2"/>
      <c r="H849" s="2"/>
      <c r="I849" s="2"/>
    </row>
    <row r="850" spans="4:9" ht="15.75" customHeight="1" x14ac:dyDescent="0.25">
      <c r="D850" s="2"/>
      <c r="E850" s="2"/>
      <c r="F850" s="2"/>
      <c r="G850" s="2"/>
      <c r="H850" s="2"/>
      <c r="I850" s="2"/>
    </row>
    <row r="851" spans="4:9" ht="15.75" customHeight="1" x14ac:dyDescent="0.25">
      <c r="D851" s="2"/>
      <c r="E851" s="2"/>
      <c r="F851" s="2"/>
      <c r="G851" s="2"/>
      <c r="H851" s="2"/>
      <c r="I851" s="2"/>
    </row>
    <row r="852" spans="4:9" ht="15.75" customHeight="1" x14ac:dyDescent="0.25">
      <c r="D852" s="2"/>
      <c r="E852" s="2"/>
      <c r="F852" s="2"/>
      <c r="G852" s="2"/>
      <c r="H852" s="2"/>
      <c r="I852" s="2"/>
    </row>
    <row r="853" spans="4:9" ht="15.75" customHeight="1" x14ac:dyDescent="0.25">
      <c r="D853" s="2"/>
      <c r="E853" s="2"/>
      <c r="F853" s="2"/>
      <c r="G853" s="2"/>
      <c r="H853" s="2"/>
      <c r="I853" s="2"/>
    </row>
    <row r="854" spans="4:9" ht="15.75" customHeight="1" x14ac:dyDescent="0.25">
      <c r="D854" s="2"/>
      <c r="E854" s="2"/>
      <c r="F854" s="2"/>
      <c r="G854" s="2"/>
      <c r="H854" s="2"/>
      <c r="I854" s="2"/>
    </row>
    <row r="855" spans="4:9" ht="15.75" customHeight="1" x14ac:dyDescent="0.25">
      <c r="D855" s="2"/>
      <c r="E855" s="2"/>
      <c r="F855" s="2"/>
      <c r="G855" s="2"/>
      <c r="H855" s="2"/>
      <c r="I855" s="2"/>
    </row>
    <row r="856" spans="4:9" ht="15.75" customHeight="1" x14ac:dyDescent="0.25">
      <c r="D856" s="2"/>
      <c r="E856" s="2"/>
      <c r="F856" s="2"/>
      <c r="G856" s="2"/>
      <c r="H856" s="2"/>
      <c r="I856" s="2"/>
    </row>
    <row r="857" spans="4:9" ht="15.75" customHeight="1" x14ac:dyDescent="0.25">
      <c r="D857" s="2"/>
      <c r="E857" s="2"/>
      <c r="F857" s="2"/>
      <c r="G857" s="2"/>
      <c r="H857" s="2"/>
      <c r="I857" s="2"/>
    </row>
    <row r="858" spans="4:9" ht="15.75" customHeight="1" x14ac:dyDescent="0.25">
      <c r="D858" s="2"/>
      <c r="E858" s="2"/>
      <c r="F858" s="2"/>
      <c r="G858" s="2"/>
      <c r="H858" s="2"/>
      <c r="I858" s="2"/>
    </row>
    <row r="859" spans="4:9" ht="15.75" customHeight="1" x14ac:dyDescent="0.25">
      <c r="D859" s="2"/>
      <c r="E859" s="2"/>
      <c r="F859" s="2"/>
      <c r="G859" s="2"/>
      <c r="H859" s="2"/>
      <c r="I859" s="2"/>
    </row>
    <row r="860" spans="4:9" ht="15.75" customHeight="1" x14ac:dyDescent="0.25">
      <c r="D860" s="2"/>
      <c r="E860" s="2"/>
      <c r="F860" s="2"/>
      <c r="G860" s="2"/>
      <c r="H860" s="2"/>
      <c r="I860" s="2"/>
    </row>
    <row r="861" spans="4:9" ht="15.75" customHeight="1" x14ac:dyDescent="0.25">
      <c r="D861" s="2"/>
      <c r="E861" s="2"/>
      <c r="F861" s="2"/>
      <c r="G861" s="2"/>
      <c r="H861" s="2"/>
      <c r="I861" s="2"/>
    </row>
    <row r="862" spans="4:9" ht="15.75" customHeight="1" x14ac:dyDescent="0.25">
      <c r="D862" s="2"/>
      <c r="E862" s="2"/>
      <c r="F862" s="2"/>
      <c r="G862" s="2"/>
      <c r="H862" s="2"/>
      <c r="I862" s="2"/>
    </row>
    <row r="863" spans="4:9" ht="15.75" customHeight="1" x14ac:dyDescent="0.25">
      <c r="D863" s="2"/>
      <c r="E863" s="2"/>
      <c r="F863" s="2"/>
      <c r="G863" s="2"/>
      <c r="H863" s="2"/>
      <c r="I863" s="2"/>
    </row>
    <row r="864" spans="4:9" ht="15.75" customHeight="1" x14ac:dyDescent="0.25">
      <c r="D864" s="2"/>
      <c r="E864" s="2"/>
      <c r="F864" s="2"/>
      <c r="G864" s="2"/>
      <c r="H864" s="2"/>
      <c r="I864" s="2"/>
    </row>
    <row r="865" spans="4:9" ht="15.75" customHeight="1" x14ac:dyDescent="0.25">
      <c r="D865" s="2"/>
      <c r="E865" s="2"/>
      <c r="F865" s="2"/>
      <c r="G865" s="2"/>
      <c r="H865" s="2"/>
      <c r="I865" s="2"/>
    </row>
    <row r="866" spans="4:9" ht="15.75" customHeight="1" x14ac:dyDescent="0.25">
      <c r="D866" s="2"/>
      <c r="E866" s="2"/>
      <c r="F866" s="2"/>
      <c r="G866" s="2"/>
      <c r="H866" s="2"/>
      <c r="I866" s="2"/>
    </row>
    <row r="867" spans="4:9" ht="15.75" customHeight="1" x14ac:dyDescent="0.25">
      <c r="D867" s="2"/>
      <c r="E867" s="2"/>
      <c r="F867" s="2"/>
      <c r="G867" s="2"/>
      <c r="H867" s="2"/>
      <c r="I867" s="2"/>
    </row>
    <row r="868" spans="4:9" ht="15.75" customHeight="1" x14ac:dyDescent="0.25">
      <c r="D868" s="2"/>
      <c r="E868" s="2"/>
      <c r="F868" s="2"/>
      <c r="G868" s="2"/>
      <c r="H868" s="2"/>
      <c r="I868" s="2"/>
    </row>
    <row r="869" spans="4:9" ht="15.75" customHeight="1" x14ac:dyDescent="0.25">
      <c r="D869" s="2"/>
      <c r="E869" s="2"/>
      <c r="F869" s="2"/>
      <c r="G869" s="2"/>
      <c r="H869" s="2"/>
      <c r="I869" s="2"/>
    </row>
    <row r="870" spans="4:9" ht="15.75" customHeight="1" x14ac:dyDescent="0.25">
      <c r="D870" s="2"/>
      <c r="E870" s="2"/>
      <c r="F870" s="2"/>
      <c r="G870" s="2"/>
      <c r="H870" s="2"/>
      <c r="I870" s="2"/>
    </row>
    <row r="871" spans="4:9" ht="15.75" customHeight="1" x14ac:dyDescent="0.25">
      <c r="D871" s="2"/>
      <c r="E871" s="2"/>
      <c r="F871" s="2"/>
      <c r="G871" s="2"/>
      <c r="H871" s="2"/>
      <c r="I871" s="2"/>
    </row>
    <row r="872" spans="4:9" ht="15.75" customHeight="1" x14ac:dyDescent="0.25">
      <c r="D872" s="2"/>
      <c r="E872" s="2"/>
      <c r="F872" s="2"/>
      <c r="G872" s="2"/>
      <c r="H872" s="2"/>
      <c r="I872" s="2"/>
    </row>
    <row r="873" spans="4:9" ht="15.75" customHeight="1" x14ac:dyDescent="0.25">
      <c r="D873" s="2"/>
      <c r="E873" s="2"/>
      <c r="F873" s="2"/>
      <c r="G873" s="2"/>
      <c r="H873" s="2"/>
      <c r="I873" s="2"/>
    </row>
    <row r="874" spans="4:9" ht="15.75" customHeight="1" x14ac:dyDescent="0.25">
      <c r="D874" s="2"/>
      <c r="E874" s="2"/>
      <c r="F874" s="2"/>
      <c r="G874" s="2"/>
      <c r="H874" s="2"/>
      <c r="I874" s="2"/>
    </row>
    <row r="875" spans="4:9" ht="15.75" customHeight="1" x14ac:dyDescent="0.25">
      <c r="D875" s="2"/>
      <c r="E875" s="2"/>
      <c r="F875" s="2"/>
      <c r="G875" s="2"/>
      <c r="H875" s="2"/>
      <c r="I875" s="2"/>
    </row>
    <row r="876" spans="4:9" ht="15.75" customHeight="1" x14ac:dyDescent="0.25">
      <c r="D876" s="2"/>
      <c r="E876" s="2"/>
      <c r="F876" s="2"/>
      <c r="G876" s="2"/>
      <c r="H876" s="2"/>
      <c r="I876" s="2"/>
    </row>
    <row r="877" spans="4:9" ht="15.75" customHeight="1" x14ac:dyDescent="0.25">
      <c r="D877" s="2"/>
      <c r="E877" s="2"/>
      <c r="F877" s="2"/>
      <c r="G877" s="2"/>
      <c r="H877" s="2"/>
      <c r="I877" s="2"/>
    </row>
    <row r="878" spans="4:9" ht="15.75" customHeight="1" x14ac:dyDescent="0.25">
      <c r="D878" s="2"/>
      <c r="E878" s="2"/>
      <c r="F878" s="2"/>
      <c r="G878" s="2"/>
      <c r="H878" s="2"/>
      <c r="I878" s="2"/>
    </row>
    <row r="879" spans="4:9" ht="15.75" customHeight="1" x14ac:dyDescent="0.25">
      <c r="D879" s="2"/>
      <c r="E879" s="2"/>
      <c r="F879" s="2"/>
      <c r="G879" s="2"/>
      <c r="H879" s="2"/>
      <c r="I879" s="2"/>
    </row>
    <row r="880" spans="4:9" ht="15.75" customHeight="1" x14ac:dyDescent="0.25">
      <c r="D880" s="2"/>
      <c r="E880" s="2"/>
      <c r="F880" s="2"/>
      <c r="G880" s="2"/>
      <c r="H880" s="2"/>
      <c r="I880" s="2"/>
    </row>
    <row r="881" spans="4:9" ht="15.75" customHeight="1" x14ac:dyDescent="0.25">
      <c r="D881" s="2"/>
      <c r="E881" s="2"/>
      <c r="F881" s="2"/>
      <c r="G881" s="2"/>
      <c r="H881" s="2"/>
      <c r="I881" s="2"/>
    </row>
    <row r="882" spans="4:9" ht="15.75" customHeight="1" x14ac:dyDescent="0.25">
      <c r="D882" s="2"/>
      <c r="E882" s="2"/>
      <c r="F882" s="2"/>
      <c r="G882" s="2"/>
      <c r="H882" s="2"/>
      <c r="I882" s="2"/>
    </row>
    <row r="883" spans="4:9" ht="15.75" customHeight="1" x14ac:dyDescent="0.25">
      <c r="D883" s="2"/>
      <c r="E883" s="2"/>
      <c r="F883" s="2"/>
      <c r="G883" s="2"/>
      <c r="H883" s="2"/>
      <c r="I883" s="2"/>
    </row>
    <row r="884" spans="4:9" ht="15.75" customHeight="1" x14ac:dyDescent="0.25">
      <c r="D884" s="2"/>
      <c r="E884" s="2"/>
      <c r="F884" s="2"/>
      <c r="G884" s="2"/>
      <c r="H884" s="2"/>
      <c r="I884" s="2"/>
    </row>
    <row r="885" spans="4:9" ht="15.75" customHeight="1" x14ac:dyDescent="0.25">
      <c r="D885" s="2"/>
      <c r="E885" s="2"/>
      <c r="F885" s="2"/>
      <c r="G885" s="2"/>
      <c r="H885" s="2"/>
      <c r="I885" s="2"/>
    </row>
    <row r="886" spans="4:9" ht="15.75" customHeight="1" x14ac:dyDescent="0.25">
      <c r="D886" s="2"/>
      <c r="E886" s="2"/>
      <c r="F886" s="2"/>
      <c r="G886" s="2"/>
      <c r="H886" s="2"/>
      <c r="I886" s="2"/>
    </row>
    <row r="887" spans="4:9" ht="15.75" customHeight="1" x14ac:dyDescent="0.25">
      <c r="D887" s="2"/>
      <c r="E887" s="2"/>
      <c r="F887" s="2"/>
      <c r="G887" s="2"/>
      <c r="H887" s="2"/>
      <c r="I887" s="2"/>
    </row>
    <row r="888" spans="4:9" ht="15.75" customHeight="1" x14ac:dyDescent="0.25">
      <c r="D888" s="2"/>
      <c r="E888" s="2"/>
      <c r="F888" s="2"/>
      <c r="G888" s="2"/>
      <c r="H888" s="2"/>
      <c r="I888" s="2"/>
    </row>
    <row r="889" spans="4:9" ht="15.75" customHeight="1" x14ac:dyDescent="0.25">
      <c r="D889" s="2"/>
      <c r="E889" s="2"/>
      <c r="F889" s="2"/>
      <c r="G889" s="2"/>
      <c r="H889" s="2"/>
      <c r="I889" s="2"/>
    </row>
    <row r="890" spans="4:9" ht="15.75" customHeight="1" x14ac:dyDescent="0.25">
      <c r="D890" s="2"/>
      <c r="E890" s="2"/>
      <c r="F890" s="2"/>
      <c r="G890" s="2"/>
      <c r="H890" s="2"/>
      <c r="I890" s="2"/>
    </row>
    <row r="891" spans="4:9" ht="15.75" customHeight="1" x14ac:dyDescent="0.25">
      <c r="D891" s="2"/>
      <c r="E891" s="2"/>
      <c r="F891" s="2"/>
      <c r="G891" s="2"/>
      <c r="H891" s="2"/>
      <c r="I891" s="2"/>
    </row>
    <row r="892" spans="4:9" ht="15.75" customHeight="1" x14ac:dyDescent="0.25">
      <c r="D892" s="2"/>
      <c r="E892" s="2"/>
      <c r="F892" s="2"/>
      <c r="G892" s="2"/>
      <c r="H892" s="2"/>
      <c r="I892" s="2"/>
    </row>
    <row r="893" spans="4:9" ht="15.75" customHeight="1" x14ac:dyDescent="0.25">
      <c r="D893" s="2"/>
      <c r="E893" s="2"/>
      <c r="F893" s="2"/>
      <c r="G893" s="2"/>
      <c r="H893" s="2"/>
      <c r="I893" s="2"/>
    </row>
    <row r="894" spans="4:9" ht="15.75" customHeight="1" x14ac:dyDescent="0.25">
      <c r="D894" s="2"/>
      <c r="E894" s="2"/>
      <c r="F894" s="2"/>
      <c r="G894" s="2"/>
      <c r="H894" s="2"/>
      <c r="I894" s="2"/>
    </row>
    <row r="895" spans="4:9" ht="15.75" customHeight="1" x14ac:dyDescent="0.25">
      <c r="D895" s="2"/>
      <c r="E895" s="2"/>
      <c r="F895" s="2"/>
      <c r="G895" s="2"/>
      <c r="H895" s="2"/>
      <c r="I895" s="2"/>
    </row>
    <row r="896" spans="4:9" ht="15.75" customHeight="1" x14ac:dyDescent="0.25">
      <c r="D896" s="2"/>
      <c r="E896" s="2"/>
      <c r="F896" s="2"/>
      <c r="G896" s="2"/>
      <c r="H896" s="2"/>
      <c r="I896" s="2"/>
    </row>
    <row r="897" spans="4:9" ht="15.75" customHeight="1" x14ac:dyDescent="0.25">
      <c r="D897" s="2"/>
      <c r="E897" s="2"/>
      <c r="F897" s="2"/>
      <c r="G897" s="2"/>
      <c r="H897" s="2"/>
      <c r="I897" s="2"/>
    </row>
    <row r="898" spans="4:9" ht="15.75" customHeight="1" x14ac:dyDescent="0.25">
      <c r="D898" s="2"/>
      <c r="E898" s="2"/>
      <c r="F898" s="2"/>
      <c r="G898" s="2"/>
      <c r="H898" s="2"/>
      <c r="I898" s="2"/>
    </row>
    <row r="899" spans="4:9" ht="15.75" customHeight="1" x14ac:dyDescent="0.25">
      <c r="D899" s="2"/>
      <c r="E899" s="2"/>
      <c r="F899" s="2"/>
      <c r="G899" s="2"/>
      <c r="H899" s="2"/>
      <c r="I899" s="2"/>
    </row>
    <row r="900" spans="4:9" ht="15.75" customHeight="1" x14ac:dyDescent="0.25">
      <c r="D900" s="2"/>
      <c r="E900" s="2"/>
      <c r="F900" s="2"/>
      <c r="G900" s="2"/>
      <c r="H900" s="2"/>
      <c r="I900" s="2"/>
    </row>
    <row r="901" spans="4:9" ht="15.75" customHeight="1" x14ac:dyDescent="0.25">
      <c r="D901" s="2"/>
      <c r="E901" s="2"/>
      <c r="F901" s="2"/>
      <c r="G901" s="2"/>
      <c r="H901" s="2"/>
      <c r="I901" s="2"/>
    </row>
    <row r="902" spans="4:9" ht="15.75" customHeight="1" x14ac:dyDescent="0.25">
      <c r="D902" s="2"/>
      <c r="E902" s="2"/>
      <c r="F902" s="2"/>
      <c r="G902" s="2"/>
      <c r="H902" s="2"/>
      <c r="I902" s="2"/>
    </row>
    <row r="903" spans="4:9" ht="15.75" customHeight="1" x14ac:dyDescent="0.25">
      <c r="D903" s="2"/>
      <c r="E903" s="2"/>
      <c r="F903" s="2"/>
      <c r="G903" s="2"/>
      <c r="H903" s="2"/>
      <c r="I903" s="2"/>
    </row>
    <row r="904" spans="4:9" ht="15.75" customHeight="1" x14ac:dyDescent="0.25">
      <c r="D904" s="2"/>
      <c r="E904" s="2"/>
      <c r="F904" s="2"/>
      <c r="G904" s="2"/>
      <c r="H904" s="2"/>
      <c r="I904" s="2"/>
    </row>
    <row r="905" spans="4:9" ht="15.75" customHeight="1" x14ac:dyDescent="0.25">
      <c r="D905" s="2"/>
      <c r="E905" s="2"/>
      <c r="F905" s="2"/>
      <c r="G905" s="2"/>
      <c r="H905" s="2"/>
      <c r="I905" s="2"/>
    </row>
    <row r="906" spans="4:9" ht="15.75" customHeight="1" x14ac:dyDescent="0.25">
      <c r="D906" s="2"/>
      <c r="E906" s="2"/>
      <c r="F906" s="2"/>
      <c r="G906" s="2"/>
      <c r="H906" s="2"/>
      <c r="I906" s="2"/>
    </row>
    <row r="907" spans="4:9" ht="15.75" customHeight="1" x14ac:dyDescent="0.25">
      <c r="D907" s="2"/>
      <c r="E907" s="2"/>
      <c r="F907" s="2"/>
      <c r="G907" s="2"/>
      <c r="H907" s="2"/>
      <c r="I907" s="2"/>
    </row>
    <row r="908" spans="4:9" ht="15.75" customHeight="1" x14ac:dyDescent="0.25">
      <c r="D908" s="2"/>
      <c r="E908" s="2"/>
      <c r="F908" s="2"/>
      <c r="G908" s="2"/>
      <c r="H908" s="2"/>
      <c r="I908" s="2"/>
    </row>
    <row r="909" spans="4:9" ht="15.75" customHeight="1" x14ac:dyDescent="0.25">
      <c r="D909" s="2"/>
      <c r="E909" s="2"/>
      <c r="F909" s="2"/>
      <c r="G909" s="2"/>
      <c r="H909" s="2"/>
      <c r="I909" s="2"/>
    </row>
    <row r="910" spans="4:9" ht="15.75" customHeight="1" x14ac:dyDescent="0.25">
      <c r="D910" s="2"/>
      <c r="E910" s="2"/>
      <c r="F910" s="2"/>
      <c r="G910" s="2"/>
      <c r="H910" s="2"/>
      <c r="I910" s="2"/>
    </row>
    <row r="911" spans="4:9" ht="15.75" customHeight="1" x14ac:dyDescent="0.25">
      <c r="D911" s="2"/>
      <c r="E911" s="2"/>
      <c r="F911" s="2"/>
      <c r="G911" s="2"/>
      <c r="H911" s="2"/>
      <c r="I911" s="2"/>
    </row>
    <row r="912" spans="4:9" ht="15.75" customHeight="1" x14ac:dyDescent="0.25">
      <c r="D912" s="2"/>
      <c r="E912" s="2"/>
      <c r="F912" s="2"/>
      <c r="G912" s="2"/>
      <c r="H912" s="2"/>
      <c r="I912" s="2"/>
    </row>
    <row r="913" spans="4:9" ht="15.75" customHeight="1" x14ac:dyDescent="0.25">
      <c r="D913" s="2"/>
      <c r="E913" s="2"/>
      <c r="F913" s="2"/>
      <c r="G913" s="2"/>
      <c r="H913" s="2"/>
      <c r="I913" s="2"/>
    </row>
    <row r="914" spans="4:9" ht="15.75" customHeight="1" x14ac:dyDescent="0.25">
      <c r="D914" s="2"/>
      <c r="E914" s="2"/>
      <c r="F914" s="2"/>
      <c r="G914" s="2"/>
      <c r="H914" s="2"/>
      <c r="I914" s="2"/>
    </row>
    <row r="915" spans="4:9" ht="15.75" customHeight="1" x14ac:dyDescent="0.25">
      <c r="D915" s="2"/>
      <c r="E915" s="2"/>
      <c r="F915" s="2"/>
      <c r="G915" s="2"/>
      <c r="H915" s="2"/>
      <c r="I915" s="2"/>
    </row>
    <row r="916" spans="4:9" ht="15.75" customHeight="1" x14ac:dyDescent="0.25">
      <c r="D916" s="2"/>
      <c r="E916" s="2"/>
      <c r="F916" s="2"/>
      <c r="G916" s="2"/>
      <c r="H916" s="2"/>
      <c r="I916" s="2"/>
    </row>
    <row r="917" spans="4:9" ht="15.75" customHeight="1" x14ac:dyDescent="0.25">
      <c r="D917" s="2"/>
      <c r="E917" s="2"/>
      <c r="F917" s="2"/>
      <c r="G917" s="2"/>
      <c r="H917" s="2"/>
      <c r="I917" s="2"/>
    </row>
    <row r="918" spans="4:9" ht="15.75" customHeight="1" x14ac:dyDescent="0.25">
      <c r="D918" s="2"/>
      <c r="E918" s="2"/>
      <c r="F918" s="2"/>
      <c r="G918" s="2"/>
      <c r="H918" s="2"/>
      <c r="I918" s="2"/>
    </row>
    <row r="919" spans="4:9" ht="15.75" customHeight="1" x14ac:dyDescent="0.25">
      <c r="D919" s="2"/>
      <c r="E919" s="2"/>
      <c r="F919" s="2"/>
      <c r="G919" s="2"/>
      <c r="H919" s="2"/>
      <c r="I919" s="2"/>
    </row>
    <row r="920" spans="4:9" ht="15.75" customHeight="1" x14ac:dyDescent="0.25">
      <c r="D920" s="2"/>
      <c r="E920" s="2"/>
      <c r="F920" s="2"/>
      <c r="G920" s="2"/>
      <c r="H920" s="2"/>
      <c r="I920" s="2"/>
    </row>
    <row r="921" spans="4:9" ht="15.75" customHeight="1" x14ac:dyDescent="0.25">
      <c r="D921" s="2"/>
      <c r="E921" s="2"/>
      <c r="F921" s="2"/>
      <c r="G921" s="2"/>
      <c r="H921" s="2"/>
      <c r="I921" s="2"/>
    </row>
    <row r="922" spans="4:9" ht="15.75" customHeight="1" x14ac:dyDescent="0.25">
      <c r="D922" s="2"/>
      <c r="E922" s="2"/>
      <c r="F922" s="2"/>
      <c r="G922" s="2"/>
      <c r="H922" s="2"/>
      <c r="I922" s="2"/>
    </row>
    <row r="923" spans="4:9" ht="15.75" customHeight="1" x14ac:dyDescent="0.25">
      <c r="D923" s="2"/>
      <c r="E923" s="2"/>
      <c r="F923" s="2"/>
      <c r="G923" s="2"/>
      <c r="H923" s="2"/>
      <c r="I923" s="2"/>
    </row>
    <row r="924" spans="4:9" ht="15.75" customHeight="1" x14ac:dyDescent="0.25">
      <c r="D924" s="2"/>
      <c r="E924" s="2"/>
      <c r="F924" s="2"/>
      <c r="G924" s="2"/>
      <c r="H924" s="2"/>
      <c r="I924" s="2"/>
    </row>
    <row r="925" spans="4:9" ht="15.75" customHeight="1" x14ac:dyDescent="0.25">
      <c r="D925" s="2"/>
      <c r="E925" s="2"/>
      <c r="F925" s="2"/>
      <c r="G925" s="2"/>
      <c r="H925" s="2"/>
      <c r="I925" s="2"/>
    </row>
    <row r="926" spans="4:9" ht="15.75" customHeight="1" x14ac:dyDescent="0.25">
      <c r="D926" s="2"/>
      <c r="E926" s="2"/>
      <c r="F926" s="2"/>
      <c r="G926" s="2"/>
      <c r="H926" s="2"/>
      <c r="I926" s="2"/>
    </row>
    <row r="927" spans="4:9" ht="15.75" customHeight="1" x14ac:dyDescent="0.25">
      <c r="D927" s="2"/>
      <c r="E927" s="2"/>
      <c r="F927" s="2"/>
      <c r="G927" s="2"/>
      <c r="H927" s="2"/>
      <c r="I927" s="2"/>
    </row>
    <row r="928" spans="4:9" ht="15.75" customHeight="1" x14ac:dyDescent="0.25">
      <c r="D928" s="2"/>
      <c r="E928" s="2"/>
      <c r="F928" s="2"/>
      <c r="G928" s="2"/>
      <c r="H928" s="2"/>
      <c r="I928" s="2"/>
    </row>
    <row r="929" spans="4:9" ht="15.75" customHeight="1" x14ac:dyDescent="0.25">
      <c r="D929" s="2"/>
      <c r="E929" s="2"/>
      <c r="F929" s="2"/>
      <c r="G929" s="2"/>
      <c r="H929" s="2"/>
      <c r="I929" s="2"/>
    </row>
    <row r="930" spans="4:9" ht="15.75" customHeight="1" x14ac:dyDescent="0.25">
      <c r="D930" s="2"/>
      <c r="E930" s="2"/>
      <c r="F930" s="2"/>
      <c r="G930" s="2"/>
      <c r="H930" s="2"/>
      <c r="I930" s="2"/>
    </row>
    <row r="931" spans="4:9" ht="15.75" customHeight="1" x14ac:dyDescent="0.25">
      <c r="D931" s="2"/>
      <c r="E931" s="2"/>
      <c r="F931" s="2"/>
      <c r="G931" s="2"/>
      <c r="H931" s="2"/>
      <c r="I931" s="2"/>
    </row>
    <row r="932" spans="4:9" ht="15.75" customHeight="1" x14ac:dyDescent="0.25">
      <c r="D932" s="2"/>
      <c r="E932" s="2"/>
      <c r="F932" s="2"/>
      <c r="G932" s="2"/>
      <c r="H932" s="2"/>
      <c r="I932" s="2"/>
    </row>
    <row r="933" spans="4:9" ht="15.75" customHeight="1" x14ac:dyDescent="0.25">
      <c r="D933" s="2"/>
      <c r="E933" s="2"/>
      <c r="F933" s="2"/>
      <c r="G933" s="2"/>
      <c r="H933" s="2"/>
      <c r="I933" s="2"/>
    </row>
    <row r="934" spans="4:9" ht="15.75" customHeight="1" x14ac:dyDescent="0.25">
      <c r="D934" s="2"/>
      <c r="E934" s="2"/>
      <c r="F934" s="2"/>
      <c r="G934" s="2"/>
      <c r="H934" s="2"/>
      <c r="I934" s="2"/>
    </row>
    <row r="935" spans="4:9" ht="15.75" customHeight="1" x14ac:dyDescent="0.25">
      <c r="D935" s="2"/>
      <c r="E935" s="2"/>
      <c r="F935" s="2"/>
      <c r="G935" s="2"/>
      <c r="H935" s="2"/>
      <c r="I935" s="2"/>
    </row>
    <row r="936" spans="4:9" ht="15.75" customHeight="1" x14ac:dyDescent="0.25">
      <c r="D936" s="2"/>
      <c r="E936" s="2"/>
      <c r="F936" s="2"/>
      <c r="G936" s="2"/>
      <c r="H936" s="2"/>
      <c r="I936" s="2"/>
    </row>
    <row r="937" spans="4:9" ht="15.75" customHeight="1" x14ac:dyDescent="0.25">
      <c r="D937" s="2"/>
      <c r="E937" s="2"/>
      <c r="F937" s="2"/>
      <c r="G937" s="2"/>
      <c r="H937" s="2"/>
      <c r="I937" s="2"/>
    </row>
    <row r="938" spans="4:9" ht="15.75" customHeight="1" x14ac:dyDescent="0.25">
      <c r="D938" s="2"/>
      <c r="E938" s="2"/>
      <c r="F938" s="2"/>
      <c r="G938" s="2"/>
      <c r="H938" s="2"/>
      <c r="I938" s="2"/>
    </row>
    <row r="939" spans="4:9" ht="15.75" customHeight="1" x14ac:dyDescent="0.25">
      <c r="D939" s="2"/>
      <c r="E939" s="2"/>
      <c r="F939" s="2"/>
      <c r="G939" s="2"/>
      <c r="H939" s="2"/>
      <c r="I939" s="2"/>
    </row>
    <row r="940" spans="4:9" ht="15.75" customHeight="1" x14ac:dyDescent="0.25">
      <c r="D940" s="2"/>
      <c r="E940" s="2"/>
      <c r="F940" s="2"/>
      <c r="G940" s="2"/>
      <c r="H940" s="2"/>
      <c r="I940" s="2"/>
    </row>
    <row r="941" spans="4:9" ht="15.75" customHeight="1" x14ac:dyDescent="0.25">
      <c r="D941" s="2"/>
      <c r="E941" s="2"/>
      <c r="F941" s="2"/>
      <c r="G941" s="2"/>
      <c r="H941" s="2"/>
      <c r="I941" s="2"/>
    </row>
    <row r="942" spans="4:9" ht="15.75" customHeight="1" x14ac:dyDescent="0.25">
      <c r="D942" s="2"/>
      <c r="E942" s="2"/>
      <c r="F942" s="2"/>
      <c r="G942" s="2"/>
      <c r="H942" s="2"/>
      <c r="I942" s="2"/>
    </row>
    <row r="943" spans="4:9" ht="15.75" customHeight="1" x14ac:dyDescent="0.25">
      <c r="D943" s="2"/>
      <c r="E943" s="2"/>
      <c r="F943" s="2"/>
      <c r="G943" s="2"/>
      <c r="H943" s="2"/>
      <c r="I943" s="2"/>
    </row>
    <row r="944" spans="4:9" ht="15.75" customHeight="1" x14ac:dyDescent="0.25">
      <c r="D944" s="2"/>
      <c r="E944" s="2"/>
      <c r="F944" s="2"/>
      <c r="G944" s="2"/>
      <c r="H944" s="2"/>
      <c r="I944" s="2"/>
    </row>
    <row r="945" spans="4:9" ht="15.75" customHeight="1" x14ac:dyDescent="0.25">
      <c r="D945" s="2"/>
      <c r="E945" s="2"/>
      <c r="F945" s="2"/>
      <c r="G945" s="2"/>
      <c r="H945" s="2"/>
      <c r="I945" s="2"/>
    </row>
    <row r="946" spans="4:9" ht="15.75" customHeight="1" x14ac:dyDescent="0.25">
      <c r="D946" s="2"/>
      <c r="E946" s="2"/>
      <c r="F946" s="2"/>
      <c r="G946" s="2"/>
      <c r="H946" s="2"/>
      <c r="I946" s="2"/>
    </row>
    <row r="947" spans="4:9" ht="15.75" customHeight="1" x14ac:dyDescent="0.25">
      <c r="D947" s="2"/>
      <c r="E947" s="2"/>
      <c r="F947" s="2"/>
      <c r="G947" s="2"/>
      <c r="H947" s="2"/>
      <c r="I947" s="2"/>
    </row>
    <row r="948" spans="4:9" ht="15.75" customHeight="1" x14ac:dyDescent="0.25">
      <c r="D948" s="2"/>
      <c r="E948" s="2"/>
      <c r="F948" s="2"/>
      <c r="G948" s="2"/>
      <c r="H948" s="2"/>
      <c r="I948" s="2"/>
    </row>
    <row r="949" spans="4:9" ht="15.75" customHeight="1" x14ac:dyDescent="0.25">
      <c r="D949" s="2"/>
      <c r="E949" s="2"/>
      <c r="F949" s="2"/>
      <c r="G949" s="2"/>
      <c r="H949" s="2"/>
      <c r="I949" s="2"/>
    </row>
    <row r="950" spans="4:9" ht="15.75" customHeight="1" x14ac:dyDescent="0.25">
      <c r="D950" s="2"/>
      <c r="E950" s="2"/>
      <c r="F950" s="2"/>
      <c r="G950" s="2"/>
      <c r="H950" s="2"/>
      <c r="I950" s="2"/>
    </row>
    <row r="951" spans="4:9" ht="15.75" customHeight="1" x14ac:dyDescent="0.25">
      <c r="D951" s="2"/>
      <c r="E951" s="2"/>
      <c r="F951" s="2"/>
      <c r="G951" s="2"/>
      <c r="H951" s="2"/>
      <c r="I951" s="2"/>
    </row>
    <row r="952" spans="4:9" ht="15.75" customHeight="1" x14ac:dyDescent="0.25">
      <c r="D952" s="2"/>
      <c r="E952" s="2"/>
      <c r="F952" s="2"/>
      <c r="G952" s="2"/>
      <c r="H952" s="2"/>
      <c r="I952" s="2"/>
    </row>
    <row r="953" spans="4:9" ht="15.75" customHeight="1" x14ac:dyDescent="0.25">
      <c r="D953" s="2"/>
      <c r="E953" s="2"/>
      <c r="F953" s="2"/>
      <c r="G953" s="2"/>
      <c r="H953" s="2"/>
      <c r="I953" s="2"/>
    </row>
    <row r="954" spans="4:9" ht="15.75" customHeight="1" x14ac:dyDescent="0.25">
      <c r="D954" s="2"/>
      <c r="E954" s="2"/>
      <c r="F954" s="2"/>
      <c r="G954" s="2"/>
      <c r="H954" s="2"/>
      <c r="I954" s="2"/>
    </row>
    <row r="955" spans="4:9" ht="15.75" customHeight="1" x14ac:dyDescent="0.25">
      <c r="D955" s="2"/>
      <c r="E955" s="2"/>
      <c r="F955" s="2"/>
      <c r="G955" s="2"/>
      <c r="H955" s="2"/>
      <c r="I955" s="2"/>
    </row>
    <row r="956" spans="4:9" ht="15.75" customHeight="1" x14ac:dyDescent="0.25">
      <c r="D956" s="2"/>
      <c r="E956" s="2"/>
      <c r="F956" s="2"/>
      <c r="G956" s="2"/>
      <c r="H956" s="2"/>
      <c r="I956" s="2"/>
    </row>
    <row r="957" spans="4:9" ht="15.75" customHeight="1" x14ac:dyDescent="0.25">
      <c r="D957" s="2"/>
      <c r="E957" s="2"/>
      <c r="F957" s="2"/>
      <c r="G957" s="2"/>
      <c r="H957" s="2"/>
      <c r="I957" s="2"/>
    </row>
    <row r="958" spans="4:9" ht="15.75" customHeight="1" x14ac:dyDescent="0.25">
      <c r="D958" s="2"/>
      <c r="E958" s="2"/>
      <c r="F958" s="2"/>
      <c r="G958" s="2"/>
      <c r="H958" s="2"/>
      <c r="I958" s="2"/>
    </row>
    <row r="959" spans="4:9" ht="15.75" customHeight="1" x14ac:dyDescent="0.25">
      <c r="D959" s="2"/>
      <c r="E959" s="2"/>
      <c r="F959" s="2"/>
      <c r="G959" s="2"/>
      <c r="H959" s="2"/>
      <c r="I959" s="2"/>
    </row>
    <row r="960" spans="4:9" ht="15.75" customHeight="1" x14ac:dyDescent="0.25">
      <c r="D960" s="2"/>
      <c r="E960" s="2"/>
      <c r="F960" s="2"/>
      <c r="G960" s="2"/>
      <c r="H960" s="2"/>
      <c r="I960" s="2"/>
    </row>
    <row r="961" spans="4:9" ht="15.75" customHeight="1" x14ac:dyDescent="0.25">
      <c r="D961" s="2"/>
      <c r="E961" s="2"/>
      <c r="F961" s="2"/>
      <c r="G961" s="2"/>
      <c r="H961" s="2"/>
      <c r="I961" s="2"/>
    </row>
    <row r="962" spans="4:9" ht="15.75" customHeight="1" x14ac:dyDescent="0.25">
      <c r="D962" s="2"/>
      <c r="E962" s="2"/>
      <c r="F962" s="2"/>
      <c r="G962" s="2"/>
      <c r="H962" s="2"/>
      <c r="I962" s="2"/>
    </row>
    <row r="963" spans="4:9" ht="15.75" customHeight="1" x14ac:dyDescent="0.25">
      <c r="D963" s="2"/>
      <c r="E963" s="2"/>
      <c r="F963" s="2"/>
      <c r="G963" s="2"/>
      <c r="H963" s="2"/>
      <c r="I963" s="2"/>
    </row>
    <row r="964" spans="4:9" ht="15.75" customHeight="1" x14ac:dyDescent="0.25">
      <c r="D964" s="2"/>
      <c r="E964" s="2"/>
      <c r="F964" s="2"/>
      <c r="G964" s="2"/>
      <c r="H964" s="2"/>
      <c r="I964" s="2"/>
    </row>
    <row r="965" spans="4:9" ht="15.75" customHeight="1" x14ac:dyDescent="0.25">
      <c r="D965" s="2"/>
      <c r="E965" s="2"/>
      <c r="F965" s="2"/>
      <c r="G965" s="2"/>
      <c r="H965" s="2"/>
      <c r="I965" s="2"/>
    </row>
    <row r="966" spans="4:9" ht="15.75" customHeight="1" x14ac:dyDescent="0.25">
      <c r="D966" s="2"/>
      <c r="E966" s="2"/>
      <c r="F966" s="2"/>
      <c r="G966" s="2"/>
      <c r="H966" s="2"/>
      <c r="I966" s="2"/>
    </row>
    <row r="967" spans="4:9" ht="15.75" customHeight="1" x14ac:dyDescent="0.25">
      <c r="D967" s="2"/>
      <c r="E967" s="2"/>
      <c r="F967" s="2"/>
      <c r="G967" s="2"/>
      <c r="H967" s="2"/>
      <c r="I967" s="2"/>
    </row>
    <row r="968" spans="4:9" ht="15.75" customHeight="1" x14ac:dyDescent="0.25">
      <c r="D968" s="2"/>
      <c r="E968" s="2"/>
      <c r="F968" s="2"/>
      <c r="G968" s="2"/>
      <c r="H968" s="2"/>
      <c r="I968" s="2"/>
    </row>
    <row r="969" spans="4:9" ht="15.75" customHeight="1" x14ac:dyDescent="0.25">
      <c r="D969" s="2"/>
      <c r="E969" s="2"/>
      <c r="F969" s="2"/>
      <c r="G969" s="2"/>
      <c r="H969" s="2"/>
      <c r="I969" s="2"/>
    </row>
    <row r="970" spans="4:9" ht="15.75" customHeight="1" x14ac:dyDescent="0.25">
      <c r="D970" s="2"/>
      <c r="E970" s="2"/>
      <c r="F970" s="2"/>
      <c r="G970" s="2"/>
      <c r="H970" s="2"/>
      <c r="I970" s="2"/>
    </row>
    <row r="971" spans="4:9" ht="15.75" customHeight="1" x14ac:dyDescent="0.25">
      <c r="D971" s="2"/>
      <c r="E971" s="2"/>
      <c r="F971" s="2"/>
      <c r="G971" s="2"/>
      <c r="H971" s="2"/>
      <c r="I971" s="2"/>
    </row>
    <row r="972" spans="4:9" ht="15.75" customHeight="1" x14ac:dyDescent="0.25">
      <c r="D972" s="2"/>
      <c r="E972" s="2"/>
      <c r="F972" s="2"/>
      <c r="G972" s="2"/>
      <c r="H972" s="2"/>
      <c r="I972" s="2"/>
    </row>
    <row r="973" spans="4:9" ht="15.75" customHeight="1" x14ac:dyDescent="0.25">
      <c r="D973" s="2"/>
      <c r="E973" s="2"/>
      <c r="F973" s="2"/>
      <c r="G973" s="2"/>
      <c r="H973" s="2"/>
      <c r="I973" s="2"/>
    </row>
    <row r="974" spans="4:9" ht="15.75" customHeight="1" x14ac:dyDescent="0.25">
      <c r="D974" s="2"/>
      <c r="E974" s="2"/>
      <c r="F974" s="2"/>
      <c r="G974" s="2"/>
      <c r="H974" s="2"/>
      <c r="I974" s="2"/>
    </row>
    <row r="975" spans="4:9" ht="15.75" customHeight="1" x14ac:dyDescent="0.25">
      <c r="D975" s="2"/>
      <c r="E975" s="2"/>
      <c r="F975" s="2"/>
      <c r="G975" s="2"/>
      <c r="H975" s="2"/>
      <c r="I975" s="2"/>
    </row>
    <row r="976" spans="4:9" ht="15.75" customHeight="1" x14ac:dyDescent="0.25">
      <c r="D976" s="2"/>
      <c r="E976" s="2"/>
      <c r="F976" s="2"/>
      <c r="G976" s="2"/>
      <c r="H976" s="2"/>
      <c r="I976" s="2"/>
    </row>
    <row r="977" spans="4:9" ht="15.75" customHeight="1" x14ac:dyDescent="0.25">
      <c r="D977" s="2"/>
      <c r="E977" s="2"/>
      <c r="F977" s="2"/>
      <c r="G977" s="2"/>
      <c r="H977" s="2"/>
      <c r="I977" s="2"/>
    </row>
    <row r="978" spans="4:9" ht="15.75" customHeight="1" x14ac:dyDescent="0.25">
      <c r="D978" s="2"/>
      <c r="E978" s="2"/>
      <c r="F978" s="2"/>
      <c r="G978" s="2"/>
      <c r="H978" s="2"/>
      <c r="I978" s="2"/>
    </row>
    <row r="979" spans="4:9" ht="15.75" customHeight="1" x14ac:dyDescent="0.25">
      <c r="D979" s="2"/>
      <c r="E979" s="2"/>
      <c r="F979" s="2"/>
      <c r="G979" s="2"/>
      <c r="H979" s="2"/>
      <c r="I979" s="2"/>
    </row>
    <row r="980" spans="4:9" ht="15.75" customHeight="1" x14ac:dyDescent="0.25">
      <c r="D980" s="2"/>
      <c r="E980" s="2"/>
      <c r="F980" s="2"/>
      <c r="G980" s="2"/>
      <c r="H980" s="2"/>
      <c r="I980" s="2"/>
    </row>
    <row r="981" spans="4:9" ht="15.75" customHeight="1" x14ac:dyDescent="0.25">
      <c r="D981" s="2"/>
      <c r="E981" s="2"/>
      <c r="F981" s="2"/>
      <c r="G981" s="2"/>
      <c r="H981" s="2"/>
      <c r="I981" s="2"/>
    </row>
    <row r="982" spans="4:9" ht="15.75" customHeight="1" x14ac:dyDescent="0.25">
      <c r="D982" s="2"/>
      <c r="E982" s="2"/>
      <c r="F982" s="2"/>
      <c r="G982" s="2"/>
      <c r="H982" s="2"/>
      <c r="I982" s="2"/>
    </row>
    <row r="983" spans="4:9" ht="15.75" customHeight="1" x14ac:dyDescent="0.25">
      <c r="D983" s="2"/>
      <c r="E983" s="2"/>
      <c r="F983" s="2"/>
      <c r="G983" s="2"/>
      <c r="H983" s="2"/>
      <c r="I983" s="2"/>
    </row>
    <row r="984" spans="4:9" ht="15.75" customHeight="1" x14ac:dyDescent="0.25">
      <c r="D984" s="2"/>
      <c r="E984" s="2"/>
      <c r="F984" s="2"/>
      <c r="G984" s="2"/>
      <c r="H984" s="2"/>
      <c r="I984" s="2"/>
    </row>
    <row r="985" spans="4:9" ht="15.75" customHeight="1" x14ac:dyDescent="0.25">
      <c r="D985" s="2"/>
      <c r="E985" s="2"/>
      <c r="F985" s="2"/>
      <c r="G985" s="2"/>
      <c r="H985" s="2"/>
      <c r="I985" s="2"/>
    </row>
    <row r="986" spans="4:9" ht="15.75" customHeight="1" x14ac:dyDescent="0.25">
      <c r="D986" s="2"/>
      <c r="E986" s="2"/>
      <c r="F986" s="2"/>
      <c r="G986" s="2"/>
      <c r="H986" s="2"/>
      <c r="I986" s="2"/>
    </row>
    <row r="987" spans="4:9" ht="15.75" customHeight="1" x14ac:dyDescent="0.25">
      <c r="D987" s="2"/>
      <c r="E987" s="2"/>
      <c r="F987" s="2"/>
      <c r="G987" s="2"/>
      <c r="H987" s="2"/>
      <c r="I987" s="2"/>
    </row>
    <row r="988" spans="4:9" ht="15.75" customHeight="1" x14ac:dyDescent="0.25">
      <c r="D988" s="2"/>
      <c r="E988" s="2"/>
      <c r="F988" s="2"/>
      <c r="G988" s="2"/>
      <c r="H988" s="2"/>
      <c r="I988" s="2"/>
    </row>
    <row r="989" spans="4:9" ht="15.75" customHeight="1" x14ac:dyDescent="0.25">
      <c r="D989" s="2"/>
      <c r="E989" s="2"/>
      <c r="F989" s="2"/>
      <c r="G989" s="2"/>
      <c r="H989" s="2"/>
      <c r="I989" s="2"/>
    </row>
    <row r="990" spans="4:9" ht="15.75" customHeight="1" x14ac:dyDescent="0.25">
      <c r="D990" s="2"/>
      <c r="E990" s="2"/>
      <c r="F990" s="2"/>
      <c r="G990" s="2"/>
      <c r="H990" s="2"/>
      <c r="I990" s="2"/>
    </row>
    <row r="991" spans="4:9" ht="15.75" customHeight="1" x14ac:dyDescent="0.25">
      <c r="D991" s="2"/>
      <c r="E991" s="2"/>
      <c r="F991" s="2"/>
      <c r="G991" s="2"/>
      <c r="H991" s="2"/>
      <c r="I991" s="2"/>
    </row>
    <row r="992" spans="4:9" ht="15.75" customHeight="1" x14ac:dyDescent="0.25">
      <c r="D992" s="2"/>
      <c r="E992" s="2"/>
      <c r="F992" s="2"/>
      <c r="G992" s="2"/>
      <c r="H992" s="2"/>
      <c r="I992" s="2"/>
    </row>
    <row r="993" spans="4:9" ht="15.75" customHeight="1" x14ac:dyDescent="0.25">
      <c r="D993" s="2"/>
      <c r="E993" s="2"/>
      <c r="F993" s="2"/>
      <c r="G993" s="2"/>
      <c r="H993" s="2"/>
      <c r="I993" s="2"/>
    </row>
    <row r="994" spans="4:9" ht="15.75" customHeight="1" x14ac:dyDescent="0.25">
      <c r="D994" s="2"/>
      <c r="E994" s="2"/>
      <c r="F994" s="2"/>
      <c r="G994" s="2"/>
      <c r="H994" s="2"/>
      <c r="I994" s="2"/>
    </row>
    <row r="995" spans="4:9" ht="15.75" customHeight="1" x14ac:dyDescent="0.25">
      <c r="D995" s="2"/>
      <c r="E995" s="2"/>
      <c r="F995" s="2"/>
      <c r="G995" s="2"/>
      <c r="H995" s="2"/>
      <c r="I995" s="2"/>
    </row>
    <row r="996" spans="4:9" ht="15.75" customHeight="1" x14ac:dyDescent="0.25">
      <c r="D996" s="2"/>
      <c r="E996" s="2"/>
      <c r="F996" s="2"/>
      <c r="G996" s="2"/>
      <c r="H996" s="2"/>
      <c r="I996" s="2"/>
    </row>
    <row r="997" spans="4:9" ht="15.75" customHeight="1" x14ac:dyDescent="0.25">
      <c r="D997" s="2"/>
      <c r="E997" s="2"/>
      <c r="F997" s="2"/>
      <c r="G997" s="2"/>
      <c r="H997" s="2"/>
      <c r="I997" s="2"/>
    </row>
    <row r="998" spans="4:9" ht="15.75" customHeight="1" x14ac:dyDescent="0.25">
      <c r="D998" s="2"/>
      <c r="E998" s="2"/>
      <c r="F998" s="2"/>
      <c r="G998" s="2"/>
      <c r="H998" s="2"/>
      <c r="I998" s="2"/>
    </row>
    <row r="999" spans="4:9" ht="15.75" customHeight="1" x14ac:dyDescent="0.25">
      <c r="D999" s="2"/>
      <c r="E999" s="2"/>
      <c r="F999" s="2"/>
      <c r="G999" s="2"/>
      <c r="H999" s="2"/>
      <c r="I999" s="2"/>
    </row>
    <row r="1000" spans="4:9" ht="15.75" customHeight="1" x14ac:dyDescent="0.25">
      <c r="D1000" s="2"/>
      <c r="E1000" s="2"/>
      <c r="F1000" s="2"/>
      <c r="G1000" s="2"/>
      <c r="H1000" s="2"/>
      <c r="I1000" s="2"/>
    </row>
  </sheetData>
  <mergeCells count="10">
    <mergeCell ref="F3:G3"/>
    <mergeCell ref="F73:G73"/>
    <mergeCell ref="F47:G47"/>
    <mergeCell ref="A73:E73"/>
    <mergeCell ref="H73:I73"/>
    <mergeCell ref="B3:C3"/>
    <mergeCell ref="A47:E47"/>
    <mergeCell ref="H47:I47"/>
    <mergeCell ref="D3:E3"/>
    <mergeCell ref="H3:I3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38953"/>
  </sheetPr>
  <dimension ref="A1:Z1000"/>
  <sheetViews>
    <sheetView topLeftCell="B14" workbookViewId="0">
      <selection activeCell="B18" sqref="B18"/>
    </sheetView>
  </sheetViews>
  <sheetFormatPr baseColWidth="10" defaultColWidth="14.42578125" defaultRowHeight="15" customHeight="1" x14ac:dyDescent="0.25"/>
  <cols>
    <col min="1" max="1" width="45.140625" customWidth="1"/>
    <col min="2" max="2" width="18.85546875" customWidth="1"/>
    <col min="3" max="3" width="10.42578125" customWidth="1"/>
    <col min="4" max="4" width="18.85546875" customWidth="1"/>
    <col min="5" max="5" width="10.42578125" customWidth="1"/>
    <col min="6" max="6" width="19.42578125" customWidth="1"/>
    <col min="7" max="7" width="10.7109375" customWidth="1"/>
    <col min="8" max="8" width="20.7109375" customWidth="1"/>
    <col min="9" max="9" width="12.42578125" customWidth="1"/>
    <col min="10" max="10" width="17.85546875" customWidth="1"/>
    <col min="11" max="11" width="12.42578125" customWidth="1"/>
    <col min="12" max="26" width="11.42578125" customWidth="1"/>
  </cols>
  <sheetData>
    <row r="1" spans="1:26" ht="18.75" customHeight="1" x14ac:dyDescent="0.3">
      <c r="A1" s="1" t="str">
        <f>Balance!D1</f>
        <v>BRIGHTEC ENERGY DYNAMICS S DE RL DE CV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spans="1:26" x14ac:dyDescent="0.25">
      <c r="A2" s="151"/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spans="1:26" ht="18" customHeight="1" x14ac:dyDescent="0.25">
      <c r="A3" s="176" t="s">
        <v>189</v>
      </c>
      <c r="B3" s="332">
        <f>Balance!B3</f>
        <v>0</v>
      </c>
      <c r="C3" s="329"/>
      <c r="D3" s="333">
        <f>B3+1</f>
        <v>1</v>
      </c>
      <c r="E3" s="329"/>
      <c r="F3" s="328">
        <f>D3+1</f>
        <v>2</v>
      </c>
      <c r="G3" s="329"/>
      <c r="H3" s="334" t="str">
        <f>F3+1&amp;" "&amp;"("&amp;IF(K2=1,"enero",IF(K2=2,"febrero",IF(K2=3,"marzo",IF(K2=4,"abril",IF(K2=5,"mayo",IF(K2=6,"junio",IF(K2=7,"julio",IF(K2=8,"agosto",IF(K2=9,"septiembre",IF(K2=10,"octubre",IF(K2=11,"noviembre",IF(K2=12,"diciembre","INCORRECTO"))))))))))))&amp;")"</f>
        <v>3 (INCORRECTO)</v>
      </c>
      <c r="I3" s="331"/>
      <c r="J3" s="330" t="str">
        <f>F3+1&amp;" "&amp;"anualizado"</f>
        <v>3 anualizado</v>
      </c>
      <c r="K3" s="33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spans="1:26" ht="15.75" customHeight="1" x14ac:dyDescent="0.25">
      <c r="A4" s="177"/>
      <c r="B4" s="178" t="s">
        <v>51</v>
      </c>
      <c r="C4" s="179" t="s">
        <v>61</v>
      </c>
      <c r="D4" s="178" t="s">
        <v>51</v>
      </c>
      <c r="E4" s="179" t="s">
        <v>61</v>
      </c>
      <c r="F4" s="179" t="s">
        <v>51</v>
      </c>
      <c r="G4" s="179" t="s">
        <v>61</v>
      </c>
      <c r="H4" s="179" t="s">
        <v>51</v>
      </c>
      <c r="I4" s="180" t="s">
        <v>61</v>
      </c>
      <c r="J4" s="179" t="s">
        <v>51</v>
      </c>
      <c r="K4" s="180" t="s">
        <v>61</v>
      </c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spans="1:26" ht="15.75" hidden="1" customHeight="1" x14ac:dyDescent="0.25">
      <c r="A5" s="181" t="s">
        <v>190</v>
      </c>
      <c r="B5" s="182"/>
      <c r="C5" s="183"/>
      <c r="D5" s="182"/>
      <c r="E5" s="183"/>
      <c r="F5" s="184"/>
      <c r="G5" s="185"/>
      <c r="H5" s="184"/>
      <c r="I5" s="186"/>
      <c r="J5" s="187"/>
      <c r="K5" s="187"/>
      <c r="L5" s="151"/>
      <c r="M5" s="188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spans="1:26" ht="15.75" hidden="1" customHeight="1" x14ac:dyDescent="0.25">
      <c r="A6" s="181" t="s">
        <v>191</v>
      </c>
      <c r="B6" s="182"/>
      <c r="C6" s="183"/>
      <c r="D6" s="182"/>
      <c r="E6" s="183"/>
      <c r="F6" s="184"/>
      <c r="G6" s="185"/>
      <c r="H6" s="184"/>
      <c r="I6" s="186"/>
      <c r="J6" s="187"/>
      <c r="K6" s="187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spans="1:26" ht="25.5" customHeight="1" x14ac:dyDescent="0.25">
      <c r="A7" s="189" t="s">
        <v>192</v>
      </c>
      <c r="B7" s="190"/>
      <c r="C7" s="191"/>
      <c r="D7" s="190"/>
      <c r="E7" s="191"/>
      <c r="F7" s="190"/>
      <c r="G7" s="191"/>
      <c r="H7" s="190"/>
      <c r="I7" s="192"/>
      <c r="J7" s="190" t="e">
        <f>(+H7/$K$2)*12</f>
        <v>#DIV/0!</v>
      </c>
      <c r="K7" s="192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spans="1:26" ht="24.75" customHeight="1" x14ac:dyDescent="0.25">
      <c r="A8" s="193" t="s">
        <v>193</v>
      </c>
      <c r="B8" s="194"/>
      <c r="C8" s="191" t="e">
        <f>(B8/$B$7)*-1</f>
        <v>#DIV/0!</v>
      </c>
      <c r="D8" s="194"/>
      <c r="E8" s="191" t="e">
        <f>(D8/$D$7)*-1</f>
        <v>#DIV/0!</v>
      </c>
      <c r="F8" s="194"/>
      <c r="G8" s="191" t="e">
        <f>(F8/$F$7)*-1</f>
        <v>#DIV/0!</v>
      </c>
      <c r="H8" s="194"/>
      <c r="I8" s="192" t="e">
        <f>(H8/$H$7)*-1</f>
        <v>#DIV/0!</v>
      </c>
      <c r="J8" s="190" t="e">
        <f>(+H8/$K$2)*12</f>
        <v>#DIV/0!</v>
      </c>
      <c r="K8" s="192" t="e">
        <f>(J8/$J$7)*-1</f>
        <v>#DIV/0!</v>
      </c>
      <c r="L8" s="151" t="s">
        <v>194</v>
      </c>
      <c r="M8" s="188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spans="1:26" ht="22.5" customHeight="1" x14ac:dyDescent="0.25">
      <c r="A9" s="195" t="s">
        <v>195</v>
      </c>
      <c r="B9" s="196">
        <f>B7+B8</f>
        <v>0</v>
      </c>
      <c r="C9" s="197" t="e">
        <f>B9/$B$7</f>
        <v>#DIV/0!</v>
      </c>
      <c r="D9" s="196">
        <f>D7+D8</f>
        <v>0</v>
      </c>
      <c r="E9" s="197" t="e">
        <f>D9/$D$7</f>
        <v>#DIV/0!</v>
      </c>
      <c r="F9" s="198">
        <f>F7+F8</f>
        <v>0</v>
      </c>
      <c r="G9" s="197" t="e">
        <f>F9/$F$7</f>
        <v>#DIV/0!</v>
      </c>
      <c r="H9" s="198">
        <f>H7+H8</f>
        <v>0</v>
      </c>
      <c r="I9" s="199" t="e">
        <f>H9/$H$7</f>
        <v>#DIV/0!</v>
      </c>
      <c r="J9" s="198" t="e">
        <f>J7+J8</f>
        <v>#DIV/0!</v>
      </c>
      <c r="K9" s="199" t="e">
        <f>J9/$J$7</f>
        <v>#DIV/0!</v>
      </c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spans="1:26" ht="26.25" customHeight="1" x14ac:dyDescent="0.25">
      <c r="A10" s="200" t="s">
        <v>196</v>
      </c>
      <c r="B10" s="201"/>
      <c r="C10" s="191" t="e">
        <f>(B10/$B$7)*-1</f>
        <v>#DIV/0!</v>
      </c>
      <c r="D10" s="201"/>
      <c r="E10" s="191" t="e">
        <f>(D10/$D$7)*-1</f>
        <v>#DIV/0!</v>
      </c>
      <c r="F10" s="201"/>
      <c r="G10" s="191" t="e">
        <f>(F10/$F$7)*-1</f>
        <v>#DIV/0!</v>
      </c>
      <c r="H10" s="201"/>
      <c r="I10" s="192" t="e">
        <f>(H10/$H$7)*-1</f>
        <v>#DIV/0!</v>
      </c>
      <c r="J10" s="201" t="e">
        <f>(+H10/$K$2)*12</f>
        <v>#DIV/0!</v>
      </c>
      <c r="K10" s="192" t="e">
        <f>(J10/$J$7)*-1</f>
        <v>#DIV/0!</v>
      </c>
      <c r="L10" s="151" t="s">
        <v>194</v>
      </c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spans="1:26" ht="25.5" customHeight="1" x14ac:dyDescent="0.25">
      <c r="A11" s="200" t="s">
        <v>197</v>
      </c>
      <c r="B11" s="201"/>
      <c r="C11" s="191" t="e">
        <f>(B11/$B$7)*-1</f>
        <v>#DIV/0!</v>
      </c>
      <c r="D11" s="201"/>
      <c r="E11" s="191" t="e">
        <f>(D11/$D$7)*-1</f>
        <v>#DIV/0!</v>
      </c>
      <c r="F11" s="201"/>
      <c r="G11" s="191" t="e">
        <f>(F11/$F$7)*-1</f>
        <v>#DIV/0!</v>
      </c>
      <c r="H11" s="201"/>
      <c r="I11" s="192" t="e">
        <f>(H11/$H$7)*-1</f>
        <v>#DIV/0!</v>
      </c>
      <c r="J11" s="201" t="e">
        <f>(+H11/$K$2)*12</f>
        <v>#DIV/0!</v>
      </c>
      <c r="K11" s="192" t="e">
        <f>(J11/$J$7)*-1</f>
        <v>#DIV/0!</v>
      </c>
      <c r="L11" s="151" t="s">
        <v>194</v>
      </c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spans="1:26" ht="15.75" customHeight="1" x14ac:dyDescent="0.25">
      <c r="A12" s="202" t="s">
        <v>198</v>
      </c>
      <c r="B12" s="203">
        <f>B10+B11</f>
        <v>0</v>
      </c>
      <c r="C12" s="204" t="e">
        <f>(B12/$B$7)*-1</f>
        <v>#DIV/0!</v>
      </c>
      <c r="D12" s="203">
        <f>D10+D11</f>
        <v>0</v>
      </c>
      <c r="E12" s="204" t="e">
        <f>(D12/$D$7)*-1</f>
        <v>#DIV/0!</v>
      </c>
      <c r="F12" s="203">
        <f>F10+F11</f>
        <v>0</v>
      </c>
      <c r="G12" s="204" t="e">
        <f>(F12/$F$7)*-1</f>
        <v>#DIV/0!</v>
      </c>
      <c r="H12" s="203">
        <f>H10+H11</f>
        <v>0</v>
      </c>
      <c r="I12" s="205" t="e">
        <f>(H12/$H$7)*-1</f>
        <v>#DIV/0!</v>
      </c>
      <c r="J12" s="203" t="e">
        <f>+J10+J11</f>
        <v>#DIV/0!</v>
      </c>
      <c r="K12" s="205" t="e">
        <f>(J12/$J$7)*-1</f>
        <v>#DIV/0!</v>
      </c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spans="1:26" ht="15.75" customHeight="1" x14ac:dyDescent="0.25">
      <c r="A13" s="206"/>
      <c r="B13" s="207"/>
      <c r="C13" s="208"/>
      <c r="D13" s="207"/>
      <c r="E13" s="208"/>
      <c r="F13" s="201"/>
      <c r="G13" s="208"/>
      <c r="H13" s="201"/>
      <c r="I13" s="209"/>
      <c r="J13" s="210"/>
      <c r="K13" s="209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spans="1:26" ht="15.75" customHeight="1" x14ac:dyDescent="0.25">
      <c r="A14" s="211" t="s">
        <v>199</v>
      </c>
      <c r="B14" s="196">
        <f>B9+B12</f>
        <v>0</v>
      </c>
      <c r="C14" s="197" t="e">
        <f>B14/$B$7</f>
        <v>#DIV/0!</v>
      </c>
      <c r="D14" s="196">
        <f>D9+D12</f>
        <v>0</v>
      </c>
      <c r="E14" s="197" t="e">
        <f>D14/$D$7</f>
        <v>#DIV/0!</v>
      </c>
      <c r="F14" s="196">
        <f>F9+F12</f>
        <v>0</v>
      </c>
      <c r="G14" s="197" t="e">
        <f>F14/$F$7</f>
        <v>#DIV/0!</v>
      </c>
      <c r="H14" s="196">
        <f>H9+H12</f>
        <v>0</v>
      </c>
      <c r="I14" s="199" t="e">
        <f>H14/$H$7</f>
        <v>#DIV/0!</v>
      </c>
      <c r="J14" s="196" t="e">
        <f>J9+J12</f>
        <v>#DIV/0!</v>
      </c>
      <c r="K14" s="199" t="e">
        <f>J14/$J$7</f>
        <v>#DIV/0!</v>
      </c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spans="1:26" ht="21" customHeight="1" x14ac:dyDescent="0.25">
      <c r="A15" s="212" t="s">
        <v>200</v>
      </c>
      <c r="B15" s="213"/>
      <c r="C15" s="191" t="e">
        <f>(B15/$B$7)*-1</f>
        <v>#DIV/0!</v>
      </c>
      <c r="D15" s="213"/>
      <c r="E15" s="191" t="e">
        <f>(D15/$D$7)*-1</f>
        <v>#DIV/0!</v>
      </c>
      <c r="F15" s="207"/>
      <c r="G15" s="191" t="e">
        <f>(F15/$F$7)*-1</f>
        <v>#DIV/0!</v>
      </c>
      <c r="H15" s="207"/>
      <c r="I15" s="192" t="e">
        <f>(H15/$H$7)*-1</f>
        <v>#DIV/0!</v>
      </c>
      <c r="J15" s="201" t="e">
        <f>(+H15/$K$2)*12</f>
        <v>#DIV/0!</v>
      </c>
      <c r="K15" s="192" t="e">
        <f>(J15/$J$7)*-1</f>
        <v>#DIV/0!</v>
      </c>
      <c r="L15" s="151" t="s">
        <v>194</v>
      </c>
      <c r="M15" s="188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spans="1:26" ht="15.75" customHeight="1" x14ac:dyDescent="0.25">
      <c r="A16" s="212" t="s">
        <v>201</v>
      </c>
      <c r="B16" s="214"/>
      <c r="C16" s="191" t="e">
        <f>(B16/$B$7)</f>
        <v>#DIV/0!</v>
      </c>
      <c r="D16" s="214"/>
      <c r="E16" s="191" t="e">
        <f>(D16/$D$7)</f>
        <v>#DIV/0!</v>
      </c>
      <c r="F16" s="207"/>
      <c r="G16" s="191" t="e">
        <f>(F16/$F$7)</f>
        <v>#DIV/0!</v>
      </c>
      <c r="H16" s="207"/>
      <c r="I16" s="192" t="e">
        <f>(H16/$H$7)</f>
        <v>#DIV/0!</v>
      </c>
      <c r="J16" s="201" t="e">
        <f>(+H16/$K$2)*12</f>
        <v>#DIV/0!</v>
      </c>
      <c r="K16" s="192" t="e">
        <f>(J16/$J$7)</f>
        <v>#DIV/0!</v>
      </c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spans="1:26" ht="15.75" customHeight="1" x14ac:dyDescent="0.25">
      <c r="A17" s="212" t="s">
        <v>202</v>
      </c>
      <c r="B17" s="207"/>
      <c r="C17" s="191" t="e">
        <f>(B17/$B$7)</f>
        <v>#DIV/0!</v>
      </c>
      <c r="D17" s="207"/>
      <c r="E17" s="191" t="e">
        <f>(D17/$D$7)</f>
        <v>#DIV/0!</v>
      </c>
      <c r="F17" s="201"/>
      <c r="G17" s="191" t="e">
        <f>(F17/$F$7)</f>
        <v>#DIV/0!</v>
      </c>
      <c r="H17" s="201"/>
      <c r="I17" s="192" t="e">
        <f>(H17/$H$7)</f>
        <v>#DIV/0!</v>
      </c>
      <c r="J17" s="201" t="e">
        <f>(+H17/$K$2)*12</f>
        <v>#DIV/0!</v>
      </c>
      <c r="K17" s="192" t="e">
        <f>(J17/$J$7)</f>
        <v>#DIV/0!</v>
      </c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spans="1:26" ht="15.75" customHeight="1" x14ac:dyDescent="0.25">
      <c r="A18" s="215" t="s">
        <v>203</v>
      </c>
      <c r="B18" s="216">
        <f>B15+B16+B17</f>
        <v>0</v>
      </c>
      <c r="C18" s="217" t="e">
        <f>(B18/$B$7)*-1</f>
        <v>#DIV/0!</v>
      </c>
      <c r="D18" s="216">
        <f>D15+D16+D17</f>
        <v>0</v>
      </c>
      <c r="E18" s="217" t="e">
        <f>(D18/$D$7)*-1</f>
        <v>#DIV/0!</v>
      </c>
      <c r="F18" s="216">
        <f>F15+F16+F17</f>
        <v>0</v>
      </c>
      <c r="G18" s="217" t="e">
        <f>(F18/$F$7)*-1</f>
        <v>#DIV/0!</v>
      </c>
      <c r="H18" s="216">
        <f>H15+H16+H17</f>
        <v>0</v>
      </c>
      <c r="I18" s="218" t="e">
        <f>(H18/$F$7)*-1</f>
        <v>#DIV/0!</v>
      </c>
      <c r="J18" s="216" t="e">
        <f>J15+J16+J17</f>
        <v>#DIV/0!</v>
      </c>
      <c r="K18" s="218" t="e">
        <f>(J18/$J$7)*-1</f>
        <v>#DIV/0!</v>
      </c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spans="1:26" ht="15.75" customHeight="1" x14ac:dyDescent="0.25">
      <c r="A19" s="219" t="s">
        <v>204</v>
      </c>
      <c r="B19" s="196">
        <f>B14+B18</f>
        <v>0</v>
      </c>
      <c r="C19" s="197" t="e">
        <f>B19/$B$7</f>
        <v>#DIV/0!</v>
      </c>
      <c r="D19" s="196">
        <f>D14+D18</f>
        <v>0</v>
      </c>
      <c r="E19" s="197" t="e">
        <f>D19/$D$7</f>
        <v>#DIV/0!</v>
      </c>
      <c r="F19" s="198">
        <f>F14+F18</f>
        <v>0</v>
      </c>
      <c r="G19" s="197" t="e">
        <f>F19/$F$7</f>
        <v>#DIV/0!</v>
      </c>
      <c r="H19" s="198">
        <f>H14+H18</f>
        <v>0</v>
      </c>
      <c r="I19" s="199" t="e">
        <f>H19/$H$7</f>
        <v>#DIV/0!</v>
      </c>
      <c r="J19" s="198" t="e">
        <f>J14+J18</f>
        <v>#DIV/0!</v>
      </c>
      <c r="K19" s="199" t="e">
        <f>J19/$J$7</f>
        <v>#DIV/0!</v>
      </c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spans="1:26" ht="23.25" customHeight="1" x14ac:dyDescent="0.25">
      <c r="A20" s="220" t="s">
        <v>205</v>
      </c>
      <c r="B20" s="213"/>
      <c r="C20" s="191" t="e">
        <f>B20/$B$7</f>
        <v>#DIV/0!</v>
      </c>
      <c r="D20" s="213"/>
      <c r="E20" s="191" t="e">
        <f>D20/$D$7</f>
        <v>#DIV/0!</v>
      </c>
      <c r="F20" s="194"/>
      <c r="G20" s="191" t="e">
        <f>F20/$F$7</f>
        <v>#DIV/0!</v>
      </c>
      <c r="H20" s="194"/>
      <c r="I20" s="192" t="e">
        <f>H20/$H$7</f>
        <v>#DIV/0!</v>
      </c>
      <c r="J20" s="201" t="e">
        <f>(+H20/$K$2)*12</f>
        <v>#DIV/0!</v>
      </c>
      <c r="K20" s="192" t="e">
        <f>J20/$J$7</f>
        <v>#DIV/0!</v>
      </c>
      <c r="L20" s="151" t="s">
        <v>194</v>
      </c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spans="1:26" ht="15.75" customHeight="1" x14ac:dyDescent="0.25">
      <c r="A21" s="220" t="s">
        <v>206</v>
      </c>
      <c r="B21" s="194"/>
      <c r="C21" s="191" t="e">
        <f>B21/$B$7</f>
        <v>#DIV/0!</v>
      </c>
      <c r="D21" s="194"/>
      <c r="E21" s="191" t="e">
        <f>D21/$D$7</f>
        <v>#DIV/0!</v>
      </c>
      <c r="F21" s="194"/>
      <c r="G21" s="191" t="e">
        <f>F21/$F$7</f>
        <v>#DIV/0!</v>
      </c>
      <c r="H21" s="194"/>
      <c r="I21" s="192" t="e">
        <f>H21/$H$7</f>
        <v>#DIV/0!</v>
      </c>
      <c r="J21" s="201" t="e">
        <f>(+H21/$K$2)*12</f>
        <v>#DIV/0!</v>
      </c>
      <c r="K21" s="192" t="e">
        <f>J21/$J$7</f>
        <v>#DIV/0!</v>
      </c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spans="1:26" ht="15.75" customHeight="1" x14ac:dyDescent="0.25">
      <c r="A22" s="219" t="s">
        <v>207</v>
      </c>
      <c r="B22" s="196">
        <f>B19+B20+B21</f>
        <v>0</v>
      </c>
      <c r="C22" s="197" t="e">
        <f>B22/$B$7</f>
        <v>#DIV/0!</v>
      </c>
      <c r="D22" s="196">
        <f>D19+D20+D21</f>
        <v>0</v>
      </c>
      <c r="E22" s="197" t="e">
        <f>D22/$D$7</f>
        <v>#DIV/0!</v>
      </c>
      <c r="F22" s="196">
        <f>F19+F20+F21</f>
        <v>0</v>
      </c>
      <c r="G22" s="197" t="e">
        <f>F22/$F$7</f>
        <v>#DIV/0!</v>
      </c>
      <c r="H22" s="196">
        <f>H19+H20+H21</f>
        <v>0</v>
      </c>
      <c r="I22" s="197" t="e">
        <f>H22/$H$7</f>
        <v>#DIV/0!</v>
      </c>
      <c r="J22" s="196" t="e">
        <f>J19+J20+J21</f>
        <v>#DIV/0!</v>
      </c>
      <c r="K22" s="197" t="e">
        <f>J22/$J$7</f>
        <v>#DIV/0!</v>
      </c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spans="1:26" ht="13.5" customHeight="1" x14ac:dyDescent="0.25">
      <c r="A23" s="221"/>
      <c r="B23" s="213"/>
      <c r="C23" s="191"/>
      <c r="D23" s="213"/>
      <c r="E23" s="191"/>
      <c r="F23" s="194"/>
      <c r="G23" s="191"/>
      <c r="H23" s="194"/>
      <c r="I23" s="192"/>
      <c r="J23" s="194"/>
      <c r="K23" s="192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1:26" ht="15.75" customHeight="1" x14ac:dyDescent="0.25">
      <c r="A24" s="221" t="s">
        <v>208</v>
      </c>
      <c r="B24" s="222"/>
      <c r="C24" s="191" t="e">
        <f>(B24/$B$7)*-1</f>
        <v>#DIV/0!</v>
      </c>
      <c r="D24" s="194"/>
      <c r="E24" s="191" t="e">
        <f>(D24/$D$7)*-1</f>
        <v>#DIV/0!</v>
      </c>
      <c r="F24" s="194"/>
      <c r="G24" s="191" t="e">
        <f>(F24/$F$7)*-1</f>
        <v>#DIV/0!</v>
      </c>
      <c r="H24" s="194"/>
      <c r="I24" s="192" t="e">
        <f>(H24/$H$7)*-1</f>
        <v>#DIV/0!</v>
      </c>
      <c r="J24" s="201" t="e">
        <f>(+H24/$K$2)*12</f>
        <v>#DIV/0!</v>
      </c>
      <c r="K24" s="192" t="e">
        <f>(J24/$J$7)*-1</f>
        <v>#DIV/0!</v>
      </c>
      <c r="L24" s="151" t="s">
        <v>194</v>
      </c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1:26" ht="24.75" customHeight="1" x14ac:dyDescent="0.25">
      <c r="A25" s="223" t="s">
        <v>209</v>
      </c>
      <c r="B25" s="224">
        <f>B22+B24</f>
        <v>0</v>
      </c>
      <c r="C25" s="225" t="e">
        <f>B25/$B$7</f>
        <v>#DIV/0!</v>
      </c>
      <c r="D25" s="224">
        <f>D22+D24</f>
        <v>0</v>
      </c>
      <c r="E25" s="225" t="e">
        <f>D25/$D$7</f>
        <v>#DIV/0!</v>
      </c>
      <c r="F25" s="224">
        <f>F22+F24</f>
        <v>0</v>
      </c>
      <c r="G25" s="225" t="e">
        <f>F25/$F$7</f>
        <v>#DIV/0!</v>
      </c>
      <c r="H25" s="224">
        <f>H22+H24</f>
        <v>0</v>
      </c>
      <c r="I25" s="226" t="e">
        <f>H25/$H$7</f>
        <v>#DIV/0!</v>
      </c>
      <c r="J25" s="224" t="e">
        <f>J22+J24</f>
        <v>#DIV/0!</v>
      </c>
      <c r="K25" s="226" t="e">
        <f>J25/$J$7</f>
        <v>#DIV/0!</v>
      </c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1:26" ht="25.5" customHeight="1" x14ac:dyDescent="0.25">
      <c r="A26" s="227"/>
      <c r="B26" s="228" t="s">
        <v>116</v>
      </c>
      <c r="C26" s="229"/>
      <c r="D26" s="228" t="s">
        <v>116</v>
      </c>
      <c r="E26" s="229"/>
      <c r="F26" s="230" t="s">
        <v>116</v>
      </c>
      <c r="G26" s="231"/>
      <c r="H26" s="232" t="s">
        <v>210</v>
      </c>
      <c r="I26" s="233"/>
      <c r="J26" s="232" t="s">
        <v>210</v>
      </c>
      <c r="K26" s="233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spans="1:26" ht="15.75" customHeight="1" x14ac:dyDescent="0.25">
      <c r="A27" s="151"/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spans="1:26" ht="15.75" customHeight="1" x14ac:dyDescent="0.25">
      <c r="A28" s="151"/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spans="1:26" ht="15.75" customHeight="1" x14ac:dyDescent="0.3">
      <c r="A29" s="234" t="s">
        <v>211</v>
      </c>
      <c r="B29" s="235"/>
      <c r="C29" s="191"/>
      <c r="D29" s="235">
        <f>(+Balance!D31-Balance!B31)*-1</f>
        <v>0</v>
      </c>
      <c r="E29" s="191"/>
      <c r="F29" s="235">
        <f>(+Balance!F31-Balance!D31)*-1</f>
        <v>0</v>
      </c>
      <c r="G29" s="191"/>
      <c r="H29" s="235">
        <f>(+Balance!H31-Balance!F31)*-1</f>
        <v>0</v>
      </c>
      <c r="I29" s="192"/>
      <c r="J29" s="201" t="e">
        <f>(+H29/$K$2)*12</f>
        <v>#DIV/0!</v>
      </c>
      <c r="K29" s="192"/>
      <c r="L29" s="151" t="s">
        <v>212</v>
      </c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spans="1:26" ht="15.75" customHeight="1" x14ac:dyDescent="0.25">
      <c r="A30" s="202" t="s">
        <v>213</v>
      </c>
      <c r="B30" s="236">
        <f>B29+B14</f>
        <v>0</v>
      </c>
      <c r="C30" s="237"/>
      <c r="D30" s="236">
        <f>D29+D14</f>
        <v>0</v>
      </c>
      <c r="E30" s="237"/>
      <c r="F30" s="236">
        <f>F29+F14</f>
        <v>0</v>
      </c>
      <c r="G30" s="237"/>
      <c r="H30" s="236">
        <f>H29+H14</f>
        <v>0</v>
      </c>
      <c r="I30" s="238"/>
      <c r="J30" s="236" t="e">
        <f>J29+J14</f>
        <v>#DIV/0!</v>
      </c>
      <c r="K30" s="238"/>
      <c r="L30" s="239" t="s">
        <v>214</v>
      </c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spans="1:26" ht="15.75" customHeight="1" x14ac:dyDescent="0.25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spans="1:26" ht="15.75" customHeight="1" x14ac:dyDescent="0.25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spans="1:26" ht="15.75" customHeight="1" x14ac:dyDescent="0.25">
      <c r="A33" s="151"/>
      <c r="B33" s="188"/>
      <c r="C33" s="188"/>
      <c r="D33" s="188"/>
      <c r="E33" s="188"/>
      <c r="F33" s="188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spans="1:26" ht="15.75" customHeight="1" x14ac:dyDescent="0.25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spans="1:26" ht="15.75" customHeight="1" x14ac:dyDescent="0.25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spans="1:26" ht="15.75" customHeight="1" x14ac:dyDescent="0.25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spans="1:26" ht="15.75" customHeight="1" x14ac:dyDescent="0.25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spans="1:26" ht="15.75" customHeight="1" x14ac:dyDescent="0.25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spans="1:26" ht="15.75" customHeight="1" x14ac:dyDescent="0.25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spans="1:26" ht="15.75" customHeight="1" x14ac:dyDescent="0.25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spans="1:26" ht="15.75" customHeight="1" x14ac:dyDescent="0.25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spans="1:26" ht="15.75" customHeight="1" x14ac:dyDescent="0.25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spans="1:26" ht="15.75" customHeight="1" x14ac:dyDescent="0.25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spans="1:26" ht="15.75" customHeight="1" x14ac:dyDescent="0.25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spans="1:26" ht="15.75" customHeight="1" x14ac:dyDescent="0.2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spans="1:26" ht="15.75" customHeight="1" x14ac:dyDescent="0.25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spans="1:26" ht="15.75" customHeight="1" x14ac:dyDescent="0.25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spans="1:26" ht="15.75" customHeight="1" x14ac:dyDescent="0.25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spans="1:26" ht="15.75" customHeight="1" x14ac:dyDescent="0.25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spans="1:26" ht="15.75" customHeight="1" x14ac:dyDescent="0.25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spans="1:26" ht="15.75" customHeight="1" x14ac:dyDescent="0.25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spans="1:26" ht="15.75" customHeight="1" x14ac:dyDescent="0.25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spans="1:26" ht="15.75" customHeight="1" x14ac:dyDescent="0.25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spans="1:26" ht="15.75" customHeight="1" x14ac:dyDescent="0.25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spans="1:26" ht="15.75" customHeight="1" x14ac:dyDescent="0.2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spans="1:26" ht="15.75" customHeight="1" x14ac:dyDescent="0.25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spans="1:26" ht="15.75" customHeight="1" x14ac:dyDescent="0.25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spans="1:26" ht="15.75" customHeight="1" x14ac:dyDescent="0.25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spans="1:26" ht="15.75" customHeight="1" x14ac:dyDescent="0.25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spans="1:26" ht="15.75" customHeight="1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spans="1:26" ht="15.75" customHeight="1" x14ac:dyDescent="0.25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spans="1:26" ht="15.75" customHeight="1" x14ac:dyDescent="0.25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spans="1:26" ht="15.75" customHeight="1" x14ac:dyDescent="0.25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spans="1:26" ht="15.75" customHeight="1" x14ac:dyDescent="0.25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spans="1:26" ht="15.75" customHeight="1" x14ac:dyDescent="0.2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spans="1:26" ht="15.75" customHeight="1" x14ac:dyDescent="0.25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spans="1:26" ht="15.75" customHeight="1" x14ac:dyDescent="0.25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spans="1:26" ht="15.75" customHeight="1" x14ac:dyDescent="0.25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spans="1:26" ht="15.75" customHeight="1" x14ac:dyDescent="0.25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spans="1:26" ht="15.75" customHeight="1" x14ac:dyDescent="0.25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spans="1:26" ht="15.75" customHeight="1" x14ac:dyDescent="0.25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spans="1:26" ht="15.75" customHeight="1" x14ac:dyDescent="0.25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spans="1:26" ht="15.75" customHeight="1" x14ac:dyDescent="0.25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spans="1:26" ht="15.75" customHeight="1" x14ac:dyDescent="0.25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spans="1:26" ht="15.75" customHeight="1" x14ac:dyDescent="0.2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spans="1:26" ht="15.75" customHeight="1" x14ac:dyDescent="0.25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spans="1:26" ht="15.75" customHeight="1" x14ac:dyDescent="0.25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spans="1:26" ht="15.75" customHeight="1" x14ac:dyDescent="0.25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spans="1:26" ht="15.75" customHeight="1" x14ac:dyDescent="0.25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spans="1:26" ht="15.75" customHeight="1" x14ac:dyDescent="0.25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spans="1:26" ht="15.75" customHeight="1" x14ac:dyDescent="0.25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spans="1:26" ht="15.75" customHeight="1" x14ac:dyDescent="0.25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spans="1:26" ht="15.75" customHeight="1" x14ac:dyDescent="0.25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spans="1:26" ht="15.75" customHeight="1" x14ac:dyDescent="0.25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spans="1:26" ht="15.75" customHeight="1" x14ac:dyDescent="0.2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spans="1:26" ht="15.75" customHeight="1" x14ac:dyDescent="0.25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spans="1:26" ht="15.75" customHeight="1" x14ac:dyDescent="0.25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spans="1:26" ht="15.75" customHeight="1" x14ac:dyDescent="0.25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spans="1:26" ht="15.75" customHeight="1" x14ac:dyDescent="0.25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spans="1:26" ht="15.75" customHeight="1" x14ac:dyDescent="0.25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spans="1:26" ht="15.75" customHeight="1" x14ac:dyDescent="0.25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spans="1:26" ht="15.75" customHeight="1" x14ac:dyDescent="0.25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spans="1:26" ht="15.75" customHeight="1" x14ac:dyDescent="0.25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spans="1:26" ht="15.75" customHeight="1" x14ac:dyDescent="0.25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spans="1:26" ht="15.75" customHeight="1" x14ac:dyDescent="0.2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spans="1:26" ht="15.75" customHeight="1" x14ac:dyDescent="0.25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spans="1:26" ht="15.75" customHeight="1" x14ac:dyDescent="0.25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spans="1:26" ht="15.75" customHeight="1" x14ac:dyDescent="0.25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spans="1:26" ht="15.75" customHeight="1" x14ac:dyDescent="0.25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spans="1:26" ht="15.75" customHeight="1" x14ac:dyDescent="0.25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spans="1:26" ht="15.75" customHeight="1" x14ac:dyDescent="0.25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spans="1:26" ht="15.75" customHeight="1" x14ac:dyDescent="0.25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spans="1:26" ht="15.75" customHeight="1" x14ac:dyDescent="0.25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spans="1:26" ht="15.75" customHeight="1" x14ac:dyDescent="0.25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spans="1:26" ht="15.75" customHeight="1" x14ac:dyDescent="0.2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spans="1:26" ht="15.75" customHeight="1" x14ac:dyDescent="0.25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spans="1:26" ht="15.75" customHeight="1" x14ac:dyDescent="0.25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spans="1:26" ht="15.75" customHeight="1" x14ac:dyDescent="0.25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spans="1:26" ht="15.75" customHeight="1" x14ac:dyDescent="0.25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spans="1:26" ht="15.75" customHeight="1" x14ac:dyDescent="0.25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spans="1:26" ht="15.75" customHeight="1" x14ac:dyDescent="0.25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spans="1:26" ht="15.75" customHeight="1" x14ac:dyDescent="0.25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spans="1:26" ht="15.75" customHeight="1" x14ac:dyDescent="0.25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spans="1:26" ht="15.75" customHeight="1" x14ac:dyDescent="0.25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spans="1:26" ht="15.75" customHeight="1" x14ac:dyDescent="0.2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spans="1:26" ht="15.75" customHeight="1" x14ac:dyDescent="0.25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spans="1:26" ht="15.75" customHeight="1" x14ac:dyDescent="0.25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spans="1:26" ht="15.75" customHeight="1" x14ac:dyDescent="0.25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spans="1:26" ht="15.75" customHeight="1" x14ac:dyDescent="0.25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spans="1:26" ht="15.75" customHeight="1" x14ac:dyDescent="0.25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spans="1:26" ht="15.75" customHeight="1" x14ac:dyDescent="0.25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spans="1:26" ht="15.75" customHeight="1" x14ac:dyDescent="0.25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spans="1:26" ht="15.75" customHeight="1" x14ac:dyDescent="0.25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spans="1:26" ht="15.75" customHeight="1" x14ac:dyDescent="0.25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spans="1:26" ht="15.75" customHeight="1" x14ac:dyDescent="0.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spans="1:26" ht="15.75" customHeight="1" x14ac:dyDescent="0.25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spans="1:26" ht="15.75" customHeight="1" x14ac:dyDescent="0.25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spans="1:26" ht="15.75" customHeight="1" x14ac:dyDescent="0.25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spans="1:26" ht="15.75" customHeight="1" x14ac:dyDescent="0.25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spans="1:26" ht="15.75" customHeight="1" x14ac:dyDescent="0.25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spans="1:26" ht="15.75" customHeight="1" x14ac:dyDescent="0.25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spans="1:26" ht="15.75" customHeight="1" x14ac:dyDescent="0.25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spans="1:26" ht="15.75" customHeight="1" x14ac:dyDescent="0.25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spans="1:26" ht="15.75" customHeight="1" x14ac:dyDescent="0.25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spans="1:26" ht="15.75" customHeight="1" x14ac:dyDescent="0.2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spans="1:26" ht="15.75" customHeight="1" x14ac:dyDescent="0.25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spans="1:26" ht="15.75" customHeight="1" x14ac:dyDescent="0.25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spans="1:26" ht="15.75" customHeight="1" x14ac:dyDescent="0.25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spans="1:26" ht="15.75" customHeight="1" x14ac:dyDescent="0.25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spans="1:26" ht="15.75" customHeight="1" x14ac:dyDescent="0.25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spans="1:26" ht="15.75" customHeight="1" x14ac:dyDescent="0.25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spans="1:26" ht="15.75" customHeight="1" x14ac:dyDescent="0.25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spans="1:26" ht="15.75" customHeight="1" x14ac:dyDescent="0.25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spans="1:26" ht="15.75" customHeight="1" x14ac:dyDescent="0.25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spans="1:26" ht="15.75" customHeight="1" x14ac:dyDescent="0.2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spans="1:26" ht="15.75" customHeight="1" x14ac:dyDescent="0.25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spans="1:26" ht="15.75" customHeight="1" x14ac:dyDescent="0.25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spans="1:26" ht="15.75" customHeight="1" x14ac:dyDescent="0.25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spans="1:26" ht="15.75" customHeight="1" x14ac:dyDescent="0.25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spans="1:26" ht="15.75" customHeight="1" x14ac:dyDescent="0.25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spans="1:26" ht="15.75" customHeight="1" x14ac:dyDescent="0.25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spans="1:26" ht="15.75" customHeight="1" x14ac:dyDescent="0.25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spans="1:26" ht="15.75" customHeight="1" x14ac:dyDescent="0.25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spans="1:26" ht="15.75" customHeight="1" x14ac:dyDescent="0.25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spans="1:26" ht="15.75" customHeight="1" x14ac:dyDescent="0.2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spans="1:26" ht="15.75" customHeight="1" x14ac:dyDescent="0.25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spans="1:26" ht="15.75" customHeight="1" x14ac:dyDescent="0.25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spans="1:26" ht="15.75" customHeight="1" x14ac:dyDescent="0.25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spans="1:26" ht="15.75" customHeight="1" x14ac:dyDescent="0.25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spans="1:26" ht="15.75" customHeight="1" x14ac:dyDescent="0.25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spans="1:26" ht="15.75" customHeight="1" x14ac:dyDescent="0.25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spans="1:26" ht="15.75" customHeight="1" x14ac:dyDescent="0.25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spans="1:26" ht="15.75" customHeight="1" x14ac:dyDescent="0.25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spans="1:26" ht="15.75" customHeight="1" x14ac:dyDescent="0.25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spans="1:26" ht="15.75" customHeight="1" x14ac:dyDescent="0.2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spans="1:26" ht="15.75" customHeight="1" x14ac:dyDescent="0.25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spans="1:26" ht="15.75" customHeight="1" x14ac:dyDescent="0.25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spans="1:26" ht="15.75" customHeight="1" x14ac:dyDescent="0.25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spans="1:26" ht="15.75" customHeight="1" x14ac:dyDescent="0.25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spans="1:26" ht="15.75" customHeight="1" x14ac:dyDescent="0.25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spans="1:26" ht="15.75" customHeight="1" x14ac:dyDescent="0.25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spans="1:26" ht="15.75" customHeight="1" x14ac:dyDescent="0.25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spans="1:26" ht="15.75" customHeight="1" x14ac:dyDescent="0.25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spans="1:26" ht="15.75" customHeight="1" x14ac:dyDescent="0.25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spans="1:26" ht="15.75" customHeight="1" x14ac:dyDescent="0.2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spans="1:26" ht="15.75" customHeight="1" x14ac:dyDescent="0.25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spans="1:26" ht="15.75" customHeight="1" x14ac:dyDescent="0.25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spans="1:26" ht="15.75" customHeight="1" x14ac:dyDescent="0.25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spans="1:26" ht="15.75" customHeight="1" x14ac:dyDescent="0.25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spans="1:26" ht="15.75" customHeight="1" x14ac:dyDescent="0.25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spans="1:26" ht="15.75" customHeight="1" x14ac:dyDescent="0.25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spans="1:26" ht="15.75" customHeight="1" x14ac:dyDescent="0.25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spans="1:26" ht="15.75" customHeight="1" x14ac:dyDescent="0.25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spans="1:26" ht="15.75" customHeight="1" x14ac:dyDescent="0.25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spans="1:26" ht="15.75" customHeight="1" x14ac:dyDescent="0.2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spans="1:26" ht="15.75" customHeight="1" x14ac:dyDescent="0.25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spans="1:26" ht="15.75" customHeight="1" x14ac:dyDescent="0.25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spans="1:26" ht="15.75" customHeight="1" x14ac:dyDescent="0.25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spans="1:26" ht="15.75" customHeight="1" x14ac:dyDescent="0.25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spans="1:26" ht="15.75" customHeight="1" x14ac:dyDescent="0.25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spans="1:26" ht="15.75" customHeight="1" x14ac:dyDescent="0.25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spans="1:26" ht="15.75" customHeight="1" x14ac:dyDescent="0.25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spans="1:26" ht="15.75" customHeight="1" x14ac:dyDescent="0.25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spans="1:26" ht="15.75" customHeight="1" x14ac:dyDescent="0.25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spans="1:26" ht="15.75" customHeight="1" x14ac:dyDescent="0.2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spans="1:26" ht="15.75" customHeight="1" x14ac:dyDescent="0.25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spans="1:26" ht="15.75" customHeight="1" x14ac:dyDescent="0.25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spans="1:26" ht="15.75" customHeight="1" x14ac:dyDescent="0.25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spans="1:26" ht="15.75" customHeight="1" x14ac:dyDescent="0.25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spans="1:26" ht="15.75" customHeight="1" x14ac:dyDescent="0.25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spans="1:26" ht="15.75" customHeight="1" x14ac:dyDescent="0.25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spans="1:26" ht="15.75" customHeight="1" x14ac:dyDescent="0.25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spans="1:26" ht="15.75" customHeight="1" x14ac:dyDescent="0.25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spans="1:26" ht="15.75" customHeight="1" x14ac:dyDescent="0.25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spans="1:26" ht="15.75" customHeight="1" x14ac:dyDescent="0.2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spans="1:26" ht="15.75" customHeight="1" x14ac:dyDescent="0.25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spans="1:26" ht="15.75" customHeight="1" x14ac:dyDescent="0.25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spans="1:26" ht="15.75" customHeight="1" x14ac:dyDescent="0.25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spans="1:26" ht="15.75" customHeight="1" x14ac:dyDescent="0.25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spans="1:26" ht="15.75" customHeight="1" x14ac:dyDescent="0.25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spans="1:26" ht="15.75" customHeight="1" x14ac:dyDescent="0.25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spans="1:26" ht="15.75" customHeight="1" x14ac:dyDescent="0.25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spans="1:26" ht="15.75" customHeight="1" x14ac:dyDescent="0.25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spans="1:26" ht="15.75" customHeight="1" x14ac:dyDescent="0.25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spans="1:26" ht="15.75" customHeight="1" x14ac:dyDescent="0.25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spans="1:26" ht="15.75" customHeight="1" x14ac:dyDescent="0.25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spans="1:26" ht="15.75" customHeight="1" x14ac:dyDescent="0.25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spans="1:26" ht="15.75" customHeight="1" x14ac:dyDescent="0.25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spans="1:26" ht="15.75" customHeight="1" x14ac:dyDescent="0.25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spans="1:26" ht="15.75" customHeight="1" x14ac:dyDescent="0.25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spans="1:26" ht="15.75" customHeight="1" x14ac:dyDescent="0.25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spans="1:26" ht="15.75" customHeight="1" x14ac:dyDescent="0.25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spans="1:26" ht="15.75" customHeight="1" x14ac:dyDescent="0.25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spans="1:26" ht="15.75" customHeight="1" x14ac:dyDescent="0.25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spans="1:26" ht="15.75" customHeight="1" x14ac:dyDescent="0.25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spans="1:26" ht="15.75" customHeight="1" x14ac:dyDescent="0.25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spans="1:26" ht="15.75" customHeight="1" x14ac:dyDescent="0.25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spans="1:26" ht="15.75" customHeight="1" x14ac:dyDescent="0.25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spans="1:26" ht="15.75" customHeight="1" x14ac:dyDescent="0.25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spans="1:26" ht="15.75" customHeight="1" x14ac:dyDescent="0.25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spans="1:26" ht="15.75" customHeight="1" x14ac:dyDescent="0.25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spans="1:26" ht="15.75" customHeight="1" x14ac:dyDescent="0.25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spans="1:26" ht="15.75" customHeight="1" x14ac:dyDescent="0.25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spans="1:26" ht="15.75" customHeight="1" x14ac:dyDescent="0.25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spans="1:26" ht="15.75" customHeight="1" x14ac:dyDescent="0.25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spans="1:26" ht="15.75" customHeight="1" x14ac:dyDescent="0.25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spans="1:26" ht="15.75" customHeight="1" x14ac:dyDescent="0.25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spans="1:26" ht="15.75" customHeight="1" x14ac:dyDescent="0.25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spans="1:26" ht="15.75" customHeight="1" x14ac:dyDescent="0.25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spans="1:26" ht="15.75" customHeight="1" x14ac:dyDescent="0.25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spans="1:26" ht="15.75" customHeight="1" x14ac:dyDescent="0.25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spans="1:26" ht="15.75" customHeight="1" x14ac:dyDescent="0.25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spans="1:26" ht="15.75" customHeight="1" x14ac:dyDescent="0.25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spans="1:26" ht="15.75" customHeight="1" x14ac:dyDescent="0.25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spans="1:26" ht="15.75" customHeight="1" x14ac:dyDescent="0.25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spans="1:26" ht="15.75" customHeight="1" x14ac:dyDescent="0.25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spans="1:26" ht="15.75" customHeight="1" x14ac:dyDescent="0.25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spans="1:26" ht="15.75" customHeight="1" x14ac:dyDescent="0.25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spans="1:26" ht="15.75" customHeight="1" x14ac:dyDescent="0.25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spans="1:26" ht="15.75" customHeight="1" x14ac:dyDescent="0.25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spans="1:26" ht="15.75" customHeight="1" x14ac:dyDescent="0.25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spans="1:26" ht="15.75" customHeight="1" x14ac:dyDescent="0.25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spans="1:26" ht="15.75" customHeight="1" x14ac:dyDescent="0.25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spans="1:26" ht="15.75" customHeight="1" x14ac:dyDescent="0.25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spans="1:26" ht="15.75" customHeight="1" x14ac:dyDescent="0.25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spans="1:26" ht="15.75" customHeight="1" x14ac:dyDescent="0.25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spans="1:26" ht="15.75" customHeight="1" x14ac:dyDescent="0.25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spans="1:26" ht="15.75" customHeight="1" x14ac:dyDescent="0.25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spans="1:26" ht="15.75" customHeight="1" x14ac:dyDescent="0.25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spans="1:26" ht="15.75" customHeight="1" x14ac:dyDescent="0.25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spans="1:26" ht="15.75" customHeight="1" x14ac:dyDescent="0.25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spans="1:26" ht="15.75" customHeight="1" x14ac:dyDescent="0.25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spans="1:26" ht="15.75" customHeight="1" x14ac:dyDescent="0.25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spans="1:26" ht="15.75" customHeight="1" x14ac:dyDescent="0.25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spans="1:26" ht="15.75" customHeight="1" x14ac:dyDescent="0.25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spans="1:26" ht="15.75" customHeight="1" x14ac:dyDescent="0.25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spans="1:26" ht="15.75" customHeight="1" x14ac:dyDescent="0.25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spans="1:26" ht="15.75" customHeight="1" x14ac:dyDescent="0.25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spans="1:26" ht="15.75" customHeight="1" x14ac:dyDescent="0.25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spans="1:26" ht="15.75" customHeight="1" x14ac:dyDescent="0.25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spans="1:26" ht="15.75" customHeight="1" x14ac:dyDescent="0.25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spans="1:26" ht="15.75" customHeight="1" x14ac:dyDescent="0.25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spans="1:26" ht="15.75" customHeight="1" x14ac:dyDescent="0.25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spans="1:26" ht="15.75" customHeight="1" x14ac:dyDescent="0.25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spans="1:26" ht="15.75" customHeight="1" x14ac:dyDescent="0.25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spans="1:26" ht="15.75" customHeight="1" x14ac:dyDescent="0.25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spans="1:26" ht="15.75" customHeight="1" x14ac:dyDescent="0.25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spans="1:26" ht="15.75" customHeight="1" x14ac:dyDescent="0.25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spans="1:26" ht="15.75" customHeight="1" x14ac:dyDescent="0.25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spans="1:26" ht="15.75" customHeight="1" x14ac:dyDescent="0.25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spans="1:26" ht="15.75" customHeight="1" x14ac:dyDescent="0.25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spans="1:26" ht="15.75" customHeight="1" x14ac:dyDescent="0.25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spans="1:26" ht="15.75" customHeight="1" x14ac:dyDescent="0.25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spans="1:26" ht="15.75" customHeight="1" x14ac:dyDescent="0.25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spans="1:26" ht="15.75" customHeight="1" x14ac:dyDescent="0.25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spans="1:26" ht="15.75" customHeight="1" x14ac:dyDescent="0.25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spans="1:26" ht="15.75" customHeight="1" x14ac:dyDescent="0.25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spans="1:26" ht="15.75" customHeight="1" x14ac:dyDescent="0.25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spans="1:26" ht="15.75" customHeight="1" x14ac:dyDescent="0.25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spans="1:26" ht="15.75" customHeight="1" x14ac:dyDescent="0.25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spans="1:26" ht="15.75" customHeight="1" x14ac:dyDescent="0.25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spans="1:26" ht="15.75" customHeight="1" x14ac:dyDescent="0.25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spans="1:26" ht="15.75" customHeight="1" x14ac:dyDescent="0.25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spans="1:26" ht="15.75" customHeight="1" x14ac:dyDescent="0.25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spans="1:26" ht="15.75" customHeight="1" x14ac:dyDescent="0.25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spans="1:26" ht="15.75" customHeight="1" x14ac:dyDescent="0.25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spans="1:26" ht="15.75" customHeight="1" x14ac:dyDescent="0.25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spans="1:26" ht="15.75" customHeight="1" x14ac:dyDescent="0.25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spans="1:26" ht="15.75" customHeight="1" x14ac:dyDescent="0.25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spans="1:26" ht="15.75" customHeight="1" x14ac:dyDescent="0.25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spans="1:26" ht="15.75" customHeight="1" x14ac:dyDescent="0.25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spans="1:26" ht="15.75" customHeight="1" x14ac:dyDescent="0.25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spans="1:26" ht="15.75" customHeight="1" x14ac:dyDescent="0.25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spans="1:26" ht="15.75" customHeight="1" x14ac:dyDescent="0.25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spans="1:26" ht="15.75" customHeight="1" x14ac:dyDescent="0.25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spans="1:26" ht="15.75" customHeight="1" x14ac:dyDescent="0.25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spans="1:26" ht="15.75" customHeight="1" x14ac:dyDescent="0.25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spans="1:26" ht="15.75" customHeight="1" x14ac:dyDescent="0.25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spans="1:26" ht="15.75" customHeight="1" x14ac:dyDescent="0.25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spans="1:26" ht="15.75" customHeight="1" x14ac:dyDescent="0.25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spans="1:26" ht="15.75" customHeight="1" x14ac:dyDescent="0.25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spans="1:26" ht="15.75" customHeight="1" x14ac:dyDescent="0.25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spans="1:26" ht="15.75" customHeight="1" x14ac:dyDescent="0.25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spans="1:26" ht="15.75" customHeight="1" x14ac:dyDescent="0.25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spans="1:26" ht="15.75" customHeight="1" x14ac:dyDescent="0.25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spans="1:26" ht="15.75" customHeight="1" x14ac:dyDescent="0.25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spans="1:26" ht="15.75" customHeight="1" x14ac:dyDescent="0.25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spans="1:26" ht="15.75" customHeight="1" x14ac:dyDescent="0.25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spans="1:26" ht="15.75" customHeight="1" x14ac:dyDescent="0.25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spans="1:26" ht="15.75" customHeight="1" x14ac:dyDescent="0.25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spans="1:26" ht="15.75" customHeight="1" x14ac:dyDescent="0.25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spans="1:26" ht="15.75" customHeight="1" x14ac:dyDescent="0.25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spans="1:26" ht="15.75" customHeight="1" x14ac:dyDescent="0.25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spans="1:26" ht="15.75" customHeight="1" x14ac:dyDescent="0.25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spans="1:26" ht="15.75" customHeight="1" x14ac:dyDescent="0.25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spans="1:26" ht="15.75" customHeight="1" x14ac:dyDescent="0.25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spans="1:26" ht="15.75" customHeight="1" x14ac:dyDescent="0.25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spans="1:26" ht="15.75" customHeight="1" x14ac:dyDescent="0.25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spans="1:26" ht="15.75" customHeight="1" x14ac:dyDescent="0.25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spans="1:26" ht="15.75" customHeight="1" x14ac:dyDescent="0.25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spans="1:26" ht="15.75" customHeight="1" x14ac:dyDescent="0.25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spans="1:26" ht="15.75" customHeight="1" x14ac:dyDescent="0.25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spans="1:26" ht="15.75" customHeight="1" x14ac:dyDescent="0.25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spans="1:26" ht="15.75" customHeight="1" x14ac:dyDescent="0.25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spans="1:26" ht="15.75" customHeight="1" x14ac:dyDescent="0.25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spans="1:26" ht="15.75" customHeight="1" x14ac:dyDescent="0.25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spans="1:26" ht="15.75" customHeight="1" x14ac:dyDescent="0.25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spans="1:26" ht="15.75" customHeight="1" x14ac:dyDescent="0.25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spans="1:26" ht="15.75" customHeight="1" x14ac:dyDescent="0.25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spans="1:26" ht="15.75" customHeight="1" x14ac:dyDescent="0.25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spans="1:26" ht="15.75" customHeight="1" x14ac:dyDescent="0.25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spans="1:26" ht="15.75" customHeight="1" x14ac:dyDescent="0.25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spans="1:26" ht="15.75" customHeight="1" x14ac:dyDescent="0.25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spans="1:26" ht="15.75" customHeight="1" x14ac:dyDescent="0.25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spans="1:26" ht="15.75" customHeight="1" x14ac:dyDescent="0.25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spans="1:26" ht="15.75" customHeight="1" x14ac:dyDescent="0.25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spans="1:26" ht="15.75" customHeight="1" x14ac:dyDescent="0.25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spans="1:26" ht="15.75" customHeight="1" x14ac:dyDescent="0.25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spans="1:26" ht="15.75" customHeight="1" x14ac:dyDescent="0.25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spans="1:26" ht="15.75" customHeight="1" x14ac:dyDescent="0.25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spans="1:26" ht="15.75" customHeight="1" x14ac:dyDescent="0.25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spans="1:26" ht="15.75" customHeight="1" x14ac:dyDescent="0.25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spans="1:26" ht="15.75" customHeight="1" x14ac:dyDescent="0.25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spans="1:26" ht="15.75" customHeight="1" x14ac:dyDescent="0.25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spans="1:26" ht="15.75" customHeight="1" x14ac:dyDescent="0.25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spans="1:26" ht="15.75" customHeight="1" x14ac:dyDescent="0.25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spans="1:26" ht="15.75" customHeight="1" x14ac:dyDescent="0.25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spans="1:26" ht="15.75" customHeight="1" x14ac:dyDescent="0.25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spans="1:26" ht="15.75" customHeight="1" x14ac:dyDescent="0.25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spans="1:26" ht="15.75" customHeight="1" x14ac:dyDescent="0.25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spans="1:26" ht="15.75" customHeight="1" x14ac:dyDescent="0.25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spans="1:26" ht="15.75" customHeight="1" x14ac:dyDescent="0.25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spans="1:26" ht="15.75" customHeight="1" x14ac:dyDescent="0.25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spans="1:26" ht="15.75" customHeight="1" x14ac:dyDescent="0.25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spans="1:26" ht="15.75" customHeight="1" x14ac:dyDescent="0.25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spans="1:26" ht="15.75" customHeight="1" x14ac:dyDescent="0.25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spans="1:26" ht="15.75" customHeight="1" x14ac:dyDescent="0.25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spans="1:26" ht="15.75" customHeight="1" x14ac:dyDescent="0.25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spans="1:26" ht="15.75" customHeight="1" x14ac:dyDescent="0.25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spans="1:26" ht="15.75" customHeight="1" x14ac:dyDescent="0.25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spans="1:26" ht="15.75" customHeight="1" x14ac:dyDescent="0.25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spans="1:26" ht="15.75" customHeight="1" x14ac:dyDescent="0.25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spans="1:26" ht="15.75" customHeight="1" x14ac:dyDescent="0.25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spans="1:26" ht="15.75" customHeight="1" x14ac:dyDescent="0.25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spans="1:26" ht="15.75" customHeight="1" x14ac:dyDescent="0.25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spans="1:26" ht="15.75" customHeight="1" x14ac:dyDescent="0.25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spans="1:26" ht="15.75" customHeight="1" x14ac:dyDescent="0.25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spans="1:26" ht="15.75" customHeight="1" x14ac:dyDescent="0.25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spans="1:26" ht="15.75" customHeight="1" x14ac:dyDescent="0.25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spans="1:26" ht="15.75" customHeight="1" x14ac:dyDescent="0.25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spans="1:26" ht="15.75" customHeight="1" x14ac:dyDescent="0.25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spans="1:26" ht="15.75" customHeight="1" x14ac:dyDescent="0.25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spans="1:26" ht="15.75" customHeight="1" x14ac:dyDescent="0.25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spans="1:26" ht="15.75" customHeight="1" x14ac:dyDescent="0.25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spans="1:26" ht="15.75" customHeight="1" x14ac:dyDescent="0.25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spans="1:26" ht="15.75" customHeight="1" x14ac:dyDescent="0.25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spans="1:26" ht="15.75" customHeight="1" x14ac:dyDescent="0.25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spans="1:26" ht="15.75" customHeight="1" x14ac:dyDescent="0.25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spans="1:26" ht="15.75" customHeight="1" x14ac:dyDescent="0.25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spans="1:26" ht="15.75" customHeight="1" x14ac:dyDescent="0.25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spans="1:26" ht="15.75" customHeight="1" x14ac:dyDescent="0.25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spans="1:26" ht="15.75" customHeight="1" x14ac:dyDescent="0.25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spans="1:26" ht="15.75" customHeight="1" x14ac:dyDescent="0.25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spans="1:26" ht="15.75" customHeight="1" x14ac:dyDescent="0.25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spans="1:26" ht="15.75" customHeight="1" x14ac:dyDescent="0.25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spans="1:26" ht="15.75" customHeight="1" x14ac:dyDescent="0.25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spans="1:26" ht="15.75" customHeight="1" x14ac:dyDescent="0.25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spans="1:26" ht="15.75" customHeight="1" x14ac:dyDescent="0.25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spans="1:26" ht="15.75" customHeight="1" x14ac:dyDescent="0.25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spans="1:26" ht="15.75" customHeight="1" x14ac:dyDescent="0.25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spans="1:26" ht="15.75" customHeight="1" x14ac:dyDescent="0.25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spans="1:26" ht="15.75" customHeight="1" x14ac:dyDescent="0.25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spans="1:26" ht="15.75" customHeight="1" x14ac:dyDescent="0.25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spans="1:26" ht="15.75" customHeight="1" x14ac:dyDescent="0.25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spans="1:26" ht="15.75" customHeight="1" x14ac:dyDescent="0.25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spans="1:26" ht="15.75" customHeight="1" x14ac:dyDescent="0.25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spans="1:26" ht="15.75" customHeight="1" x14ac:dyDescent="0.25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spans="1:26" ht="15.75" customHeight="1" x14ac:dyDescent="0.25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spans="1:26" ht="15.75" customHeight="1" x14ac:dyDescent="0.25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spans="1:26" ht="15.75" customHeight="1" x14ac:dyDescent="0.25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spans="1:26" ht="15.75" customHeight="1" x14ac:dyDescent="0.25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spans="1:26" ht="15.75" customHeight="1" x14ac:dyDescent="0.25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spans="1:26" ht="15.75" customHeight="1" x14ac:dyDescent="0.25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spans="1:26" ht="15.75" customHeight="1" x14ac:dyDescent="0.25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spans="1:26" ht="15.75" customHeight="1" x14ac:dyDescent="0.25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spans="1:26" ht="15.75" customHeight="1" x14ac:dyDescent="0.25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spans="1:26" ht="15.75" customHeight="1" x14ac:dyDescent="0.25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spans="1:26" ht="15.75" customHeight="1" x14ac:dyDescent="0.25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spans="1:26" ht="15.75" customHeight="1" x14ac:dyDescent="0.25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spans="1:26" ht="15.75" customHeight="1" x14ac:dyDescent="0.25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spans="1:26" ht="15.75" customHeight="1" x14ac:dyDescent="0.25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spans="1:26" ht="15.75" customHeight="1" x14ac:dyDescent="0.25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spans="1:26" ht="15.75" customHeight="1" x14ac:dyDescent="0.25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spans="1:26" ht="15.75" customHeight="1" x14ac:dyDescent="0.25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spans="1:26" ht="15.75" customHeight="1" x14ac:dyDescent="0.25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spans="1:26" ht="15.75" customHeight="1" x14ac:dyDescent="0.25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spans="1:26" ht="15.75" customHeight="1" x14ac:dyDescent="0.25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spans="1:26" ht="15.75" customHeight="1" x14ac:dyDescent="0.25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spans="1:26" ht="15.75" customHeight="1" x14ac:dyDescent="0.25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spans="1:26" ht="15.75" customHeight="1" x14ac:dyDescent="0.25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spans="1:26" ht="15.75" customHeight="1" x14ac:dyDescent="0.25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spans="1:26" ht="15.75" customHeight="1" x14ac:dyDescent="0.25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spans="1:26" ht="15.75" customHeight="1" x14ac:dyDescent="0.25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spans="1:26" ht="15.75" customHeight="1" x14ac:dyDescent="0.25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spans="1:26" ht="15.75" customHeight="1" x14ac:dyDescent="0.25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spans="1:26" ht="15.75" customHeight="1" x14ac:dyDescent="0.25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spans="1:26" ht="15.75" customHeight="1" x14ac:dyDescent="0.25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spans="1:26" ht="15.75" customHeight="1" x14ac:dyDescent="0.25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spans="1:26" ht="15.75" customHeight="1" x14ac:dyDescent="0.25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spans="1:26" ht="15.75" customHeight="1" x14ac:dyDescent="0.25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spans="1:26" ht="15.75" customHeight="1" x14ac:dyDescent="0.25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spans="1:26" ht="15.75" customHeight="1" x14ac:dyDescent="0.25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spans="1:26" ht="15.75" customHeight="1" x14ac:dyDescent="0.25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spans="1:26" ht="15.75" customHeight="1" x14ac:dyDescent="0.25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spans="1:26" ht="15.75" customHeight="1" x14ac:dyDescent="0.25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spans="1:26" ht="15.75" customHeight="1" x14ac:dyDescent="0.25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spans="1:26" ht="15.75" customHeight="1" x14ac:dyDescent="0.25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spans="1:26" ht="15.75" customHeight="1" x14ac:dyDescent="0.25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spans="1:26" ht="15.75" customHeight="1" x14ac:dyDescent="0.25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spans="1:26" ht="15.75" customHeight="1" x14ac:dyDescent="0.25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spans="1:26" ht="15.75" customHeight="1" x14ac:dyDescent="0.25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spans="1:26" ht="15.75" customHeight="1" x14ac:dyDescent="0.25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spans="1:26" ht="15.75" customHeight="1" x14ac:dyDescent="0.25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spans="1:26" ht="15.75" customHeight="1" x14ac:dyDescent="0.25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spans="1:26" ht="15.75" customHeight="1" x14ac:dyDescent="0.25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spans="1:26" ht="15.75" customHeight="1" x14ac:dyDescent="0.25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spans="1:26" ht="15.75" customHeight="1" x14ac:dyDescent="0.25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spans="1:26" ht="15.75" customHeight="1" x14ac:dyDescent="0.25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spans="1:26" ht="15.75" customHeight="1" x14ac:dyDescent="0.25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spans="1:26" ht="15.75" customHeight="1" x14ac:dyDescent="0.25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spans="1:26" ht="15.75" customHeight="1" x14ac:dyDescent="0.25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spans="1:26" ht="15.75" customHeight="1" x14ac:dyDescent="0.25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spans="1:26" ht="15.75" customHeight="1" x14ac:dyDescent="0.25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spans="1:26" ht="15.75" customHeight="1" x14ac:dyDescent="0.25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spans="1:26" ht="15.75" customHeight="1" x14ac:dyDescent="0.25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spans="1:26" ht="15.75" customHeight="1" x14ac:dyDescent="0.25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spans="1:26" ht="15.75" customHeight="1" x14ac:dyDescent="0.25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spans="1:26" ht="15.75" customHeight="1" x14ac:dyDescent="0.25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spans="1:26" ht="15.75" customHeight="1" x14ac:dyDescent="0.25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spans="1:26" ht="15.75" customHeight="1" x14ac:dyDescent="0.25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spans="1:26" ht="15.75" customHeight="1" x14ac:dyDescent="0.25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spans="1:26" ht="15.75" customHeight="1" x14ac:dyDescent="0.25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spans="1:26" ht="15.75" customHeight="1" x14ac:dyDescent="0.25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spans="1:26" ht="15.75" customHeight="1" x14ac:dyDescent="0.25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spans="1:26" ht="15.75" customHeight="1" x14ac:dyDescent="0.25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spans="1:26" ht="15.75" customHeight="1" x14ac:dyDescent="0.25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spans="1:26" ht="15.75" customHeight="1" x14ac:dyDescent="0.25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spans="1:26" ht="15.75" customHeight="1" x14ac:dyDescent="0.25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spans="1:26" ht="15.75" customHeight="1" x14ac:dyDescent="0.25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spans="1:26" ht="15.75" customHeight="1" x14ac:dyDescent="0.25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spans="1:26" ht="15.75" customHeight="1" x14ac:dyDescent="0.25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spans="1:26" ht="15.75" customHeight="1" x14ac:dyDescent="0.25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spans="1:26" ht="15.75" customHeight="1" x14ac:dyDescent="0.25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spans="1:26" ht="15.75" customHeight="1" x14ac:dyDescent="0.25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spans="1:26" ht="15.75" customHeight="1" x14ac:dyDescent="0.25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spans="1:26" ht="15.75" customHeight="1" x14ac:dyDescent="0.25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spans="1:26" ht="15.75" customHeight="1" x14ac:dyDescent="0.25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spans="1:26" ht="15.75" customHeight="1" x14ac:dyDescent="0.25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spans="1:26" ht="15.75" customHeight="1" x14ac:dyDescent="0.25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spans="1:26" ht="15.75" customHeight="1" x14ac:dyDescent="0.25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spans="1:26" ht="15.75" customHeight="1" x14ac:dyDescent="0.25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spans="1:26" ht="15.75" customHeight="1" x14ac:dyDescent="0.25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spans="1:26" ht="15.75" customHeight="1" x14ac:dyDescent="0.25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spans="1:26" ht="15.75" customHeight="1" x14ac:dyDescent="0.25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spans="1:26" ht="15.75" customHeight="1" x14ac:dyDescent="0.25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spans="1:26" ht="15.75" customHeight="1" x14ac:dyDescent="0.25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spans="1:26" ht="15.75" customHeight="1" x14ac:dyDescent="0.25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spans="1:26" ht="15.75" customHeight="1" x14ac:dyDescent="0.25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spans="1:26" ht="15.75" customHeight="1" x14ac:dyDescent="0.25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spans="1:26" ht="15.75" customHeight="1" x14ac:dyDescent="0.25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spans="1:26" ht="15.75" customHeight="1" x14ac:dyDescent="0.25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spans="1:26" ht="15.75" customHeight="1" x14ac:dyDescent="0.25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spans="1:26" ht="15.75" customHeight="1" x14ac:dyDescent="0.25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spans="1:26" ht="15.75" customHeight="1" x14ac:dyDescent="0.25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spans="1:26" ht="15.75" customHeight="1" x14ac:dyDescent="0.25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spans="1:26" ht="15.75" customHeight="1" x14ac:dyDescent="0.25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spans="1:26" ht="15.75" customHeight="1" x14ac:dyDescent="0.25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spans="1:26" ht="15.75" customHeight="1" x14ac:dyDescent="0.25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spans="1:26" ht="15.75" customHeight="1" x14ac:dyDescent="0.25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spans="1:26" ht="15.75" customHeight="1" x14ac:dyDescent="0.25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spans="1:26" ht="15.75" customHeight="1" x14ac:dyDescent="0.25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spans="1:26" ht="15.75" customHeight="1" x14ac:dyDescent="0.25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spans="1:26" ht="15.75" customHeight="1" x14ac:dyDescent="0.25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spans="1:26" ht="15.75" customHeight="1" x14ac:dyDescent="0.25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spans="1:26" ht="15.75" customHeight="1" x14ac:dyDescent="0.25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spans="1:26" ht="15.75" customHeight="1" x14ac:dyDescent="0.25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spans="1:26" ht="15.75" customHeight="1" x14ac:dyDescent="0.25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spans="1:26" ht="15.75" customHeight="1" x14ac:dyDescent="0.25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spans="1:26" ht="15.75" customHeight="1" x14ac:dyDescent="0.25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spans="1:26" ht="15.75" customHeight="1" x14ac:dyDescent="0.25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spans="1:26" ht="15.75" customHeight="1" x14ac:dyDescent="0.25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spans="1:26" ht="15.75" customHeight="1" x14ac:dyDescent="0.25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spans="1:26" ht="15.75" customHeight="1" x14ac:dyDescent="0.25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spans="1:26" ht="15.75" customHeight="1" x14ac:dyDescent="0.25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spans="1:26" ht="15.75" customHeight="1" x14ac:dyDescent="0.25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spans="1:26" ht="15.75" customHeight="1" x14ac:dyDescent="0.25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spans="1:26" ht="15.75" customHeight="1" x14ac:dyDescent="0.25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spans="1:26" ht="15.75" customHeight="1" x14ac:dyDescent="0.25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spans="1:26" ht="15.75" customHeight="1" x14ac:dyDescent="0.25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spans="1:26" ht="15.75" customHeight="1" x14ac:dyDescent="0.25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spans="1:26" ht="15.75" customHeight="1" x14ac:dyDescent="0.25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spans="1:26" ht="15.75" customHeight="1" x14ac:dyDescent="0.25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spans="1:26" ht="15.75" customHeight="1" x14ac:dyDescent="0.25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spans="1:26" ht="15.75" customHeight="1" x14ac:dyDescent="0.25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spans="1:26" ht="15.75" customHeight="1" x14ac:dyDescent="0.25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spans="1:26" ht="15.75" customHeight="1" x14ac:dyDescent="0.25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spans="1:26" ht="15.75" customHeight="1" x14ac:dyDescent="0.25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spans="1:26" ht="15.75" customHeight="1" x14ac:dyDescent="0.25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spans="1:26" ht="15.75" customHeight="1" x14ac:dyDescent="0.25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spans="1:26" ht="15.75" customHeight="1" x14ac:dyDescent="0.25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spans="1:26" ht="15.75" customHeight="1" x14ac:dyDescent="0.25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spans="1:26" ht="15.75" customHeight="1" x14ac:dyDescent="0.25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spans="1:26" ht="15.75" customHeight="1" x14ac:dyDescent="0.25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spans="1:26" ht="15.75" customHeight="1" x14ac:dyDescent="0.25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spans="1:26" ht="15.75" customHeight="1" x14ac:dyDescent="0.25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spans="1:26" ht="15.75" customHeight="1" x14ac:dyDescent="0.25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spans="1:26" ht="15.75" customHeight="1" x14ac:dyDescent="0.25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spans="1:26" ht="15.75" customHeight="1" x14ac:dyDescent="0.25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spans="1:26" ht="15.75" customHeight="1" x14ac:dyDescent="0.25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spans="1:26" ht="15.75" customHeight="1" x14ac:dyDescent="0.25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spans="1:26" ht="15.75" customHeight="1" x14ac:dyDescent="0.25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spans="1:26" ht="15.75" customHeight="1" x14ac:dyDescent="0.25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spans="1:26" ht="15.75" customHeight="1" x14ac:dyDescent="0.25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spans="1:26" ht="15.75" customHeight="1" x14ac:dyDescent="0.25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spans="1:26" ht="15.75" customHeight="1" x14ac:dyDescent="0.25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spans="1:26" ht="15.75" customHeight="1" x14ac:dyDescent="0.25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spans="1:26" ht="15.75" customHeight="1" x14ac:dyDescent="0.25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spans="1:26" ht="15.75" customHeight="1" x14ac:dyDescent="0.25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spans="1:26" ht="15.75" customHeight="1" x14ac:dyDescent="0.25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spans="1:26" ht="15.75" customHeight="1" x14ac:dyDescent="0.25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spans="1:26" ht="15.75" customHeight="1" x14ac:dyDescent="0.25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spans="1:26" ht="15.75" customHeight="1" x14ac:dyDescent="0.25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spans="1:26" ht="15.75" customHeight="1" x14ac:dyDescent="0.25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spans="1:26" ht="15.75" customHeight="1" x14ac:dyDescent="0.25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spans="1:26" ht="15.75" customHeight="1" x14ac:dyDescent="0.25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spans="1:26" ht="15.75" customHeight="1" x14ac:dyDescent="0.25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spans="1:26" ht="15.75" customHeight="1" x14ac:dyDescent="0.25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spans="1:26" ht="15.75" customHeight="1" x14ac:dyDescent="0.25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spans="1:26" ht="15.75" customHeight="1" x14ac:dyDescent="0.25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spans="1:26" ht="15.75" customHeight="1" x14ac:dyDescent="0.25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spans="1:26" ht="15.75" customHeight="1" x14ac:dyDescent="0.25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spans="1:26" ht="15.75" customHeight="1" x14ac:dyDescent="0.25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spans="1:26" ht="15.75" customHeight="1" x14ac:dyDescent="0.25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spans="1:26" ht="15.75" customHeight="1" x14ac:dyDescent="0.25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spans="1:26" ht="15.75" customHeight="1" x14ac:dyDescent="0.25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spans="1:26" ht="15.75" customHeight="1" x14ac:dyDescent="0.25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spans="1:26" ht="15.75" customHeight="1" x14ac:dyDescent="0.25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spans="1:26" ht="15.75" customHeight="1" x14ac:dyDescent="0.25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spans="1:26" ht="15.75" customHeight="1" x14ac:dyDescent="0.25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spans="1:26" ht="15.75" customHeight="1" x14ac:dyDescent="0.25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spans="1:26" ht="15.75" customHeight="1" x14ac:dyDescent="0.25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spans="1:26" ht="15.75" customHeight="1" x14ac:dyDescent="0.25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spans="1:26" ht="15.75" customHeight="1" x14ac:dyDescent="0.25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spans="1:26" ht="15.75" customHeight="1" x14ac:dyDescent="0.25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spans="1:26" ht="15.75" customHeight="1" x14ac:dyDescent="0.25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spans="1:26" ht="15.75" customHeight="1" x14ac:dyDescent="0.25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spans="1:26" ht="15.75" customHeight="1" x14ac:dyDescent="0.25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spans="1:26" ht="15.75" customHeight="1" x14ac:dyDescent="0.25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spans="1:26" ht="15.75" customHeight="1" x14ac:dyDescent="0.25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spans="1:26" ht="15.75" customHeight="1" x14ac:dyDescent="0.25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spans="1:26" ht="15.75" customHeight="1" x14ac:dyDescent="0.25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spans="1:26" ht="15.75" customHeight="1" x14ac:dyDescent="0.25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spans="1:26" ht="15.75" customHeight="1" x14ac:dyDescent="0.25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spans="1:26" ht="15.75" customHeight="1" x14ac:dyDescent="0.25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spans="1:26" ht="15.75" customHeight="1" x14ac:dyDescent="0.25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spans="1:26" ht="15.75" customHeight="1" x14ac:dyDescent="0.25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spans="1:26" ht="15.75" customHeight="1" x14ac:dyDescent="0.25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spans="1:26" ht="15.75" customHeight="1" x14ac:dyDescent="0.25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spans="1:26" ht="15.75" customHeight="1" x14ac:dyDescent="0.25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spans="1:26" ht="15.75" customHeight="1" x14ac:dyDescent="0.25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spans="1:26" ht="15.75" customHeight="1" x14ac:dyDescent="0.25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spans="1:26" ht="15.75" customHeight="1" x14ac:dyDescent="0.25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spans="1:26" ht="15.75" customHeight="1" x14ac:dyDescent="0.25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spans="1:26" ht="15.75" customHeight="1" x14ac:dyDescent="0.25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spans="1:26" ht="15.75" customHeight="1" x14ac:dyDescent="0.25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spans="1:26" ht="15.75" customHeight="1" x14ac:dyDescent="0.25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spans="1:26" ht="15.75" customHeight="1" x14ac:dyDescent="0.25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spans="1:26" ht="15.75" customHeight="1" x14ac:dyDescent="0.25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spans="1:26" ht="15.75" customHeight="1" x14ac:dyDescent="0.25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spans="1:26" ht="15.75" customHeight="1" x14ac:dyDescent="0.25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spans="1:26" ht="15.75" customHeight="1" x14ac:dyDescent="0.25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spans="1:26" ht="15.75" customHeight="1" x14ac:dyDescent="0.25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spans="1:26" ht="15.75" customHeight="1" x14ac:dyDescent="0.25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spans="1:26" ht="15.75" customHeight="1" x14ac:dyDescent="0.25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spans="1:26" ht="15.75" customHeight="1" x14ac:dyDescent="0.25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spans="1:26" ht="15.75" customHeight="1" x14ac:dyDescent="0.25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spans="1:26" ht="15.75" customHeight="1" x14ac:dyDescent="0.25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spans="1:26" ht="15.75" customHeight="1" x14ac:dyDescent="0.25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spans="1:26" ht="15.75" customHeight="1" x14ac:dyDescent="0.25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spans="1:26" ht="15.75" customHeight="1" x14ac:dyDescent="0.25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spans="1:26" ht="15.75" customHeight="1" x14ac:dyDescent="0.25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spans="1:26" ht="15.75" customHeight="1" x14ac:dyDescent="0.25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spans="1:26" ht="15.75" customHeight="1" x14ac:dyDescent="0.25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spans="1:26" ht="15.75" customHeight="1" x14ac:dyDescent="0.25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spans="1:26" ht="15.75" customHeight="1" x14ac:dyDescent="0.25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spans="1:26" ht="15.75" customHeight="1" x14ac:dyDescent="0.25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spans="1:26" ht="15.75" customHeight="1" x14ac:dyDescent="0.25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spans="1:26" ht="15.75" customHeight="1" x14ac:dyDescent="0.25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spans="1:26" ht="15.75" customHeight="1" x14ac:dyDescent="0.25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spans="1:26" ht="15.75" customHeight="1" x14ac:dyDescent="0.25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spans="1:26" ht="15.75" customHeight="1" x14ac:dyDescent="0.25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spans="1:26" ht="15.75" customHeight="1" x14ac:dyDescent="0.25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spans="1:26" ht="15.75" customHeight="1" x14ac:dyDescent="0.25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spans="1:26" ht="15.75" customHeight="1" x14ac:dyDescent="0.25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spans="1:26" ht="15.75" customHeight="1" x14ac:dyDescent="0.25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spans="1:26" ht="15.75" customHeight="1" x14ac:dyDescent="0.25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spans="1:26" ht="15.75" customHeight="1" x14ac:dyDescent="0.25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spans="1:26" ht="15.75" customHeight="1" x14ac:dyDescent="0.25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spans="1:26" ht="15.75" customHeight="1" x14ac:dyDescent="0.25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spans="1:26" ht="15.75" customHeight="1" x14ac:dyDescent="0.25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spans="1:26" ht="15.75" customHeight="1" x14ac:dyDescent="0.25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spans="1:26" ht="15.75" customHeight="1" x14ac:dyDescent="0.25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spans="1:26" ht="15.75" customHeight="1" x14ac:dyDescent="0.25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spans="1:26" ht="15.75" customHeight="1" x14ac:dyDescent="0.25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spans="1:26" ht="15.75" customHeight="1" x14ac:dyDescent="0.25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spans="1:26" ht="15.75" customHeight="1" x14ac:dyDescent="0.25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spans="1:26" ht="15.75" customHeight="1" x14ac:dyDescent="0.25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spans="1:26" ht="15.75" customHeight="1" x14ac:dyDescent="0.25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spans="1:26" ht="15.75" customHeight="1" x14ac:dyDescent="0.25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spans="1:26" ht="15.75" customHeight="1" x14ac:dyDescent="0.25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spans="1:26" ht="15.75" customHeight="1" x14ac:dyDescent="0.25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spans="1:26" ht="15.75" customHeight="1" x14ac:dyDescent="0.25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spans="1:26" ht="15.75" customHeight="1" x14ac:dyDescent="0.25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spans="1:26" ht="15.75" customHeight="1" x14ac:dyDescent="0.25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spans="1:26" ht="15.75" customHeight="1" x14ac:dyDescent="0.25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spans="1:26" ht="15.75" customHeight="1" x14ac:dyDescent="0.25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spans="1:26" ht="15.75" customHeight="1" x14ac:dyDescent="0.25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spans="1:26" ht="15.75" customHeight="1" x14ac:dyDescent="0.25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spans="1:26" ht="15.75" customHeight="1" x14ac:dyDescent="0.25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spans="1:26" ht="15.75" customHeight="1" x14ac:dyDescent="0.25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spans="1:26" ht="15.75" customHeight="1" x14ac:dyDescent="0.25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spans="1:26" ht="15.75" customHeight="1" x14ac:dyDescent="0.25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spans="1:26" ht="15.75" customHeight="1" x14ac:dyDescent="0.25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spans="1:26" ht="15.75" customHeight="1" x14ac:dyDescent="0.25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spans="1:26" ht="15.75" customHeight="1" x14ac:dyDescent="0.25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spans="1:26" ht="15.75" customHeight="1" x14ac:dyDescent="0.25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spans="1:26" ht="15.75" customHeight="1" x14ac:dyDescent="0.25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spans="1:26" ht="15.75" customHeight="1" x14ac:dyDescent="0.25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spans="1:26" ht="15.75" customHeight="1" x14ac:dyDescent="0.25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spans="1:26" ht="15.75" customHeight="1" x14ac:dyDescent="0.25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spans="1:26" ht="15.75" customHeight="1" x14ac:dyDescent="0.25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spans="1:26" ht="15.75" customHeight="1" x14ac:dyDescent="0.25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spans="1:26" ht="15.75" customHeight="1" x14ac:dyDescent="0.25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spans="1:26" ht="15.75" customHeight="1" x14ac:dyDescent="0.25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spans="1:26" ht="15.75" customHeight="1" x14ac:dyDescent="0.25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spans="1:26" ht="15.75" customHeight="1" x14ac:dyDescent="0.25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spans="1:26" ht="15.75" customHeight="1" x14ac:dyDescent="0.25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spans="1:26" ht="15.75" customHeight="1" x14ac:dyDescent="0.25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spans="1:26" ht="15.75" customHeight="1" x14ac:dyDescent="0.25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spans="1:26" ht="15.75" customHeight="1" x14ac:dyDescent="0.25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spans="1:26" ht="15.75" customHeight="1" x14ac:dyDescent="0.25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spans="1:26" ht="15.75" customHeight="1" x14ac:dyDescent="0.25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spans="1:26" ht="15.75" customHeight="1" x14ac:dyDescent="0.25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spans="1:26" ht="15.75" customHeight="1" x14ac:dyDescent="0.25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spans="1:26" ht="15.75" customHeight="1" x14ac:dyDescent="0.25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spans="1:26" ht="15.75" customHeight="1" x14ac:dyDescent="0.25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spans="1:26" ht="15.75" customHeight="1" x14ac:dyDescent="0.25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spans="1:26" ht="15.75" customHeight="1" x14ac:dyDescent="0.25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spans="1:26" ht="15.75" customHeight="1" x14ac:dyDescent="0.25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spans="1:26" ht="15.75" customHeight="1" x14ac:dyDescent="0.25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spans="1:26" ht="15.75" customHeight="1" x14ac:dyDescent="0.25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spans="1:26" ht="15.75" customHeight="1" x14ac:dyDescent="0.25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spans="1:26" ht="15.75" customHeight="1" x14ac:dyDescent="0.25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spans="1:26" ht="15.75" customHeight="1" x14ac:dyDescent="0.25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spans="1:26" ht="15.75" customHeight="1" x14ac:dyDescent="0.25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spans="1:26" ht="15.75" customHeight="1" x14ac:dyDescent="0.25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spans="1:26" ht="15.75" customHeight="1" x14ac:dyDescent="0.25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spans="1:26" ht="15.75" customHeight="1" x14ac:dyDescent="0.25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spans="1:26" ht="15.75" customHeight="1" x14ac:dyDescent="0.25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spans="1:26" ht="15.75" customHeight="1" x14ac:dyDescent="0.25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spans="1:26" ht="15.75" customHeight="1" x14ac:dyDescent="0.25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spans="1:26" ht="15.75" customHeight="1" x14ac:dyDescent="0.25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spans="1:26" ht="15.75" customHeight="1" x14ac:dyDescent="0.25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spans="1:26" ht="15.75" customHeight="1" x14ac:dyDescent="0.25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spans="1:26" ht="15.75" customHeight="1" x14ac:dyDescent="0.25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spans="1:26" ht="15.75" customHeight="1" x14ac:dyDescent="0.25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spans="1:26" ht="15.75" customHeight="1" x14ac:dyDescent="0.25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spans="1:26" ht="15.75" customHeight="1" x14ac:dyDescent="0.25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spans="1:26" ht="15.75" customHeight="1" x14ac:dyDescent="0.25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spans="1:26" ht="15.75" customHeight="1" x14ac:dyDescent="0.25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spans="1:26" ht="15.75" customHeight="1" x14ac:dyDescent="0.25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spans="1:26" ht="15.75" customHeight="1" x14ac:dyDescent="0.25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spans="1:26" ht="15.75" customHeight="1" x14ac:dyDescent="0.25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spans="1:26" ht="15.75" customHeight="1" x14ac:dyDescent="0.25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spans="1:26" ht="15.75" customHeight="1" x14ac:dyDescent="0.25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spans="1:26" ht="15.75" customHeight="1" x14ac:dyDescent="0.25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spans="1:26" ht="15.75" customHeight="1" x14ac:dyDescent="0.25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spans="1:26" ht="15.75" customHeight="1" x14ac:dyDescent="0.25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spans="1:26" ht="15.75" customHeight="1" x14ac:dyDescent="0.25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spans="1:26" ht="15.75" customHeight="1" x14ac:dyDescent="0.25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spans="1:26" ht="15.75" customHeight="1" x14ac:dyDescent="0.25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spans="1:26" ht="15.75" customHeight="1" x14ac:dyDescent="0.25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spans="1:26" ht="15.75" customHeight="1" x14ac:dyDescent="0.25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spans="1:26" ht="15.75" customHeight="1" x14ac:dyDescent="0.25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spans="1:26" ht="15.75" customHeight="1" x14ac:dyDescent="0.25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spans="1:26" ht="15.75" customHeight="1" x14ac:dyDescent="0.25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spans="1:26" ht="15.75" customHeight="1" x14ac:dyDescent="0.25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spans="1:26" ht="15.75" customHeight="1" x14ac:dyDescent="0.25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spans="1:26" ht="15.75" customHeight="1" x14ac:dyDescent="0.25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spans="1:26" ht="15.75" customHeight="1" x14ac:dyDescent="0.25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spans="1:26" ht="15.75" customHeight="1" x14ac:dyDescent="0.25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spans="1:26" ht="15.75" customHeight="1" x14ac:dyDescent="0.25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spans="1:26" ht="15.75" customHeight="1" x14ac:dyDescent="0.25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spans="1:26" ht="15.75" customHeight="1" x14ac:dyDescent="0.25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spans="1:26" ht="15.75" customHeight="1" x14ac:dyDescent="0.25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spans="1:26" ht="15.75" customHeight="1" x14ac:dyDescent="0.25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spans="1:26" ht="15.75" customHeight="1" x14ac:dyDescent="0.25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spans="1:26" ht="15.75" customHeight="1" x14ac:dyDescent="0.25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spans="1:26" ht="15.75" customHeight="1" x14ac:dyDescent="0.25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spans="1:26" ht="15.75" customHeight="1" x14ac:dyDescent="0.25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spans="1:26" ht="15.75" customHeight="1" x14ac:dyDescent="0.25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spans="1:26" ht="15.75" customHeight="1" x14ac:dyDescent="0.25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spans="1:26" ht="15.75" customHeight="1" x14ac:dyDescent="0.25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spans="1:26" ht="15.75" customHeight="1" x14ac:dyDescent="0.25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spans="1:26" ht="15.75" customHeight="1" x14ac:dyDescent="0.25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spans="1:26" ht="15.75" customHeight="1" x14ac:dyDescent="0.25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spans="1:26" ht="15.75" customHeight="1" x14ac:dyDescent="0.25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spans="1:26" ht="15.75" customHeight="1" x14ac:dyDescent="0.25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spans="1:26" ht="15.75" customHeight="1" x14ac:dyDescent="0.25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spans="1:26" ht="15.75" customHeight="1" x14ac:dyDescent="0.25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spans="1:26" ht="15.75" customHeight="1" x14ac:dyDescent="0.25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spans="1:26" ht="15.75" customHeight="1" x14ac:dyDescent="0.25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spans="1:26" ht="15.75" customHeight="1" x14ac:dyDescent="0.25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spans="1:26" ht="15.75" customHeight="1" x14ac:dyDescent="0.25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spans="1:26" ht="15.75" customHeight="1" x14ac:dyDescent="0.25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spans="1:26" ht="15.75" customHeight="1" x14ac:dyDescent="0.25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spans="1:26" ht="15.75" customHeight="1" x14ac:dyDescent="0.25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spans="1:26" ht="15.75" customHeight="1" x14ac:dyDescent="0.25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spans="1:26" ht="15.75" customHeight="1" x14ac:dyDescent="0.25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spans="1:26" ht="15.75" customHeight="1" x14ac:dyDescent="0.25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spans="1:26" ht="15.75" customHeight="1" x14ac:dyDescent="0.25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spans="1:26" ht="15.75" customHeight="1" x14ac:dyDescent="0.25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spans="1:26" ht="15.75" customHeight="1" x14ac:dyDescent="0.25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spans="1:26" ht="15.75" customHeight="1" x14ac:dyDescent="0.25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spans="1:26" ht="15.75" customHeight="1" x14ac:dyDescent="0.25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spans="1:26" ht="15.75" customHeight="1" x14ac:dyDescent="0.25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spans="1:26" ht="15.75" customHeight="1" x14ac:dyDescent="0.25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spans="1:26" ht="15.75" customHeight="1" x14ac:dyDescent="0.25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spans="1:26" ht="15.75" customHeight="1" x14ac:dyDescent="0.25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spans="1:26" ht="15.75" customHeight="1" x14ac:dyDescent="0.25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spans="1:26" ht="15.75" customHeight="1" x14ac:dyDescent="0.25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spans="1:26" ht="15.75" customHeight="1" x14ac:dyDescent="0.25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spans="1:26" ht="15.75" customHeight="1" x14ac:dyDescent="0.25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spans="1:26" ht="15.75" customHeight="1" x14ac:dyDescent="0.25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spans="1:26" ht="15.75" customHeight="1" x14ac:dyDescent="0.25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spans="1:26" ht="15.75" customHeight="1" x14ac:dyDescent="0.25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spans="1:26" ht="15.75" customHeight="1" x14ac:dyDescent="0.25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spans="1:26" ht="15.75" customHeight="1" x14ac:dyDescent="0.25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spans="1:26" ht="15.75" customHeight="1" x14ac:dyDescent="0.25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spans="1:26" ht="15.75" customHeight="1" x14ac:dyDescent="0.25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spans="1:26" ht="15.75" customHeight="1" x14ac:dyDescent="0.25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spans="1:26" ht="15.75" customHeight="1" x14ac:dyDescent="0.25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spans="1:26" ht="15.75" customHeight="1" x14ac:dyDescent="0.25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spans="1:26" ht="15.75" customHeight="1" x14ac:dyDescent="0.25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spans="1:26" ht="15.75" customHeight="1" x14ac:dyDescent="0.25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spans="1:26" ht="15.75" customHeight="1" x14ac:dyDescent="0.25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spans="1:26" ht="15.75" customHeight="1" x14ac:dyDescent="0.25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spans="1:26" ht="15.75" customHeight="1" x14ac:dyDescent="0.25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spans="1:26" ht="15.75" customHeight="1" x14ac:dyDescent="0.25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spans="1:26" ht="15.75" customHeight="1" x14ac:dyDescent="0.25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spans="1:26" ht="15.75" customHeight="1" x14ac:dyDescent="0.25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spans="1:26" ht="15.75" customHeight="1" x14ac:dyDescent="0.25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spans="1:26" ht="15.75" customHeight="1" x14ac:dyDescent="0.25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spans="1:26" ht="15.75" customHeight="1" x14ac:dyDescent="0.25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spans="1:26" ht="15.75" customHeight="1" x14ac:dyDescent="0.25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spans="1:26" ht="15.75" customHeight="1" x14ac:dyDescent="0.25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spans="1:26" ht="15.75" customHeight="1" x14ac:dyDescent="0.25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spans="1:26" ht="15.75" customHeight="1" x14ac:dyDescent="0.25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spans="1:26" ht="15.75" customHeight="1" x14ac:dyDescent="0.25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spans="1:26" ht="15.75" customHeight="1" x14ac:dyDescent="0.25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spans="1:26" ht="15.75" customHeight="1" x14ac:dyDescent="0.25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spans="1:26" ht="15.75" customHeight="1" x14ac:dyDescent="0.25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spans="1:26" ht="15.75" customHeight="1" x14ac:dyDescent="0.25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spans="1:26" ht="15.75" customHeight="1" x14ac:dyDescent="0.25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spans="1:26" ht="15.75" customHeight="1" x14ac:dyDescent="0.25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spans="1:26" ht="15.75" customHeight="1" x14ac:dyDescent="0.25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spans="1:26" ht="15.75" customHeight="1" x14ac:dyDescent="0.25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spans="1:26" ht="15.75" customHeight="1" x14ac:dyDescent="0.25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spans="1:26" ht="15.75" customHeight="1" x14ac:dyDescent="0.25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spans="1:26" ht="15.75" customHeight="1" x14ac:dyDescent="0.25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spans="1:26" ht="15.75" customHeight="1" x14ac:dyDescent="0.25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spans="1:26" ht="15.75" customHeight="1" x14ac:dyDescent="0.25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spans="1:26" ht="15.75" customHeight="1" x14ac:dyDescent="0.25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spans="1:26" ht="15.75" customHeight="1" x14ac:dyDescent="0.25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spans="1:26" ht="15.75" customHeight="1" x14ac:dyDescent="0.25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spans="1:26" ht="15.75" customHeight="1" x14ac:dyDescent="0.25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spans="1:26" ht="15.75" customHeight="1" x14ac:dyDescent="0.25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spans="1:26" ht="15.75" customHeight="1" x14ac:dyDescent="0.25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spans="1:26" ht="15.75" customHeight="1" x14ac:dyDescent="0.25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spans="1:26" ht="15.75" customHeight="1" x14ac:dyDescent="0.25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spans="1:26" ht="15.75" customHeight="1" x14ac:dyDescent="0.25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spans="1:26" ht="15.75" customHeight="1" x14ac:dyDescent="0.25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spans="1:26" ht="15.75" customHeight="1" x14ac:dyDescent="0.25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spans="1:26" ht="15.75" customHeight="1" x14ac:dyDescent="0.25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spans="1:26" ht="15.75" customHeight="1" x14ac:dyDescent="0.25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spans="1:26" ht="15.75" customHeight="1" x14ac:dyDescent="0.25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spans="1:26" ht="15.75" customHeight="1" x14ac:dyDescent="0.25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spans="1:26" ht="15.75" customHeight="1" x14ac:dyDescent="0.25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spans="1:26" ht="15.75" customHeight="1" x14ac:dyDescent="0.25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spans="1:26" ht="15.75" customHeight="1" x14ac:dyDescent="0.25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spans="1:26" ht="15.75" customHeight="1" x14ac:dyDescent="0.25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spans="1:26" ht="15.75" customHeight="1" x14ac:dyDescent="0.25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spans="1:26" ht="15.75" customHeight="1" x14ac:dyDescent="0.25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spans="1:26" ht="15.75" customHeight="1" x14ac:dyDescent="0.25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spans="1:26" ht="15.75" customHeight="1" x14ac:dyDescent="0.25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spans="1:26" ht="15.75" customHeight="1" x14ac:dyDescent="0.25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spans="1:26" ht="15.75" customHeight="1" x14ac:dyDescent="0.25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spans="1:26" ht="15.75" customHeight="1" x14ac:dyDescent="0.25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spans="1:26" ht="15.75" customHeight="1" x14ac:dyDescent="0.25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spans="1:26" ht="15.75" customHeight="1" x14ac:dyDescent="0.25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spans="1:26" ht="15.75" customHeight="1" x14ac:dyDescent="0.25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spans="1:26" ht="15.75" customHeight="1" x14ac:dyDescent="0.25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spans="1:26" ht="15.75" customHeight="1" x14ac:dyDescent="0.25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spans="1:26" ht="15.75" customHeight="1" x14ac:dyDescent="0.25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spans="1:26" ht="15.75" customHeight="1" x14ac:dyDescent="0.25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spans="1:26" ht="15.75" customHeight="1" x14ac:dyDescent="0.25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spans="1:26" ht="15.75" customHeight="1" x14ac:dyDescent="0.25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spans="1:26" ht="15.75" customHeight="1" x14ac:dyDescent="0.25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spans="1:26" ht="15.75" customHeight="1" x14ac:dyDescent="0.25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spans="1:26" ht="15.75" customHeight="1" x14ac:dyDescent="0.25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spans="1:26" ht="15.75" customHeight="1" x14ac:dyDescent="0.25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spans="1:26" ht="15.75" customHeight="1" x14ac:dyDescent="0.25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spans="1:26" ht="15.75" customHeight="1" x14ac:dyDescent="0.25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spans="1:26" ht="15.75" customHeight="1" x14ac:dyDescent="0.25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spans="1:26" ht="15.75" customHeight="1" x14ac:dyDescent="0.25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spans="1:26" ht="15.75" customHeight="1" x14ac:dyDescent="0.25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spans="1:26" ht="15.75" customHeight="1" x14ac:dyDescent="0.25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spans="1:26" ht="15.75" customHeight="1" x14ac:dyDescent="0.25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spans="1:26" ht="15.75" customHeight="1" x14ac:dyDescent="0.25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spans="1:26" ht="15.75" customHeight="1" x14ac:dyDescent="0.25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spans="1:26" ht="15.75" customHeight="1" x14ac:dyDescent="0.25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spans="1:26" ht="15.75" customHeight="1" x14ac:dyDescent="0.25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spans="1:26" ht="15.75" customHeight="1" x14ac:dyDescent="0.25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spans="1:26" ht="15.75" customHeight="1" x14ac:dyDescent="0.25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spans="1:26" ht="15.75" customHeight="1" x14ac:dyDescent="0.25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spans="1:26" ht="15.75" customHeight="1" x14ac:dyDescent="0.25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spans="1:26" ht="15.75" customHeight="1" x14ac:dyDescent="0.25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spans="1:26" ht="15.75" customHeight="1" x14ac:dyDescent="0.25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spans="1:26" ht="15.75" customHeight="1" x14ac:dyDescent="0.25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spans="1:26" ht="15.75" customHeight="1" x14ac:dyDescent="0.25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spans="1:26" ht="15.75" customHeight="1" x14ac:dyDescent="0.25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spans="1:26" ht="15.75" customHeight="1" x14ac:dyDescent="0.25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spans="1:26" ht="15.75" customHeight="1" x14ac:dyDescent="0.25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spans="1:26" ht="15.75" customHeight="1" x14ac:dyDescent="0.25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spans="1:26" ht="15.75" customHeight="1" x14ac:dyDescent="0.25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spans="1:26" ht="15.75" customHeight="1" x14ac:dyDescent="0.25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spans="1:26" ht="15.75" customHeight="1" x14ac:dyDescent="0.25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spans="1:26" ht="15.75" customHeight="1" x14ac:dyDescent="0.25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spans="1:26" ht="15.75" customHeight="1" x14ac:dyDescent="0.25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spans="1:26" ht="15.75" customHeight="1" x14ac:dyDescent="0.25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spans="1:26" ht="15.75" customHeight="1" x14ac:dyDescent="0.25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spans="1:26" ht="15.75" customHeight="1" x14ac:dyDescent="0.25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spans="1:26" ht="15.75" customHeight="1" x14ac:dyDescent="0.25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spans="1:26" ht="15.75" customHeight="1" x14ac:dyDescent="0.25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spans="1:26" ht="15.75" customHeight="1" x14ac:dyDescent="0.25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spans="1:26" ht="15.75" customHeight="1" x14ac:dyDescent="0.25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spans="1:26" ht="15.75" customHeight="1" x14ac:dyDescent="0.25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spans="1:26" ht="15.75" customHeight="1" x14ac:dyDescent="0.25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spans="1:26" ht="15.75" customHeight="1" x14ac:dyDescent="0.25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spans="1:26" ht="15.75" customHeight="1" x14ac:dyDescent="0.25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spans="1:26" ht="15.75" customHeight="1" x14ac:dyDescent="0.25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spans="1:26" ht="15.75" customHeight="1" x14ac:dyDescent="0.25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spans="1:26" ht="15.75" customHeight="1" x14ac:dyDescent="0.25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spans="1:26" ht="15.75" customHeight="1" x14ac:dyDescent="0.25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spans="1:26" ht="15.75" customHeight="1" x14ac:dyDescent="0.25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spans="1:26" ht="15.75" customHeight="1" x14ac:dyDescent="0.25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spans="1:26" ht="15.75" customHeight="1" x14ac:dyDescent="0.25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spans="1:26" ht="15.75" customHeight="1" x14ac:dyDescent="0.25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spans="1:26" ht="15.75" customHeight="1" x14ac:dyDescent="0.25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spans="1:26" ht="15.75" customHeight="1" x14ac:dyDescent="0.25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spans="1:26" ht="15.75" customHeight="1" x14ac:dyDescent="0.25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spans="1:26" ht="15.75" customHeight="1" x14ac:dyDescent="0.25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spans="1:26" ht="15.75" customHeight="1" x14ac:dyDescent="0.25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spans="1:26" ht="15.75" customHeight="1" x14ac:dyDescent="0.25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spans="1:26" ht="15.75" customHeight="1" x14ac:dyDescent="0.25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spans="1:26" ht="15.75" customHeight="1" x14ac:dyDescent="0.25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spans="1:26" ht="15.75" customHeight="1" x14ac:dyDescent="0.25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spans="1:26" ht="15.75" customHeight="1" x14ac:dyDescent="0.25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spans="1:26" ht="15.75" customHeight="1" x14ac:dyDescent="0.25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spans="1:26" ht="15.75" customHeight="1" x14ac:dyDescent="0.25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spans="1:26" ht="15.75" customHeight="1" x14ac:dyDescent="0.25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spans="1:26" ht="15.75" customHeight="1" x14ac:dyDescent="0.25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spans="1:26" ht="15.75" customHeight="1" x14ac:dyDescent="0.25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spans="1:26" ht="15.75" customHeight="1" x14ac:dyDescent="0.25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spans="1:26" ht="15.75" customHeight="1" x14ac:dyDescent="0.25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spans="1:26" ht="15.75" customHeight="1" x14ac:dyDescent="0.25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spans="1:26" ht="15.75" customHeight="1" x14ac:dyDescent="0.25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spans="1:26" ht="15.75" customHeight="1" x14ac:dyDescent="0.25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spans="1:26" ht="15.75" customHeight="1" x14ac:dyDescent="0.25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spans="1:26" ht="15.75" customHeight="1" x14ac:dyDescent="0.25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spans="1:26" ht="15.75" customHeight="1" x14ac:dyDescent="0.25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spans="1:26" ht="15.75" customHeight="1" x14ac:dyDescent="0.25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spans="1:26" ht="15.75" customHeight="1" x14ac:dyDescent="0.25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spans="1:26" ht="15.75" customHeight="1" x14ac:dyDescent="0.25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spans="1:26" ht="15.75" customHeight="1" x14ac:dyDescent="0.25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spans="1:26" ht="15.75" customHeight="1" x14ac:dyDescent="0.25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spans="1:26" ht="15.75" customHeight="1" x14ac:dyDescent="0.25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spans="1:26" ht="15.75" customHeight="1" x14ac:dyDescent="0.25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spans="1:26" ht="15.75" customHeight="1" x14ac:dyDescent="0.25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spans="1:26" ht="15.75" customHeight="1" x14ac:dyDescent="0.25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spans="1:26" ht="15.75" customHeight="1" x14ac:dyDescent="0.25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spans="1:26" ht="15.75" customHeight="1" x14ac:dyDescent="0.25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spans="1:26" ht="15.75" customHeight="1" x14ac:dyDescent="0.25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spans="1:26" ht="15.75" customHeight="1" x14ac:dyDescent="0.25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spans="1:26" ht="15.75" customHeight="1" x14ac:dyDescent="0.25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spans="1:26" ht="15.75" customHeight="1" x14ac:dyDescent="0.25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spans="1:26" ht="15.75" customHeight="1" x14ac:dyDescent="0.25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spans="1:26" ht="15.75" customHeight="1" x14ac:dyDescent="0.25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spans="1:26" ht="15.75" customHeight="1" x14ac:dyDescent="0.25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spans="1:26" ht="15.75" customHeight="1" x14ac:dyDescent="0.25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spans="1:26" ht="15.75" customHeight="1" x14ac:dyDescent="0.25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spans="1:26" ht="15.75" customHeight="1" x14ac:dyDescent="0.25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spans="1:26" ht="15.75" customHeight="1" x14ac:dyDescent="0.25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spans="1:26" ht="15.75" customHeight="1" x14ac:dyDescent="0.25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spans="1:26" ht="15.75" customHeight="1" x14ac:dyDescent="0.25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spans="1:26" ht="15.75" customHeight="1" x14ac:dyDescent="0.25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spans="1:26" ht="15.75" customHeight="1" x14ac:dyDescent="0.25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spans="1:26" ht="15.75" customHeight="1" x14ac:dyDescent="0.25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spans="1:26" ht="15.75" customHeight="1" x14ac:dyDescent="0.25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spans="1:26" ht="15.75" customHeight="1" x14ac:dyDescent="0.25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spans="1:26" ht="15.75" customHeight="1" x14ac:dyDescent="0.25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spans="1:26" ht="15.75" customHeight="1" x14ac:dyDescent="0.25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spans="1:26" ht="15.75" customHeight="1" x14ac:dyDescent="0.25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spans="1:26" ht="15.75" customHeight="1" x14ac:dyDescent="0.25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spans="1:26" ht="15.75" customHeight="1" x14ac:dyDescent="0.25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spans="1:26" ht="15.75" customHeight="1" x14ac:dyDescent="0.25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spans="1:26" ht="15.75" customHeight="1" x14ac:dyDescent="0.25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spans="1:26" ht="15.75" customHeight="1" x14ac:dyDescent="0.25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spans="1:26" ht="15.75" customHeight="1" x14ac:dyDescent="0.25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spans="1:26" ht="15.75" customHeight="1" x14ac:dyDescent="0.25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spans="1:26" ht="15.75" customHeight="1" x14ac:dyDescent="0.25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spans="1:26" ht="15.75" customHeight="1" x14ac:dyDescent="0.25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spans="1:26" ht="15.75" customHeight="1" x14ac:dyDescent="0.25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spans="1:26" ht="15.75" customHeight="1" x14ac:dyDescent="0.25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spans="1:26" ht="15.75" customHeight="1" x14ac:dyDescent="0.25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spans="1:26" ht="15.75" customHeight="1" x14ac:dyDescent="0.25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spans="1:26" ht="15.75" customHeight="1" x14ac:dyDescent="0.25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spans="1:26" ht="15.75" customHeight="1" x14ac:dyDescent="0.25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spans="1:26" ht="15.75" customHeight="1" x14ac:dyDescent="0.25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spans="1:26" ht="15.75" customHeight="1" x14ac:dyDescent="0.25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spans="1:26" ht="15.75" customHeight="1" x14ac:dyDescent="0.25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spans="1:26" ht="15.75" customHeight="1" x14ac:dyDescent="0.25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spans="1:26" ht="15.75" customHeight="1" x14ac:dyDescent="0.25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spans="1:26" ht="15.75" customHeight="1" x14ac:dyDescent="0.25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spans="1:26" ht="15.75" customHeight="1" x14ac:dyDescent="0.25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spans="1:26" ht="15.75" customHeight="1" x14ac:dyDescent="0.25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spans="1:26" ht="15.75" customHeight="1" x14ac:dyDescent="0.25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spans="1:26" ht="15.75" customHeight="1" x14ac:dyDescent="0.25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spans="1:26" ht="15.75" customHeight="1" x14ac:dyDescent="0.25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spans="1:26" ht="15.75" customHeight="1" x14ac:dyDescent="0.25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spans="1:26" ht="15.75" customHeight="1" x14ac:dyDescent="0.25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spans="1:26" ht="15.75" customHeight="1" x14ac:dyDescent="0.25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spans="1:26" ht="15.75" customHeight="1" x14ac:dyDescent="0.25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spans="1:26" ht="15.75" customHeight="1" x14ac:dyDescent="0.25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spans="1:26" ht="15.75" customHeight="1" x14ac:dyDescent="0.25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spans="1:26" ht="15.75" customHeight="1" x14ac:dyDescent="0.25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spans="1:26" ht="15.75" customHeight="1" x14ac:dyDescent="0.25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spans="1:26" ht="15.75" customHeight="1" x14ac:dyDescent="0.25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spans="1:26" ht="15.75" customHeight="1" x14ac:dyDescent="0.25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spans="1:26" ht="15.75" customHeight="1" x14ac:dyDescent="0.25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spans="1:26" ht="15.75" customHeight="1" x14ac:dyDescent="0.25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spans="1:26" ht="15.75" customHeight="1" x14ac:dyDescent="0.25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spans="1:26" ht="15.75" customHeight="1" x14ac:dyDescent="0.25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spans="1:26" ht="15.75" customHeight="1" x14ac:dyDescent="0.25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spans="1:26" ht="15.75" customHeight="1" x14ac:dyDescent="0.25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spans="1:26" ht="15.75" customHeight="1" x14ac:dyDescent="0.25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spans="1:26" ht="15.75" customHeight="1" x14ac:dyDescent="0.25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spans="1:26" ht="15.75" customHeight="1" x14ac:dyDescent="0.25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spans="1:26" ht="15.75" customHeight="1" x14ac:dyDescent="0.25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spans="1:26" ht="15.75" customHeight="1" x14ac:dyDescent="0.25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mergeCells count="5">
    <mergeCell ref="F3:G3"/>
    <mergeCell ref="J3:K3"/>
    <mergeCell ref="B3:C3"/>
    <mergeCell ref="D3:E3"/>
    <mergeCell ref="H3:I3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8953"/>
  </sheetPr>
  <dimension ref="A1:M1000"/>
  <sheetViews>
    <sheetView zoomScale="55" zoomScaleNormal="55" workbookViewId="0">
      <selection activeCell="D22" sqref="D22"/>
    </sheetView>
  </sheetViews>
  <sheetFormatPr baseColWidth="10" defaultColWidth="14.42578125" defaultRowHeight="15" customHeight="1" x14ac:dyDescent="0.25"/>
  <cols>
    <col min="1" max="1" width="11.42578125" customWidth="1"/>
    <col min="2" max="2" width="44.140625" customWidth="1"/>
    <col min="3" max="3" width="17.140625" customWidth="1"/>
    <col min="4" max="6" width="16.7109375" customWidth="1"/>
    <col min="7" max="8" width="16.42578125" customWidth="1"/>
    <col min="9" max="9" width="12.7109375" customWidth="1"/>
    <col min="10" max="11" width="22" customWidth="1"/>
    <col min="12" max="12" width="17.140625" customWidth="1"/>
    <col min="13" max="13" width="17.42578125" customWidth="1"/>
    <col min="14" max="26" width="11.42578125" customWidth="1"/>
  </cols>
  <sheetData>
    <row r="1" spans="1:13" ht="18.75" customHeight="1" x14ac:dyDescent="0.3">
      <c r="B1" s="240" t="s">
        <v>0</v>
      </c>
      <c r="C1" s="313">
        <f>Balance!B3</f>
        <v>0</v>
      </c>
      <c r="D1" s="314"/>
      <c r="E1" s="316">
        <f>C1+1</f>
        <v>1</v>
      </c>
      <c r="F1" s="314"/>
      <c r="G1" s="315">
        <f>E1+1</f>
        <v>2</v>
      </c>
      <c r="H1" s="314"/>
      <c r="J1" s="241" t="s">
        <v>1</v>
      </c>
      <c r="K1" s="241"/>
      <c r="L1" s="241"/>
      <c r="M1" s="241"/>
    </row>
    <row r="2" spans="1:13" ht="15.75" customHeight="1" x14ac:dyDescent="0.25">
      <c r="B2" s="242" t="s">
        <v>2</v>
      </c>
      <c r="C2" s="243" t="s">
        <v>3</v>
      </c>
      <c r="D2" s="243" t="s">
        <v>4</v>
      </c>
      <c r="E2" s="243" t="s">
        <v>3</v>
      </c>
      <c r="F2" s="243" t="s">
        <v>4</v>
      </c>
      <c r="G2" s="243" t="s">
        <v>3</v>
      </c>
      <c r="H2" s="243" t="s">
        <v>4</v>
      </c>
      <c r="J2" s="244">
        <f>K2-1</f>
        <v>0</v>
      </c>
      <c r="K2" s="244">
        <f>E1</f>
        <v>1</v>
      </c>
      <c r="L2" s="244">
        <f>K2+1</f>
        <v>2</v>
      </c>
      <c r="M2" s="244">
        <f>L2+1</f>
        <v>3</v>
      </c>
    </row>
    <row r="3" spans="1:13" x14ac:dyDescent="0.25">
      <c r="B3" s="56" t="s">
        <v>5</v>
      </c>
      <c r="C3" s="245">
        <f>+'Edo de resultados'!D25</f>
        <v>0</v>
      </c>
      <c r="D3" s="56"/>
      <c r="E3" s="245">
        <f>+'Edo de resultados'!F25</f>
        <v>0</v>
      </c>
      <c r="F3" s="56"/>
      <c r="G3" s="245">
        <f>+'Edo de resultados'!H25</f>
        <v>0</v>
      </c>
      <c r="H3" s="56"/>
      <c r="J3" s="32"/>
      <c r="K3" s="246">
        <f>C3</f>
        <v>0</v>
      </c>
      <c r="L3" s="246">
        <f>E3</f>
        <v>0</v>
      </c>
      <c r="M3" s="246">
        <f>G3</f>
        <v>0</v>
      </c>
    </row>
    <row r="4" spans="1:13" x14ac:dyDescent="0.25">
      <c r="A4" s="97" t="s">
        <v>6</v>
      </c>
      <c r="B4" s="56" t="s">
        <v>7</v>
      </c>
      <c r="C4" s="247">
        <f t="shared" ref="C4:C13" si="0">J4-K4</f>
        <v>0</v>
      </c>
      <c r="D4" s="32"/>
      <c r="E4" s="247">
        <f t="shared" ref="E4:E13" si="1">K4-L4</f>
        <v>0</v>
      </c>
      <c r="F4" s="32"/>
      <c r="G4" s="247">
        <f t="shared" ref="G4:G13" si="2">L4-M4</f>
        <v>0</v>
      </c>
      <c r="H4" s="32"/>
      <c r="I4" s="173"/>
      <c r="J4" s="248">
        <f>Balance!B31</f>
        <v>0</v>
      </c>
      <c r="K4" s="248">
        <f>Balance!D31</f>
        <v>0</v>
      </c>
      <c r="L4" s="248">
        <f>Balance!F31</f>
        <v>0</v>
      </c>
      <c r="M4" s="248">
        <f>Balance!H31</f>
        <v>0</v>
      </c>
    </row>
    <row r="5" spans="1:13" x14ac:dyDescent="0.25">
      <c r="A5" s="97" t="s">
        <v>6</v>
      </c>
      <c r="B5" s="56" t="s">
        <v>8</v>
      </c>
      <c r="C5" s="247">
        <f t="shared" si="0"/>
        <v>0</v>
      </c>
      <c r="D5" s="56"/>
      <c r="E5" s="247">
        <f t="shared" si="1"/>
        <v>0</v>
      </c>
      <c r="F5" s="56"/>
      <c r="G5" s="247">
        <f t="shared" si="2"/>
        <v>0</v>
      </c>
      <c r="H5" s="56"/>
      <c r="J5" s="249">
        <f>Balance!B11</f>
        <v>0</v>
      </c>
      <c r="K5" s="249">
        <f>Balance!D11</f>
        <v>0</v>
      </c>
      <c r="L5" s="248">
        <f>Balance!F11</f>
        <v>0</v>
      </c>
      <c r="M5" s="248">
        <f>Balance!H11</f>
        <v>0</v>
      </c>
    </row>
    <row r="6" spans="1:13" x14ac:dyDescent="0.25">
      <c r="A6" s="97" t="s">
        <v>6</v>
      </c>
      <c r="B6" s="56" t="s">
        <v>9</v>
      </c>
      <c r="C6" s="247">
        <f t="shared" si="0"/>
        <v>0</v>
      </c>
      <c r="D6" s="56"/>
      <c r="E6" s="247">
        <f t="shared" si="1"/>
        <v>0</v>
      </c>
      <c r="F6" s="56"/>
      <c r="G6" s="247">
        <f t="shared" si="2"/>
        <v>0</v>
      </c>
      <c r="H6" s="56"/>
      <c r="J6" s="249">
        <f>Balance!B12</f>
        <v>0</v>
      </c>
      <c r="K6" s="249">
        <f>Balance!D12</f>
        <v>0</v>
      </c>
      <c r="L6" s="248">
        <f>Balance!F12</f>
        <v>0</v>
      </c>
      <c r="M6" s="248">
        <f>Balance!H12</f>
        <v>0</v>
      </c>
    </row>
    <row r="7" spans="1:13" x14ac:dyDescent="0.25">
      <c r="A7" s="97" t="s">
        <v>6</v>
      </c>
      <c r="B7" s="56" t="s">
        <v>10</v>
      </c>
      <c r="C7" s="247">
        <f t="shared" si="0"/>
        <v>0</v>
      </c>
      <c r="D7" s="56"/>
      <c r="E7" s="247">
        <f t="shared" si="1"/>
        <v>0</v>
      </c>
      <c r="F7" s="56"/>
      <c r="G7" s="247">
        <f t="shared" si="2"/>
        <v>0</v>
      </c>
      <c r="H7" s="56"/>
      <c r="J7" s="249">
        <f>Balance!B13</f>
        <v>0</v>
      </c>
      <c r="K7" s="249">
        <f>Balance!D13</f>
        <v>0</v>
      </c>
      <c r="L7" s="248">
        <f>Balance!F13</f>
        <v>0</v>
      </c>
      <c r="M7" s="248">
        <f>Balance!H13</f>
        <v>0</v>
      </c>
    </row>
    <row r="8" spans="1:13" x14ac:dyDescent="0.25">
      <c r="B8" s="56" t="s">
        <v>11</v>
      </c>
      <c r="C8" s="247">
        <f t="shared" si="0"/>
        <v>0</v>
      </c>
      <c r="D8" s="56"/>
      <c r="E8" s="247">
        <f t="shared" si="1"/>
        <v>0</v>
      </c>
      <c r="F8" s="56"/>
      <c r="G8" s="247">
        <f t="shared" si="2"/>
        <v>0</v>
      </c>
      <c r="H8" s="56"/>
      <c r="J8" s="249">
        <f>Balance!B14</f>
        <v>0</v>
      </c>
      <c r="K8" s="249">
        <f>Balance!D14</f>
        <v>0</v>
      </c>
      <c r="L8" s="248">
        <f>Balance!F14</f>
        <v>0</v>
      </c>
      <c r="M8" s="248">
        <f>Balance!H14</f>
        <v>0</v>
      </c>
    </row>
    <row r="9" spans="1:13" x14ac:dyDescent="0.25">
      <c r="B9" s="56" t="s">
        <v>12</v>
      </c>
      <c r="C9" s="247">
        <f t="shared" si="0"/>
        <v>0</v>
      </c>
      <c r="D9" s="56"/>
      <c r="E9" s="247">
        <f t="shared" si="1"/>
        <v>0</v>
      </c>
      <c r="F9" s="56"/>
      <c r="G9" s="247">
        <f t="shared" si="2"/>
        <v>0</v>
      </c>
      <c r="H9" s="56"/>
      <c r="J9" s="249">
        <f>Balance!B15</f>
        <v>0</v>
      </c>
      <c r="K9" s="249">
        <f>Balance!D15</f>
        <v>0</v>
      </c>
      <c r="L9" s="248">
        <f>Balance!F15</f>
        <v>0</v>
      </c>
      <c r="M9" s="248">
        <f>Balance!H15</f>
        <v>0</v>
      </c>
    </row>
    <row r="10" spans="1:13" x14ac:dyDescent="0.25">
      <c r="B10" s="56" t="s">
        <v>13</v>
      </c>
      <c r="C10" s="247">
        <f t="shared" si="0"/>
        <v>0</v>
      </c>
      <c r="D10" s="56"/>
      <c r="E10" s="247">
        <f t="shared" si="1"/>
        <v>0</v>
      </c>
      <c r="F10" s="56"/>
      <c r="G10" s="247">
        <f t="shared" si="2"/>
        <v>0</v>
      </c>
      <c r="H10" s="56"/>
      <c r="J10" s="249">
        <f>Balance!B16</f>
        <v>0</v>
      </c>
      <c r="K10" s="249">
        <f>Balance!D16</f>
        <v>0</v>
      </c>
      <c r="L10" s="248">
        <f>Balance!F16</f>
        <v>0</v>
      </c>
      <c r="M10" s="248">
        <f>Balance!H16</f>
        <v>0</v>
      </c>
    </row>
    <row r="11" spans="1:13" x14ac:dyDescent="0.25">
      <c r="B11" s="56" t="s">
        <v>14</v>
      </c>
      <c r="C11" s="247">
        <f t="shared" si="0"/>
        <v>0</v>
      </c>
      <c r="D11" s="56"/>
      <c r="E11" s="247">
        <f t="shared" si="1"/>
        <v>0</v>
      </c>
      <c r="F11" s="56"/>
      <c r="G11" s="247">
        <f t="shared" si="2"/>
        <v>0</v>
      </c>
      <c r="H11" s="56"/>
      <c r="J11" s="249">
        <f>Balance!B18</f>
        <v>0</v>
      </c>
      <c r="K11" s="249">
        <f>Balance!D18</f>
        <v>0</v>
      </c>
      <c r="L11" s="248">
        <f>Balance!F18</f>
        <v>0</v>
      </c>
      <c r="M11" s="248">
        <f>Balance!H18</f>
        <v>0</v>
      </c>
    </row>
    <row r="12" spans="1:13" x14ac:dyDescent="0.25">
      <c r="B12" s="56" t="s">
        <v>15</v>
      </c>
      <c r="C12" s="247">
        <f t="shared" si="0"/>
        <v>0</v>
      </c>
      <c r="D12" s="56"/>
      <c r="E12" s="247">
        <f t="shared" si="1"/>
        <v>0</v>
      </c>
      <c r="F12" s="56"/>
      <c r="G12" s="247">
        <f t="shared" si="2"/>
        <v>0</v>
      </c>
      <c r="H12" s="56"/>
      <c r="J12" s="248">
        <f>+Balance!B40</f>
        <v>0</v>
      </c>
      <c r="K12" s="248">
        <f>+Balance!D40</f>
        <v>0</v>
      </c>
      <c r="L12" s="248">
        <f>+Balance!F40</f>
        <v>0</v>
      </c>
      <c r="M12" s="248">
        <f>+Balance!H40</f>
        <v>0</v>
      </c>
    </row>
    <row r="13" spans="1:13" x14ac:dyDescent="0.25">
      <c r="A13" s="97" t="s">
        <v>6</v>
      </c>
      <c r="B13" s="56" t="s">
        <v>16</v>
      </c>
      <c r="C13" s="247">
        <f t="shared" si="0"/>
        <v>0</v>
      </c>
      <c r="D13" s="56"/>
      <c r="E13" s="247">
        <f t="shared" si="1"/>
        <v>0</v>
      </c>
      <c r="F13" s="56"/>
      <c r="G13" s="247">
        <f t="shared" si="2"/>
        <v>0</v>
      </c>
      <c r="H13" s="56"/>
      <c r="J13" s="249">
        <f>Balance!B17</f>
        <v>0</v>
      </c>
      <c r="K13" s="249">
        <f>Balance!D17</f>
        <v>0</v>
      </c>
      <c r="L13" s="248">
        <f>Balance!F17</f>
        <v>0</v>
      </c>
      <c r="M13" s="248">
        <f>Balance!H17</f>
        <v>0</v>
      </c>
    </row>
    <row r="14" spans="1:13" x14ac:dyDescent="0.25">
      <c r="A14" s="97" t="s">
        <v>6</v>
      </c>
      <c r="B14" s="56" t="s">
        <v>17</v>
      </c>
      <c r="C14" s="250">
        <f t="shared" ref="C14:C20" si="3">K14-J14</f>
        <v>0</v>
      </c>
      <c r="D14" s="56"/>
      <c r="E14" s="247">
        <f t="shared" ref="E14:E20" si="4">L14-K14</f>
        <v>0</v>
      </c>
      <c r="F14" s="56"/>
      <c r="G14" s="247">
        <f t="shared" ref="G14:G20" si="5">M14-L14</f>
        <v>0</v>
      </c>
      <c r="H14" s="56"/>
      <c r="J14" s="249">
        <f>Balance!B52</f>
        <v>0</v>
      </c>
      <c r="K14" s="249">
        <f>Balance!D52</f>
        <v>0</v>
      </c>
      <c r="L14" s="248">
        <f>Balance!F52</f>
        <v>0</v>
      </c>
      <c r="M14" s="248">
        <f>Balance!H52</f>
        <v>0</v>
      </c>
    </row>
    <row r="15" spans="1:13" x14ac:dyDescent="0.25">
      <c r="B15" s="56" t="s">
        <v>18</v>
      </c>
      <c r="C15" s="250">
        <f t="shared" si="3"/>
        <v>0</v>
      </c>
      <c r="D15" s="56"/>
      <c r="E15" s="247">
        <f t="shared" si="4"/>
        <v>0</v>
      </c>
      <c r="F15" s="56"/>
      <c r="G15" s="247">
        <f t="shared" si="5"/>
        <v>0</v>
      </c>
      <c r="H15" s="56"/>
      <c r="J15" s="249">
        <f>Balance!B55</f>
        <v>0</v>
      </c>
      <c r="K15" s="249">
        <f>Balance!D55</f>
        <v>0</v>
      </c>
      <c r="L15" s="248">
        <f>Balance!F55</f>
        <v>0</v>
      </c>
      <c r="M15" s="248">
        <f>Balance!H55</f>
        <v>0</v>
      </c>
    </row>
    <row r="16" spans="1:13" x14ac:dyDescent="0.25">
      <c r="B16" s="56" t="s">
        <v>19</v>
      </c>
      <c r="C16" s="250">
        <f t="shared" si="3"/>
        <v>0</v>
      </c>
      <c r="D16" s="56"/>
      <c r="E16" s="247">
        <f t="shared" si="4"/>
        <v>0</v>
      </c>
      <c r="F16" s="56"/>
      <c r="G16" s="247">
        <f t="shared" si="5"/>
        <v>0</v>
      </c>
      <c r="H16" s="56"/>
      <c r="J16" s="249">
        <f>Balance!B56</f>
        <v>0</v>
      </c>
      <c r="K16" s="249">
        <f>Balance!D56</f>
        <v>0</v>
      </c>
      <c r="L16" s="248">
        <f>Balance!F56</f>
        <v>0</v>
      </c>
      <c r="M16" s="248">
        <f>Balance!H56</f>
        <v>0</v>
      </c>
    </row>
    <row r="17" spans="1:13" x14ac:dyDescent="0.25">
      <c r="B17" s="56" t="s">
        <v>20</v>
      </c>
      <c r="C17" s="247">
        <f t="shared" si="3"/>
        <v>0</v>
      </c>
      <c r="D17" s="56"/>
      <c r="E17" s="247">
        <f t="shared" si="4"/>
        <v>0</v>
      </c>
      <c r="F17" s="56"/>
      <c r="G17" s="247">
        <f t="shared" si="5"/>
        <v>0</v>
      </c>
      <c r="H17" s="56"/>
      <c r="J17" s="249">
        <f>+Balance!B54</f>
        <v>0</v>
      </c>
      <c r="K17" s="249">
        <f>+Balance!D54</f>
        <v>0</v>
      </c>
      <c r="L17" s="248">
        <f>+Balance!F54</f>
        <v>0</v>
      </c>
      <c r="M17" s="248">
        <f>+Balance!H54</f>
        <v>0</v>
      </c>
    </row>
    <row r="18" spans="1:13" x14ac:dyDescent="0.25">
      <c r="A18" s="97" t="s">
        <v>6</v>
      </c>
      <c r="B18" s="56" t="s">
        <v>21</v>
      </c>
      <c r="C18" s="250">
        <f t="shared" si="3"/>
        <v>0</v>
      </c>
      <c r="D18" s="56"/>
      <c r="E18" s="247">
        <f t="shared" si="4"/>
        <v>0</v>
      </c>
      <c r="F18" s="56"/>
      <c r="G18" s="247">
        <f t="shared" si="5"/>
        <v>0</v>
      </c>
      <c r="H18" s="56"/>
      <c r="J18" s="249">
        <f>+Balance!B57</f>
        <v>0</v>
      </c>
      <c r="K18" s="249">
        <f>+Balance!D57</f>
        <v>0</v>
      </c>
      <c r="L18" s="248">
        <f>+Balance!F57</f>
        <v>0</v>
      </c>
      <c r="M18" s="248">
        <f>+Balance!H57</f>
        <v>0</v>
      </c>
    </row>
    <row r="19" spans="1:13" x14ac:dyDescent="0.25">
      <c r="B19" s="56" t="s">
        <v>22</v>
      </c>
      <c r="C19" s="250">
        <f t="shared" si="3"/>
        <v>0</v>
      </c>
      <c r="D19" s="56"/>
      <c r="E19" s="247">
        <f t="shared" si="4"/>
        <v>0</v>
      </c>
      <c r="F19" s="56"/>
      <c r="G19" s="247">
        <f t="shared" si="5"/>
        <v>0</v>
      </c>
      <c r="H19" s="56"/>
      <c r="J19" s="249">
        <f>+Balance!B65</f>
        <v>0</v>
      </c>
      <c r="K19" s="249">
        <f>+Balance!D65</f>
        <v>0</v>
      </c>
      <c r="L19" s="248">
        <f>+Balance!F65</f>
        <v>0</v>
      </c>
      <c r="M19" s="248">
        <f>+Balance!H65</f>
        <v>0</v>
      </c>
    </row>
    <row r="20" spans="1:13" x14ac:dyDescent="0.25">
      <c r="B20" s="56" t="s">
        <v>23</v>
      </c>
      <c r="C20" s="250">
        <f t="shared" si="3"/>
        <v>0</v>
      </c>
      <c r="D20" s="56"/>
      <c r="E20" s="247">
        <f t="shared" si="4"/>
        <v>0</v>
      </c>
      <c r="F20" s="56"/>
      <c r="G20" s="247">
        <f t="shared" si="5"/>
        <v>0</v>
      </c>
      <c r="H20" s="56"/>
      <c r="J20" s="248">
        <f>+Balance!B66</f>
        <v>0</v>
      </c>
      <c r="K20" s="248"/>
      <c r="L20" s="248"/>
      <c r="M20" s="248"/>
    </row>
    <row r="21" spans="1:13" ht="15.75" customHeight="1" x14ac:dyDescent="0.25">
      <c r="B21" s="56"/>
      <c r="C21" s="247"/>
      <c r="D21" s="56"/>
      <c r="E21" s="247"/>
      <c r="F21" s="56"/>
      <c r="G21" s="247"/>
      <c r="H21" s="56"/>
      <c r="J21" s="248"/>
      <c r="K21" s="248"/>
      <c r="L21" s="248"/>
      <c r="M21" s="248"/>
    </row>
    <row r="22" spans="1:13" ht="15.75" customHeight="1" x14ac:dyDescent="0.25">
      <c r="B22" s="251" t="s">
        <v>24</v>
      </c>
      <c r="C22" s="247"/>
      <c r="D22" s="245">
        <f>SUM(C3:C21)</f>
        <v>0</v>
      </c>
      <c r="E22" s="247"/>
      <c r="F22" s="245">
        <f>SUM(E3:E21)</f>
        <v>0</v>
      </c>
      <c r="G22" s="247"/>
      <c r="H22" s="245">
        <f>SUM(G3:G21)</f>
        <v>0</v>
      </c>
      <c r="J22" s="32"/>
      <c r="K22" s="32"/>
      <c r="L22" s="32"/>
      <c r="M22" s="32"/>
    </row>
    <row r="23" spans="1:13" ht="15.75" customHeight="1" x14ac:dyDescent="0.25">
      <c r="B23" s="56"/>
      <c r="C23" s="56"/>
      <c r="D23" s="56"/>
      <c r="E23" s="56"/>
      <c r="F23" s="56"/>
      <c r="G23" s="56"/>
      <c r="H23" s="56"/>
      <c r="J23" s="32"/>
      <c r="K23" s="32"/>
      <c r="L23" s="32"/>
      <c r="M23" s="32"/>
    </row>
    <row r="24" spans="1:13" ht="15.75" customHeight="1" x14ac:dyDescent="0.25">
      <c r="B24" s="242" t="s">
        <v>25</v>
      </c>
      <c r="C24" s="56"/>
      <c r="D24" s="56"/>
      <c r="E24" s="56"/>
      <c r="F24" s="56"/>
      <c r="G24" s="56"/>
      <c r="H24" s="56"/>
      <c r="J24" s="32"/>
      <c r="K24" s="32"/>
      <c r="L24" s="32"/>
      <c r="M24" s="32"/>
    </row>
    <row r="25" spans="1:13" ht="15.75" customHeight="1" x14ac:dyDescent="0.25">
      <c r="B25" s="56" t="s">
        <v>26</v>
      </c>
      <c r="C25" s="247">
        <f t="shared" ref="C25:C31" si="6">J25-K25</f>
        <v>0</v>
      </c>
      <c r="D25" s="56"/>
      <c r="E25" s="247">
        <f t="shared" ref="E25:E31" si="7">K25-L25</f>
        <v>0</v>
      </c>
      <c r="F25" s="56"/>
      <c r="G25" s="247">
        <f t="shared" ref="G25:G31" si="8">L25-M25</f>
        <v>0</v>
      </c>
      <c r="H25" s="56"/>
      <c r="J25" s="249">
        <f>+Balance!B24</f>
        <v>0</v>
      </c>
      <c r="K25" s="249">
        <f>+Balance!D24</f>
        <v>0</v>
      </c>
      <c r="L25" s="249">
        <f>+Balance!F24</f>
        <v>0</v>
      </c>
      <c r="M25" s="249">
        <f>+Balance!H24</f>
        <v>0</v>
      </c>
    </row>
    <row r="26" spans="1:13" ht="15.75" customHeight="1" x14ac:dyDescent="0.25">
      <c r="B26" s="56" t="s">
        <v>27</v>
      </c>
      <c r="C26" s="247">
        <f t="shared" si="6"/>
        <v>0</v>
      </c>
      <c r="D26" s="56"/>
      <c r="E26" s="250">
        <f t="shared" si="7"/>
        <v>0</v>
      </c>
      <c r="F26" s="56"/>
      <c r="G26" s="247">
        <f t="shared" si="8"/>
        <v>0</v>
      </c>
      <c r="H26" s="56"/>
      <c r="J26" s="249">
        <f>+Balance!B25</f>
        <v>0</v>
      </c>
      <c r="K26" s="249">
        <f>+Balance!D25</f>
        <v>0</v>
      </c>
      <c r="L26" s="249">
        <f>+Balance!F25</f>
        <v>0</v>
      </c>
      <c r="M26" s="249">
        <f>+Balance!H25</f>
        <v>0</v>
      </c>
    </row>
    <row r="27" spans="1:13" ht="15.75" customHeight="1" x14ac:dyDescent="0.25">
      <c r="B27" s="56" t="s">
        <v>28</v>
      </c>
      <c r="C27" s="247">
        <f t="shared" si="6"/>
        <v>0</v>
      </c>
      <c r="D27" s="56"/>
      <c r="E27" s="250">
        <f t="shared" si="7"/>
        <v>0</v>
      </c>
      <c r="F27" s="56"/>
      <c r="G27" s="247">
        <f t="shared" si="8"/>
        <v>0</v>
      </c>
      <c r="H27" s="56"/>
      <c r="J27" s="249">
        <f>+Balance!B26</f>
        <v>0</v>
      </c>
      <c r="K27" s="249">
        <f>+Balance!D26</f>
        <v>0</v>
      </c>
      <c r="L27" s="249">
        <f>+Balance!F26</f>
        <v>0</v>
      </c>
      <c r="M27" s="249">
        <f>+Balance!H26</f>
        <v>0</v>
      </c>
    </row>
    <row r="28" spans="1:13" ht="15.75" customHeight="1" x14ac:dyDescent="0.25">
      <c r="B28" s="56" t="s">
        <v>29</v>
      </c>
      <c r="C28" s="247">
        <f t="shared" si="6"/>
        <v>0</v>
      </c>
      <c r="D28" s="56"/>
      <c r="E28" s="250">
        <f t="shared" si="7"/>
        <v>0</v>
      </c>
      <c r="F28" s="56"/>
      <c r="G28" s="247">
        <f t="shared" si="8"/>
        <v>0</v>
      </c>
      <c r="H28" s="56"/>
      <c r="J28" s="249">
        <f>+Balance!B27</f>
        <v>0</v>
      </c>
      <c r="K28" s="249">
        <f>+Balance!D27</f>
        <v>0</v>
      </c>
      <c r="L28" s="249">
        <f>+Balance!F27</f>
        <v>0</v>
      </c>
      <c r="M28" s="249">
        <f>+Balance!H27</f>
        <v>0</v>
      </c>
    </row>
    <row r="29" spans="1:13" ht="15.75" customHeight="1" x14ac:dyDescent="0.25">
      <c r="B29" s="56" t="s">
        <v>30</v>
      </c>
      <c r="C29" s="247">
        <f t="shared" si="6"/>
        <v>0</v>
      </c>
      <c r="D29" s="56"/>
      <c r="E29" s="247">
        <f t="shared" si="7"/>
        <v>0</v>
      </c>
      <c r="F29" s="56"/>
      <c r="G29" s="247">
        <f t="shared" si="8"/>
        <v>0</v>
      </c>
      <c r="H29" s="56"/>
      <c r="J29" s="249">
        <f>+Balance!B28</f>
        <v>0</v>
      </c>
      <c r="K29" s="249">
        <f>+Balance!D28</f>
        <v>0</v>
      </c>
      <c r="L29" s="249">
        <f>+Balance!F28</f>
        <v>0</v>
      </c>
      <c r="M29" s="249">
        <f>+Balance!H28</f>
        <v>0</v>
      </c>
    </row>
    <row r="30" spans="1:13" ht="15.75" customHeight="1" x14ac:dyDescent="0.25">
      <c r="B30" s="56" t="s">
        <v>31</v>
      </c>
      <c r="C30" s="247">
        <f t="shared" si="6"/>
        <v>0</v>
      </c>
      <c r="D30" s="56"/>
      <c r="E30" s="250">
        <f t="shared" si="7"/>
        <v>0</v>
      </c>
      <c r="F30" s="56"/>
      <c r="G30" s="247">
        <f t="shared" si="8"/>
        <v>0</v>
      </c>
      <c r="H30" s="56"/>
      <c r="J30" s="249">
        <f>+Balance!B29</f>
        <v>0</v>
      </c>
      <c r="K30" s="249">
        <f>+Balance!D29</f>
        <v>0</v>
      </c>
      <c r="L30" s="249">
        <f>+Balance!F29</f>
        <v>0</v>
      </c>
      <c r="M30" s="249">
        <f>+Balance!H29</f>
        <v>0</v>
      </c>
    </row>
    <row r="31" spans="1:13" ht="15.75" customHeight="1" x14ac:dyDescent="0.25">
      <c r="B31" s="56" t="s">
        <v>32</v>
      </c>
      <c r="C31" s="247">
        <f t="shared" si="6"/>
        <v>0</v>
      </c>
      <c r="D31" s="56"/>
      <c r="E31" s="247">
        <f t="shared" si="7"/>
        <v>0</v>
      </c>
      <c r="F31" s="56"/>
      <c r="G31" s="247">
        <f t="shared" si="8"/>
        <v>0</v>
      </c>
      <c r="H31" s="56"/>
      <c r="J31" s="249">
        <f>+Balance!B30</f>
        <v>0</v>
      </c>
      <c r="K31" s="249">
        <f>+Balance!D30</f>
        <v>0</v>
      </c>
      <c r="L31" s="249">
        <f>+Balance!F30</f>
        <v>0</v>
      </c>
      <c r="M31" s="249">
        <f>+Balance!H30</f>
        <v>0</v>
      </c>
    </row>
    <row r="32" spans="1:13" ht="15.75" customHeight="1" x14ac:dyDescent="0.25">
      <c r="B32" s="251" t="s">
        <v>33</v>
      </c>
      <c r="C32" s="56"/>
      <c r="D32" s="245">
        <f>SUM(C25:C31)</f>
        <v>0</v>
      </c>
      <c r="E32" s="56"/>
      <c r="F32" s="245">
        <f>SUM(E25:E31)</f>
        <v>0</v>
      </c>
      <c r="G32" s="56"/>
      <c r="H32" s="245">
        <f>SUM(G25:G31)</f>
        <v>0</v>
      </c>
      <c r="J32" s="32"/>
      <c r="K32" s="32"/>
      <c r="L32" s="32"/>
      <c r="M32" s="32"/>
    </row>
    <row r="33" spans="2:13" ht="15.75" customHeight="1" x14ac:dyDescent="0.25">
      <c r="B33" s="56"/>
      <c r="C33" s="56"/>
      <c r="D33" s="56"/>
      <c r="E33" s="56"/>
      <c r="F33" s="56"/>
      <c r="G33" s="56"/>
      <c r="H33" s="56"/>
      <c r="J33" s="32"/>
      <c r="K33" s="32"/>
      <c r="L33" s="32"/>
      <c r="M33" s="32"/>
    </row>
    <row r="34" spans="2:13" ht="15.75" customHeight="1" x14ac:dyDescent="0.25">
      <c r="B34" s="242" t="s">
        <v>34</v>
      </c>
      <c r="C34" s="56"/>
      <c r="D34" s="56"/>
      <c r="E34" s="56"/>
      <c r="F34" s="56"/>
      <c r="G34" s="56"/>
      <c r="H34" s="56"/>
      <c r="J34" s="32"/>
      <c r="K34" s="32"/>
      <c r="L34" s="32"/>
      <c r="M34" s="32"/>
    </row>
    <row r="35" spans="2:13" ht="15.75" customHeight="1" x14ac:dyDescent="0.25">
      <c r="B35" s="56" t="s">
        <v>35</v>
      </c>
      <c r="C35" s="250">
        <f t="shared" ref="C35:C41" si="9">K35-J35</f>
        <v>0</v>
      </c>
      <c r="D35" s="56"/>
      <c r="E35" s="250">
        <f t="shared" ref="E35:E41" si="10">L35-K35</f>
        <v>0</v>
      </c>
      <c r="F35" s="56"/>
      <c r="G35" s="247">
        <f t="shared" ref="G35:G41" si="11">M35-L35</f>
        <v>0</v>
      </c>
      <c r="H35" s="56"/>
      <c r="J35" s="249">
        <f>+Balance!B53</f>
        <v>0</v>
      </c>
      <c r="K35" s="249">
        <f>+Balance!D53</f>
        <v>0</v>
      </c>
      <c r="L35" s="249">
        <f>+Balance!F53</f>
        <v>0</v>
      </c>
      <c r="M35" s="249">
        <f>+Balance!H53</f>
        <v>0</v>
      </c>
    </row>
    <row r="36" spans="2:13" ht="15.75" customHeight="1" x14ac:dyDescent="0.25">
      <c r="B36" s="56" t="s">
        <v>36</v>
      </c>
      <c r="C36" s="250">
        <f t="shared" si="9"/>
        <v>0</v>
      </c>
      <c r="D36" s="56"/>
      <c r="E36" s="250">
        <f t="shared" si="10"/>
        <v>0</v>
      </c>
      <c r="F36" s="56"/>
      <c r="G36" s="247">
        <f t="shared" si="11"/>
        <v>0</v>
      </c>
      <c r="H36" s="56"/>
      <c r="J36" s="249">
        <f>+Balance!B64</f>
        <v>0</v>
      </c>
      <c r="K36" s="249">
        <f>+Balance!D64</f>
        <v>0</v>
      </c>
      <c r="L36" s="249">
        <f>+Balance!F64</f>
        <v>0</v>
      </c>
      <c r="M36" s="249">
        <f>+Balance!H64</f>
        <v>0</v>
      </c>
    </row>
    <row r="37" spans="2:13" ht="15.75" customHeight="1" x14ac:dyDescent="0.25">
      <c r="B37" s="56" t="s">
        <v>37</v>
      </c>
      <c r="C37" s="250">
        <f t="shared" si="9"/>
        <v>0</v>
      </c>
      <c r="D37" s="56"/>
      <c r="E37" s="250">
        <f t="shared" si="10"/>
        <v>0</v>
      </c>
      <c r="F37" s="56"/>
      <c r="G37" s="247">
        <f t="shared" si="11"/>
        <v>0</v>
      </c>
      <c r="H37" s="56"/>
      <c r="J37" s="248">
        <f>Balance!B74</f>
        <v>0</v>
      </c>
      <c r="K37" s="248">
        <f>Balance!D74</f>
        <v>0</v>
      </c>
      <c r="L37" s="249">
        <f>Balance!F74</f>
        <v>0</v>
      </c>
      <c r="M37" s="249">
        <f>+Balance!H74</f>
        <v>0</v>
      </c>
    </row>
    <row r="38" spans="2:13" ht="15.75" customHeight="1" x14ac:dyDescent="0.25">
      <c r="B38" s="56" t="s">
        <v>38</v>
      </c>
      <c r="C38" s="250">
        <f t="shared" si="9"/>
        <v>0</v>
      </c>
      <c r="D38" s="56"/>
      <c r="E38" s="250">
        <f t="shared" si="10"/>
        <v>0</v>
      </c>
      <c r="F38" s="56"/>
      <c r="G38" s="247">
        <f t="shared" si="11"/>
        <v>0</v>
      </c>
      <c r="H38" s="56"/>
      <c r="J38" s="248">
        <f>+Balance!B76</f>
        <v>0</v>
      </c>
      <c r="K38" s="248">
        <f>+Balance!D76</f>
        <v>0</v>
      </c>
      <c r="L38" s="249">
        <f>+Balance!F76</f>
        <v>0</v>
      </c>
      <c r="M38" s="245">
        <f>+Balance!H76</f>
        <v>0</v>
      </c>
    </row>
    <row r="39" spans="2:13" ht="15.75" customHeight="1" x14ac:dyDescent="0.25">
      <c r="B39" s="56" t="s">
        <v>39</v>
      </c>
      <c r="C39" s="250">
        <f t="shared" si="9"/>
        <v>0</v>
      </c>
      <c r="D39" s="56"/>
      <c r="E39" s="250">
        <f t="shared" si="10"/>
        <v>0</v>
      </c>
      <c r="F39" s="56"/>
      <c r="G39" s="247">
        <f t="shared" si="11"/>
        <v>0</v>
      </c>
      <c r="H39" s="56"/>
      <c r="J39" s="248"/>
      <c r="K39" s="245"/>
      <c r="L39" s="245"/>
      <c r="M39" s="245"/>
    </row>
    <row r="40" spans="2:13" ht="15.75" customHeight="1" x14ac:dyDescent="0.25">
      <c r="B40" s="56" t="s">
        <v>40</v>
      </c>
      <c r="C40" s="250">
        <f t="shared" si="9"/>
        <v>0</v>
      </c>
      <c r="D40" s="56"/>
      <c r="E40" s="250">
        <f t="shared" si="10"/>
        <v>0</v>
      </c>
      <c r="F40" s="56"/>
      <c r="G40" s="247">
        <f t="shared" si="11"/>
        <v>0</v>
      </c>
      <c r="H40" s="56"/>
      <c r="J40" s="248">
        <f>-Balance!D77+Balance!B77+Balance!B78</f>
        <v>0</v>
      </c>
      <c r="K40" s="248">
        <f>IFERROR(+Balance!E77-Balance!C77-Balance!C78,0)</f>
        <v>0</v>
      </c>
      <c r="L40" s="248">
        <f>+Balance!F77-Balance!D77-Balance!D78</f>
        <v>0</v>
      </c>
      <c r="M40" s="248">
        <f>+Balance!H77-Balance!F77-Balance!F78+L40</f>
        <v>0</v>
      </c>
    </row>
    <row r="41" spans="2:13" ht="15.75" customHeight="1" x14ac:dyDescent="0.25">
      <c r="B41" s="56" t="s">
        <v>41</v>
      </c>
      <c r="C41" s="250">
        <f t="shared" si="9"/>
        <v>0</v>
      </c>
      <c r="D41" s="56"/>
      <c r="E41" s="250">
        <f t="shared" si="10"/>
        <v>0</v>
      </c>
      <c r="F41" s="56"/>
      <c r="G41" s="247">
        <f t="shared" si="11"/>
        <v>0</v>
      </c>
      <c r="H41" s="56"/>
      <c r="J41" s="248"/>
      <c r="K41" s="248"/>
      <c r="L41" s="248"/>
      <c r="M41" s="248"/>
    </row>
    <row r="42" spans="2:13" ht="15.75" customHeight="1" x14ac:dyDescent="0.25">
      <c r="B42" s="56"/>
      <c r="C42" s="247"/>
      <c r="D42" s="56"/>
      <c r="E42" s="247"/>
      <c r="F42" s="56"/>
      <c r="G42" s="247"/>
      <c r="H42" s="56"/>
      <c r="J42" s="249"/>
      <c r="K42" s="248"/>
      <c r="L42" s="248"/>
      <c r="M42" s="248"/>
    </row>
    <row r="43" spans="2:13" ht="15.75" customHeight="1" x14ac:dyDescent="0.25">
      <c r="B43" s="56"/>
      <c r="C43" s="247"/>
      <c r="D43" s="56"/>
      <c r="E43" s="247"/>
      <c r="F43" s="56"/>
      <c r="G43" s="247"/>
      <c r="H43" s="56"/>
      <c r="J43" s="252"/>
      <c r="K43" s="252"/>
      <c r="L43" s="73"/>
      <c r="M43" s="73"/>
    </row>
    <row r="44" spans="2:13" ht="15.75" customHeight="1" x14ac:dyDescent="0.25">
      <c r="B44" s="251" t="s">
        <v>42</v>
      </c>
      <c r="C44" s="56"/>
      <c r="D44" s="245">
        <f>SUM(C35:C42)</f>
        <v>0</v>
      </c>
      <c r="E44" s="56"/>
      <c r="F44" s="245">
        <f>SUM(E35:E42)</f>
        <v>0</v>
      </c>
      <c r="G44" s="56"/>
      <c r="H44" s="245">
        <f>SUM(G35:G42)</f>
        <v>0</v>
      </c>
    </row>
    <row r="45" spans="2:13" ht="15.75" customHeight="1" x14ac:dyDescent="0.25"/>
    <row r="46" spans="2:13" ht="15.75" customHeight="1" x14ac:dyDescent="0.25">
      <c r="B46" s="253" t="s">
        <v>43</v>
      </c>
      <c r="C46" s="254"/>
      <c r="D46" s="255">
        <f>SUM(D22:D44)</f>
        <v>0</v>
      </c>
      <c r="E46" s="254"/>
      <c r="F46" s="255">
        <f>SUM(F22:F44)</f>
        <v>0</v>
      </c>
      <c r="G46" s="254"/>
      <c r="H46" s="255">
        <f>SUM(H22:H44)</f>
        <v>0</v>
      </c>
    </row>
    <row r="47" spans="2:13" ht="15.75" customHeight="1" x14ac:dyDescent="0.25"/>
    <row r="48" spans="2:13" ht="15.75" hidden="1" customHeight="1" x14ac:dyDescent="0.25">
      <c r="B48" s="97" t="s">
        <v>12</v>
      </c>
      <c r="J48" s="49">
        <f>SUM(Balance!D17:D22)</f>
        <v>0</v>
      </c>
      <c r="K48" s="49"/>
      <c r="L48" s="49">
        <f>SUM(Balance!F17:F22)</f>
        <v>0</v>
      </c>
    </row>
    <row r="49" spans="2:12" ht="15.75" hidden="1" customHeight="1" x14ac:dyDescent="0.25">
      <c r="B49" s="97" t="s">
        <v>44</v>
      </c>
      <c r="C49" s="49"/>
      <c r="E49" s="49"/>
      <c r="G49" s="49"/>
      <c r="J49" s="49">
        <f>SUM(Balance!D56:D57)</f>
        <v>0</v>
      </c>
      <c r="K49" s="49"/>
      <c r="L49" s="49">
        <f>SUM(Balance!F56:F57)</f>
        <v>0</v>
      </c>
    </row>
    <row r="50" spans="2:12" ht="15.75" customHeight="1" x14ac:dyDescent="0.25">
      <c r="B50" s="256" t="s">
        <v>45</v>
      </c>
      <c r="C50" s="256"/>
      <c r="D50" s="257">
        <f>SUM(Balance!B9:B10)</f>
        <v>0</v>
      </c>
      <c r="E50" s="256"/>
      <c r="F50" s="257">
        <f>SUM(Balance!D9:D10)</f>
        <v>0</v>
      </c>
      <c r="G50" s="256"/>
      <c r="H50" s="258">
        <f>SUM(Balance!F9:F10)</f>
        <v>0</v>
      </c>
    </row>
    <row r="51" spans="2:12" ht="15.75" customHeight="1" x14ac:dyDescent="0.25"/>
    <row r="52" spans="2:12" ht="15.75" customHeight="1" x14ac:dyDescent="0.25">
      <c r="B52" s="259" t="s">
        <v>46</v>
      </c>
      <c r="C52" s="259"/>
      <c r="D52" s="245">
        <f>D46+D50</f>
        <v>0</v>
      </c>
      <c r="E52" s="259"/>
      <c r="F52" s="245">
        <f>F46+F50</f>
        <v>0</v>
      </c>
      <c r="G52" s="259"/>
      <c r="H52" s="245">
        <f>H46+H50</f>
        <v>0</v>
      </c>
    </row>
    <row r="53" spans="2:12" ht="15.75" customHeight="1" x14ac:dyDescent="0.25">
      <c r="B53" s="161"/>
      <c r="C53" s="161"/>
      <c r="D53" s="260"/>
      <c r="E53" s="161"/>
      <c r="F53" s="260"/>
      <c r="G53" s="161"/>
      <c r="H53" s="260"/>
    </row>
    <row r="54" spans="2:12" ht="15.75" customHeight="1" x14ac:dyDescent="0.25">
      <c r="B54" s="256" t="s">
        <v>47</v>
      </c>
      <c r="D54" s="261">
        <f>+Balance!D10+Balance!D9</f>
        <v>0</v>
      </c>
      <c r="F54" s="261">
        <f>+Balance!F10+Balance!F9</f>
        <v>0</v>
      </c>
      <c r="H54" s="261">
        <f>+Balance!H10+Balance!H9</f>
        <v>0</v>
      </c>
    </row>
    <row r="55" spans="2:12" ht="15.75" customHeight="1" x14ac:dyDescent="0.25"/>
    <row r="56" spans="2:12" ht="15.75" customHeight="1" x14ac:dyDescent="0.25">
      <c r="B56" s="97" t="s">
        <v>48</v>
      </c>
      <c r="D56" s="49">
        <f>+D54-D52</f>
        <v>0</v>
      </c>
      <c r="F56" s="49">
        <f>+F54-F52</f>
        <v>0</v>
      </c>
      <c r="H56" s="49">
        <f>+H54-H52</f>
        <v>0</v>
      </c>
    </row>
    <row r="57" spans="2:12" ht="15.75" customHeight="1" x14ac:dyDescent="0.25">
      <c r="J57" s="49"/>
      <c r="K57" s="49"/>
    </row>
    <row r="58" spans="2:12" ht="15.75" customHeight="1" x14ac:dyDescent="0.25"/>
    <row r="59" spans="2:12" ht="15.75" customHeight="1" x14ac:dyDescent="0.25"/>
    <row r="60" spans="2:12" ht="15.75" customHeight="1" x14ac:dyDescent="0.25"/>
    <row r="61" spans="2:12" ht="15.75" customHeight="1" x14ac:dyDescent="0.25"/>
    <row r="62" spans="2:12" ht="15.75" customHeight="1" x14ac:dyDescent="0.25"/>
    <row r="63" spans="2:12" ht="15.75" customHeight="1" x14ac:dyDescent="0.25"/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C1:D1"/>
    <mergeCell ref="G1:H1"/>
    <mergeCell ref="E1:F1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38953"/>
  </sheetPr>
  <dimension ref="A1:W1000"/>
  <sheetViews>
    <sheetView topLeftCell="A45" zoomScale="55" zoomScaleNormal="55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customHeight="1" x14ac:dyDescent="0.25"/>
  <cols>
    <col min="1" max="1" width="46.5703125" customWidth="1"/>
    <col min="2" max="2" width="19.28515625" customWidth="1"/>
    <col min="3" max="3" width="13.5703125" customWidth="1"/>
    <col min="4" max="4" width="18.85546875" customWidth="1"/>
    <col min="5" max="5" width="13.5703125" customWidth="1"/>
    <col min="6" max="6" width="19.28515625" customWidth="1"/>
    <col min="7" max="7" width="12.28515625" customWidth="1"/>
    <col min="8" max="8" width="20" customWidth="1"/>
    <col min="9" max="9" width="11.42578125" customWidth="1"/>
    <col min="10" max="10" width="23" customWidth="1"/>
    <col min="11" max="12" width="11.42578125" customWidth="1"/>
    <col min="13" max="13" width="17.7109375" customWidth="1"/>
    <col min="14" max="14" width="16.28515625" customWidth="1"/>
    <col min="15" max="16" width="11.42578125" customWidth="1"/>
    <col min="17" max="17" width="17.7109375" customWidth="1"/>
    <col min="18" max="18" width="14.140625" customWidth="1"/>
    <col min="19" max="19" width="13.85546875" customWidth="1"/>
    <col min="20" max="20" width="11.42578125" customWidth="1"/>
    <col min="21" max="21" width="17" customWidth="1"/>
    <col min="22" max="22" width="14.140625" customWidth="1"/>
    <col min="23" max="23" width="10.5703125" customWidth="1"/>
    <col min="24" max="26" width="11.42578125" customWidth="1"/>
  </cols>
  <sheetData>
    <row r="1" spans="1:23" ht="18.75" customHeight="1" x14ac:dyDescent="0.3">
      <c r="A1" s="1" t="str">
        <f>Balance!D1</f>
        <v>BRIGHTEC ENERGY DYNAMICS S DE RL DE CV</v>
      </c>
      <c r="M1" s="337" t="s">
        <v>215</v>
      </c>
      <c r="N1" s="336"/>
      <c r="O1" s="336"/>
      <c r="Q1" s="337" t="s">
        <v>216</v>
      </c>
      <c r="R1" s="336"/>
      <c r="S1" s="336"/>
      <c r="U1" s="337" t="s">
        <v>217</v>
      </c>
      <c r="V1" s="336"/>
      <c r="W1" s="336"/>
    </row>
    <row r="2" spans="1:23" ht="20.25" customHeight="1" x14ac:dyDescent="0.3">
      <c r="H2" s="49"/>
      <c r="K2" s="97">
        <f>'Edo de resultados'!K2</f>
        <v>0</v>
      </c>
      <c r="M2" s="335" t="s">
        <v>218</v>
      </c>
      <c r="N2" s="336"/>
      <c r="O2" s="336"/>
      <c r="Q2" s="335" t="s">
        <v>218</v>
      </c>
      <c r="R2" s="336"/>
      <c r="S2" s="336"/>
      <c r="U2" s="335" t="s">
        <v>218</v>
      </c>
      <c r="V2" s="336"/>
      <c r="W2" s="336"/>
    </row>
    <row r="3" spans="1:23" ht="18" customHeight="1" x14ac:dyDescent="0.25">
      <c r="A3" s="262" t="s">
        <v>189</v>
      </c>
      <c r="B3" s="338">
        <f>'Edo de resultados'!B3:C3</f>
        <v>0</v>
      </c>
      <c r="C3" s="314"/>
      <c r="D3" s="340">
        <f>'Edo de resultados'!D3:E3</f>
        <v>1</v>
      </c>
      <c r="E3" s="314"/>
      <c r="F3" s="339">
        <f>'Edo de resultados'!F3:G3</f>
        <v>2</v>
      </c>
      <c r="G3" s="314"/>
      <c r="H3" s="341" t="str">
        <f>'Edo de resultados'!H3:I3</f>
        <v>3 (INCORRECTO)</v>
      </c>
      <c r="I3" s="314"/>
      <c r="J3" s="263" t="str">
        <f>'Edo de resultados'!J3:K3</f>
        <v>3 anualizado</v>
      </c>
      <c r="K3" s="264"/>
      <c r="M3" s="265" t="s">
        <v>219</v>
      </c>
      <c r="N3" s="266" t="s">
        <v>220</v>
      </c>
      <c r="O3" s="267" t="s">
        <v>221</v>
      </c>
      <c r="Q3" s="265" t="s">
        <v>219</v>
      </c>
      <c r="R3" s="266" t="s">
        <v>220</v>
      </c>
      <c r="S3" s="267" t="s">
        <v>221</v>
      </c>
      <c r="U3" s="265" t="s">
        <v>219</v>
      </c>
      <c r="V3" s="266" t="s">
        <v>220</v>
      </c>
      <c r="W3" s="267" t="s">
        <v>221</v>
      </c>
    </row>
    <row r="4" spans="1:23" ht="27.75" customHeight="1" x14ac:dyDescent="0.25">
      <c r="A4" s="189" t="s">
        <v>192</v>
      </c>
      <c r="B4" s="268">
        <f>'Edo de resultados'!B7</f>
        <v>0</v>
      </c>
      <c r="C4" s="269"/>
      <c r="D4" s="268">
        <f>'Edo de resultados'!D7</f>
        <v>0</v>
      </c>
      <c r="E4" s="269"/>
      <c r="F4" s="268">
        <f>'Edo de resultados'!F7</f>
        <v>0</v>
      </c>
      <c r="G4" s="269"/>
      <c r="H4" s="268">
        <f>'Edo de resultados'!H7</f>
        <v>0</v>
      </c>
      <c r="I4" s="269"/>
      <c r="J4" s="268" t="e">
        <f>+(H4/$K$2)*12</f>
        <v>#DIV/0!</v>
      </c>
      <c r="K4" s="269"/>
      <c r="M4" s="270">
        <f t="shared" ref="M4:M9" si="0">+D4-B4</f>
        <v>0</v>
      </c>
      <c r="N4" s="271" t="e">
        <f t="shared" ref="N4:N9" si="1">M4/B4</f>
        <v>#DIV/0!</v>
      </c>
      <c r="O4" s="272" t="e">
        <f t="shared" ref="O4:O9" si="2">D4/B4</f>
        <v>#DIV/0!</v>
      </c>
      <c r="Q4" s="270">
        <f t="shared" ref="Q4:Q9" si="3">F4-D4</f>
        <v>0</v>
      </c>
      <c r="R4" s="271" t="e">
        <f t="shared" ref="R4:R9" si="4">Q4/D4</f>
        <v>#DIV/0!</v>
      </c>
      <c r="S4" s="272" t="e">
        <f t="shared" ref="S4:S9" si="5">F4/D4</f>
        <v>#DIV/0!</v>
      </c>
      <c r="U4" s="270">
        <f t="shared" ref="U4:U9" si="6">H4-F4</f>
        <v>0</v>
      </c>
      <c r="V4" s="271" t="e">
        <f t="shared" ref="V4:V9" si="7">U4/F4</f>
        <v>#DIV/0!</v>
      </c>
      <c r="W4" s="272" t="e">
        <f t="shared" ref="W4:W9" si="8">H4/F4</f>
        <v>#DIV/0!</v>
      </c>
    </row>
    <row r="5" spans="1:23" ht="27.75" customHeight="1" x14ac:dyDescent="0.25">
      <c r="A5" s="193" t="s">
        <v>193</v>
      </c>
      <c r="B5" s="273">
        <f>'Edo de resultados'!B8</f>
        <v>0</v>
      </c>
      <c r="C5" s="274" t="e">
        <f t="shared" ref="C5:C13" si="9">B5/B$4</f>
        <v>#DIV/0!</v>
      </c>
      <c r="D5" s="273">
        <f>'Edo de resultados'!D8</f>
        <v>0</v>
      </c>
      <c r="E5" s="274" t="e">
        <f t="shared" ref="E5:E13" si="10">D5/D$4</f>
        <v>#DIV/0!</v>
      </c>
      <c r="F5" s="273">
        <f>'Edo de resultados'!F8</f>
        <v>0</v>
      </c>
      <c r="G5" s="274" t="e">
        <f>F5/F$4</f>
        <v>#DIV/0!</v>
      </c>
      <c r="H5" s="273">
        <f>'Edo de resultados'!H8</f>
        <v>0</v>
      </c>
      <c r="I5" s="269" t="e">
        <f>H5/H$4</f>
        <v>#DIV/0!</v>
      </c>
      <c r="J5" s="268" t="e">
        <f>+(H5/$K$2)*12</f>
        <v>#DIV/0!</v>
      </c>
      <c r="K5" s="269" t="e">
        <f>J5/J$4</f>
        <v>#DIV/0!</v>
      </c>
      <c r="M5" s="275">
        <f t="shared" si="0"/>
        <v>0</v>
      </c>
      <c r="N5" s="276" t="e">
        <f t="shared" si="1"/>
        <v>#DIV/0!</v>
      </c>
      <c r="O5" s="277" t="e">
        <f t="shared" si="2"/>
        <v>#DIV/0!</v>
      </c>
      <c r="Q5" s="275">
        <f t="shared" si="3"/>
        <v>0</v>
      </c>
      <c r="R5" s="276" t="e">
        <f t="shared" si="4"/>
        <v>#DIV/0!</v>
      </c>
      <c r="S5" s="277" t="e">
        <f t="shared" si="5"/>
        <v>#DIV/0!</v>
      </c>
      <c r="U5" s="275">
        <f t="shared" si="6"/>
        <v>0</v>
      </c>
      <c r="V5" s="276" t="e">
        <f t="shared" si="7"/>
        <v>#DIV/0!</v>
      </c>
      <c r="W5" s="277" t="e">
        <f t="shared" si="8"/>
        <v>#DIV/0!</v>
      </c>
    </row>
    <row r="6" spans="1:23" ht="27.75" customHeight="1" x14ac:dyDescent="0.25">
      <c r="A6" s="195" t="s">
        <v>195</v>
      </c>
      <c r="B6" s="278">
        <f>B4+B5</f>
        <v>0</v>
      </c>
      <c r="C6" s="279" t="e">
        <f t="shared" si="9"/>
        <v>#DIV/0!</v>
      </c>
      <c r="D6" s="278">
        <f>D4+D5</f>
        <v>0</v>
      </c>
      <c r="E6" s="279" t="e">
        <f t="shared" si="10"/>
        <v>#DIV/0!</v>
      </c>
      <c r="F6" s="278">
        <f>F4+F5</f>
        <v>0</v>
      </c>
      <c r="G6" s="279" t="e">
        <f>F6/F$4</f>
        <v>#DIV/0!</v>
      </c>
      <c r="H6" s="278">
        <f>H4+H5</f>
        <v>0</v>
      </c>
      <c r="I6" s="280" t="e">
        <f>H6/H$4</f>
        <v>#DIV/0!</v>
      </c>
      <c r="J6" s="278" t="e">
        <f>J4+J5</f>
        <v>#DIV/0!</v>
      </c>
      <c r="K6" s="280" t="e">
        <f>J6/J$4</f>
        <v>#DIV/0!</v>
      </c>
      <c r="M6" s="281">
        <f t="shared" si="0"/>
        <v>0</v>
      </c>
      <c r="N6" s="282" t="e">
        <f t="shared" si="1"/>
        <v>#DIV/0!</v>
      </c>
      <c r="O6" s="283" t="e">
        <f t="shared" si="2"/>
        <v>#DIV/0!</v>
      </c>
      <c r="Q6" s="281">
        <f t="shared" si="3"/>
        <v>0</v>
      </c>
      <c r="R6" s="282" t="e">
        <f t="shared" si="4"/>
        <v>#DIV/0!</v>
      </c>
      <c r="S6" s="283" t="e">
        <f t="shared" si="5"/>
        <v>#DIV/0!</v>
      </c>
      <c r="U6" s="281">
        <f t="shared" si="6"/>
        <v>0</v>
      </c>
      <c r="V6" s="282" t="e">
        <f t="shared" si="7"/>
        <v>#DIV/0!</v>
      </c>
      <c r="W6" s="283" t="e">
        <f t="shared" si="8"/>
        <v>#DIV/0!</v>
      </c>
    </row>
    <row r="7" spans="1:23" ht="27.75" customHeight="1" x14ac:dyDescent="0.25">
      <c r="A7" s="284" t="s">
        <v>222</v>
      </c>
      <c r="B7" s="273">
        <f>'Edo de resultados'!B12</f>
        <v>0</v>
      </c>
      <c r="C7" s="274" t="e">
        <f t="shared" si="9"/>
        <v>#DIV/0!</v>
      </c>
      <c r="D7" s="273">
        <f>'Edo de resultados'!D12</f>
        <v>0</v>
      </c>
      <c r="E7" s="274" t="e">
        <f t="shared" si="10"/>
        <v>#DIV/0!</v>
      </c>
      <c r="F7" s="273">
        <f>'Edo de resultados'!F12</f>
        <v>0</v>
      </c>
      <c r="G7" s="274" t="e">
        <f>F7/F4</f>
        <v>#DIV/0!</v>
      </c>
      <c r="H7" s="273">
        <f>'Edo de resultados'!H12</f>
        <v>0</v>
      </c>
      <c r="I7" s="274" t="e">
        <f>H7/H4</f>
        <v>#DIV/0!</v>
      </c>
      <c r="J7" s="268" t="e">
        <f>+(H7/$K$2)*12</f>
        <v>#DIV/0!</v>
      </c>
      <c r="K7" s="274" t="e">
        <f>J7/J4</f>
        <v>#DIV/0!</v>
      </c>
      <c r="M7" s="281">
        <f t="shared" si="0"/>
        <v>0</v>
      </c>
      <c r="N7" s="282" t="e">
        <f t="shared" si="1"/>
        <v>#DIV/0!</v>
      </c>
      <c r="O7" s="283" t="e">
        <f t="shared" si="2"/>
        <v>#DIV/0!</v>
      </c>
      <c r="Q7" s="281">
        <f t="shared" si="3"/>
        <v>0</v>
      </c>
      <c r="R7" s="282" t="e">
        <f t="shared" si="4"/>
        <v>#DIV/0!</v>
      </c>
      <c r="S7" s="283" t="e">
        <f t="shared" si="5"/>
        <v>#DIV/0!</v>
      </c>
      <c r="U7" s="281">
        <f t="shared" si="6"/>
        <v>0</v>
      </c>
      <c r="V7" s="282" t="e">
        <f t="shared" si="7"/>
        <v>#DIV/0!</v>
      </c>
      <c r="W7" s="283" t="e">
        <f t="shared" si="8"/>
        <v>#DIV/0!</v>
      </c>
    </row>
    <row r="8" spans="1:23" ht="27.75" customHeight="1" x14ac:dyDescent="0.25">
      <c r="A8" s="211" t="s">
        <v>199</v>
      </c>
      <c r="B8" s="278">
        <f>'Edo de resultados'!B14</f>
        <v>0</v>
      </c>
      <c r="C8" s="279" t="e">
        <f t="shared" si="9"/>
        <v>#DIV/0!</v>
      </c>
      <c r="D8" s="278">
        <f>'Edo de resultados'!D14</f>
        <v>0</v>
      </c>
      <c r="E8" s="279" t="e">
        <f t="shared" si="10"/>
        <v>#DIV/0!</v>
      </c>
      <c r="F8" s="278">
        <f>'Edo de resultados'!F14</f>
        <v>0</v>
      </c>
      <c r="G8" s="279" t="e">
        <f t="shared" ref="G8:G13" si="11">F8/F$4</f>
        <v>#DIV/0!</v>
      </c>
      <c r="H8" s="278">
        <f>'Edo de resultados'!H14</f>
        <v>0</v>
      </c>
      <c r="I8" s="280" t="e">
        <f>H8/H$4</f>
        <v>#DIV/0!</v>
      </c>
      <c r="J8" s="278" t="e">
        <f>+J6+J7</f>
        <v>#DIV/0!</v>
      </c>
      <c r="K8" s="280" t="e">
        <f>J8/J$4</f>
        <v>#DIV/0!</v>
      </c>
      <c r="M8" s="285">
        <f t="shared" si="0"/>
        <v>0</v>
      </c>
      <c r="N8" s="286" t="e">
        <f t="shared" si="1"/>
        <v>#DIV/0!</v>
      </c>
      <c r="O8" s="287" t="e">
        <f t="shared" si="2"/>
        <v>#DIV/0!</v>
      </c>
      <c r="Q8" s="285">
        <f t="shared" si="3"/>
        <v>0</v>
      </c>
      <c r="R8" s="286" t="e">
        <f t="shared" si="4"/>
        <v>#DIV/0!</v>
      </c>
      <c r="S8" s="287" t="e">
        <f t="shared" si="5"/>
        <v>#DIV/0!</v>
      </c>
      <c r="U8" s="285">
        <f t="shared" si="6"/>
        <v>0</v>
      </c>
      <c r="V8" s="286" t="e">
        <f t="shared" si="7"/>
        <v>#DIV/0!</v>
      </c>
      <c r="W8" s="287" t="e">
        <f t="shared" si="8"/>
        <v>#DIV/0!</v>
      </c>
    </row>
    <row r="9" spans="1:23" ht="27.75" customHeight="1" x14ac:dyDescent="0.25">
      <c r="A9" s="220" t="s">
        <v>223</v>
      </c>
      <c r="B9" s="273">
        <f>'Edo de resultados'!B18</f>
        <v>0</v>
      </c>
      <c r="C9" s="274" t="e">
        <f t="shared" si="9"/>
        <v>#DIV/0!</v>
      </c>
      <c r="D9" s="273">
        <f>'Edo de resultados'!D18</f>
        <v>0</v>
      </c>
      <c r="E9" s="274" t="e">
        <f t="shared" si="10"/>
        <v>#DIV/0!</v>
      </c>
      <c r="F9" s="273">
        <f>'Edo de resultados'!F18</f>
        <v>0</v>
      </c>
      <c r="G9" s="274" t="e">
        <f t="shared" si="11"/>
        <v>#DIV/0!</v>
      </c>
      <c r="H9" s="273">
        <f>'Edo de resultados'!H18</f>
        <v>0</v>
      </c>
      <c r="I9" s="274" t="e">
        <f>H9/H$4</f>
        <v>#DIV/0!</v>
      </c>
      <c r="J9" s="268" t="e">
        <f>+(H9/$K$2)*12</f>
        <v>#DIV/0!</v>
      </c>
      <c r="K9" s="274" t="e">
        <f>J9/J$4</f>
        <v>#DIV/0!</v>
      </c>
      <c r="M9" s="281">
        <f t="shared" si="0"/>
        <v>0</v>
      </c>
      <c r="N9" s="282" t="e">
        <f t="shared" si="1"/>
        <v>#DIV/0!</v>
      </c>
      <c r="O9" s="283" t="e">
        <f t="shared" si="2"/>
        <v>#DIV/0!</v>
      </c>
      <c r="Q9" s="281">
        <f t="shared" si="3"/>
        <v>0</v>
      </c>
      <c r="R9" s="282" t="e">
        <f t="shared" si="4"/>
        <v>#DIV/0!</v>
      </c>
      <c r="S9" s="283" t="e">
        <f t="shared" si="5"/>
        <v>#DIV/0!</v>
      </c>
      <c r="U9" s="281">
        <f t="shared" si="6"/>
        <v>0</v>
      </c>
      <c r="V9" s="282" t="e">
        <f t="shared" si="7"/>
        <v>#DIV/0!</v>
      </c>
      <c r="W9" s="283" t="e">
        <f t="shared" si="8"/>
        <v>#DIV/0!</v>
      </c>
    </row>
    <row r="10" spans="1:23" ht="27.75" customHeight="1" x14ac:dyDescent="0.25">
      <c r="A10" s="220" t="s">
        <v>224</v>
      </c>
      <c r="B10" s="273">
        <f>'Edo de resultados'!B20+'Edo de resultados'!B21</f>
        <v>0</v>
      </c>
      <c r="C10" s="274" t="e">
        <f t="shared" si="9"/>
        <v>#DIV/0!</v>
      </c>
      <c r="D10" s="273">
        <f>'Edo de resultados'!D20+'Edo de resultados'!D21</f>
        <v>0</v>
      </c>
      <c r="E10" s="274" t="e">
        <f t="shared" si="10"/>
        <v>#DIV/0!</v>
      </c>
      <c r="F10" s="273">
        <f>'Edo de resultados'!F20+'Edo de resultados'!F21</f>
        <v>0</v>
      </c>
      <c r="G10" s="274" t="e">
        <f t="shared" si="11"/>
        <v>#DIV/0!</v>
      </c>
      <c r="H10" s="273">
        <f>'Edo de resultados'!H20+'Edo de resultados'!H21</f>
        <v>0</v>
      </c>
      <c r="I10" s="269"/>
      <c r="J10" s="268" t="e">
        <f>+(H10/$K$2)*12</f>
        <v>#DIV/0!</v>
      </c>
      <c r="K10" s="269"/>
      <c r="M10" s="281"/>
      <c r="N10" s="282"/>
      <c r="O10" s="283"/>
      <c r="Q10" s="281"/>
      <c r="R10" s="282"/>
      <c r="S10" s="283"/>
      <c r="U10" s="281"/>
      <c r="V10" s="282"/>
      <c r="W10" s="283"/>
    </row>
    <row r="11" spans="1:23" ht="27.75" customHeight="1" x14ac:dyDescent="0.25">
      <c r="A11" s="219" t="s">
        <v>207</v>
      </c>
      <c r="B11" s="278">
        <f>'Edo de resultados'!B22</f>
        <v>0</v>
      </c>
      <c r="C11" s="279" t="e">
        <f t="shared" si="9"/>
        <v>#DIV/0!</v>
      </c>
      <c r="D11" s="278">
        <f>'Edo de resultados'!D22</f>
        <v>0</v>
      </c>
      <c r="E11" s="279" t="e">
        <f t="shared" si="10"/>
        <v>#DIV/0!</v>
      </c>
      <c r="F11" s="278">
        <f>'Edo de resultados'!F22</f>
        <v>0</v>
      </c>
      <c r="G11" s="279" t="e">
        <f t="shared" si="11"/>
        <v>#DIV/0!</v>
      </c>
      <c r="H11" s="278">
        <f>'Edo de resultados'!H22</f>
        <v>0</v>
      </c>
      <c r="I11" s="280" t="e">
        <f>H11/H$4</f>
        <v>#DIV/0!</v>
      </c>
      <c r="J11" s="288" t="e">
        <f>+J8+J9</f>
        <v>#DIV/0!</v>
      </c>
      <c r="K11" s="280" t="e">
        <f>J11/J$4</f>
        <v>#DIV/0!</v>
      </c>
      <c r="M11" s="281">
        <f>+D11-B11</f>
        <v>0</v>
      </c>
      <c r="N11" s="282" t="e">
        <f>M11/B11</f>
        <v>#DIV/0!</v>
      </c>
      <c r="O11" s="283" t="e">
        <f>D11/B11</f>
        <v>#DIV/0!</v>
      </c>
      <c r="Q11" s="281">
        <f>F11-D11</f>
        <v>0</v>
      </c>
      <c r="R11" s="282" t="e">
        <f>Q11/D11</f>
        <v>#DIV/0!</v>
      </c>
      <c r="S11" s="283" t="e">
        <f>F11/D11</f>
        <v>#DIV/0!</v>
      </c>
      <c r="U11" s="281">
        <f>H11-F11</f>
        <v>0</v>
      </c>
      <c r="V11" s="282" t="e">
        <f>U11/F11</f>
        <v>#DIV/0!</v>
      </c>
      <c r="W11" s="283" t="e">
        <f>H11/F11</f>
        <v>#DIV/0!</v>
      </c>
    </row>
    <row r="12" spans="1:23" ht="27.75" customHeight="1" x14ac:dyDescent="0.25">
      <c r="A12" s="221" t="s">
        <v>208</v>
      </c>
      <c r="B12" s="273">
        <f>'Edo de resultados'!B24</f>
        <v>0</v>
      </c>
      <c r="C12" s="274" t="e">
        <f t="shared" si="9"/>
        <v>#DIV/0!</v>
      </c>
      <c r="D12" s="273">
        <f>'Edo de resultados'!D24</f>
        <v>0</v>
      </c>
      <c r="E12" s="274" t="e">
        <f t="shared" si="10"/>
        <v>#DIV/0!</v>
      </c>
      <c r="F12" s="273">
        <f>'Edo de resultados'!F24</f>
        <v>0</v>
      </c>
      <c r="G12" s="274" t="e">
        <f t="shared" si="11"/>
        <v>#DIV/0!</v>
      </c>
      <c r="H12" s="273">
        <f>'Edo de resultados'!H24</f>
        <v>0</v>
      </c>
      <c r="I12" s="289" t="e">
        <f>H12/H$4</f>
        <v>#DIV/0!</v>
      </c>
      <c r="J12" s="273"/>
      <c r="K12" s="289" t="e">
        <f>J12/J$4</f>
        <v>#DIV/0!</v>
      </c>
      <c r="M12" s="281">
        <f>+D12-B12</f>
        <v>0</v>
      </c>
      <c r="N12" s="282" t="e">
        <f>M12/B12</f>
        <v>#DIV/0!</v>
      </c>
      <c r="O12" s="283" t="e">
        <f>D12/B12</f>
        <v>#DIV/0!</v>
      </c>
      <c r="Q12" s="281">
        <f>F12-D12</f>
        <v>0</v>
      </c>
      <c r="R12" s="282" t="e">
        <f>Q12/D12</f>
        <v>#DIV/0!</v>
      </c>
      <c r="S12" s="283" t="e">
        <f>F12/D12</f>
        <v>#DIV/0!</v>
      </c>
      <c r="U12" s="281">
        <f>H12-F12</f>
        <v>0</v>
      </c>
      <c r="V12" s="282" t="e">
        <f>U12/F12</f>
        <v>#DIV/0!</v>
      </c>
      <c r="W12" s="283" t="e">
        <f>H12/F12</f>
        <v>#DIV/0!</v>
      </c>
    </row>
    <row r="13" spans="1:23" ht="27.75" customHeight="1" x14ac:dyDescent="0.25">
      <c r="A13" s="223" t="s">
        <v>209</v>
      </c>
      <c r="B13" s="290">
        <f>'Edo de resultados'!B25</f>
        <v>0</v>
      </c>
      <c r="C13" s="291" t="e">
        <f t="shared" si="9"/>
        <v>#DIV/0!</v>
      </c>
      <c r="D13" s="290">
        <f>'Edo de resultados'!D25</f>
        <v>0</v>
      </c>
      <c r="E13" s="291" t="e">
        <f t="shared" si="10"/>
        <v>#DIV/0!</v>
      </c>
      <c r="F13" s="290">
        <f>'Edo de resultados'!F25</f>
        <v>0</v>
      </c>
      <c r="G13" s="291" t="e">
        <f t="shared" si="11"/>
        <v>#DIV/0!</v>
      </c>
      <c r="H13" s="290">
        <f>'Edo de resultados'!H25</f>
        <v>0</v>
      </c>
      <c r="I13" s="292" t="e">
        <f>H13/H$4</f>
        <v>#DIV/0!</v>
      </c>
      <c r="J13" s="293" t="e">
        <f>+J11+J12</f>
        <v>#DIV/0!</v>
      </c>
      <c r="K13" s="292" t="e">
        <f>J13/J$4</f>
        <v>#DIV/0!</v>
      </c>
      <c r="M13" s="294">
        <f>+D13-B13</f>
        <v>0</v>
      </c>
      <c r="N13" s="295" t="e">
        <f>M13/B13</f>
        <v>#DIV/0!</v>
      </c>
      <c r="O13" s="296" t="e">
        <f>D13/B13</f>
        <v>#DIV/0!</v>
      </c>
      <c r="Q13" s="294">
        <f>F13-D13</f>
        <v>0</v>
      </c>
      <c r="R13" s="295" t="e">
        <f>Q13/D13</f>
        <v>#DIV/0!</v>
      </c>
      <c r="S13" s="296" t="e">
        <f>F13/D13</f>
        <v>#DIV/0!</v>
      </c>
      <c r="U13" s="294">
        <f>H13-F13</f>
        <v>0</v>
      </c>
      <c r="V13" s="295" t="e">
        <f>U13/F13</f>
        <v>#DIV/0!</v>
      </c>
      <c r="W13" s="296" t="e">
        <f>H13/F13</f>
        <v>#DIV/0!</v>
      </c>
    </row>
    <row r="14" spans="1:23" x14ac:dyDescent="0.25"/>
    <row r="15" spans="1:23" x14ac:dyDescent="0.25"/>
    <row r="16" spans="1:23" x14ac:dyDescent="0.25"/>
    <row r="17" spans="1:23" x14ac:dyDescent="0.25"/>
    <row r="18" spans="1:23" ht="20.25" customHeight="1" x14ac:dyDescent="0.3">
      <c r="N18" s="17" t="s">
        <v>54</v>
      </c>
      <c r="R18" s="17" t="s">
        <v>54</v>
      </c>
      <c r="V18" s="17" t="s">
        <v>54</v>
      </c>
    </row>
    <row r="19" spans="1:23" ht="20.25" customHeight="1" x14ac:dyDescent="0.3">
      <c r="A19" s="17" t="s">
        <v>54</v>
      </c>
      <c r="B19" s="18"/>
      <c r="C19" s="19"/>
      <c r="D19" s="20"/>
      <c r="E19" s="20"/>
      <c r="F19" s="18"/>
      <c r="G19" s="20"/>
      <c r="H19" s="18"/>
      <c r="I19" s="19"/>
      <c r="J19" s="297"/>
      <c r="K19" s="297"/>
      <c r="M19" s="337" t="s">
        <v>225</v>
      </c>
      <c r="N19" s="336"/>
      <c r="O19" s="336"/>
      <c r="Q19" s="337" t="s">
        <v>226</v>
      </c>
      <c r="R19" s="336"/>
      <c r="S19" s="336"/>
      <c r="T19" s="298" t="s">
        <v>227</v>
      </c>
      <c r="U19" s="337" t="s">
        <v>217</v>
      </c>
      <c r="V19" s="336"/>
      <c r="W19" s="336"/>
    </row>
    <row r="20" spans="1:23" ht="20.25" customHeight="1" x14ac:dyDescent="0.3">
      <c r="A20" s="24" t="s">
        <v>56</v>
      </c>
      <c r="B20" s="25" t="s">
        <v>57</v>
      </c>
      <c r="C20" s="26"/>
      <c r="D20" s="25" t="s">
        <v>57</v>
      </c>
      <c r="E20" s="27"/>
      <c r="F20" s="27" t="s">
        <v>57</v>
      </c>
      <c r="G20" s="28"/>
      <c r="H20" s="25" t="s">
        <v>57</v>
      </c>
      <c r="I20" s="29"/>
      <c r="J20" s="299"/>
      <c r="K20" s="299"/>
      <c r="M20" s="335" t="s">
        <v>218</v>
      </c>
      <c r="N20" s="336"/>
      <c r="O20" s="336"/>
      <c r="Q20" s="335" t="s">
        <v>218</v>
      </c>
      <c r="R20" s="336"/>
      <c r="S20" s="336"/>
      <c r="U20" s="335" t="s">
        <v>218</v>
      </c>
      <c r="V20" s="336"/>
      <c r="W20" s="336"/>
    </row>
    <row r="21" spans="1:23" ht="15.75" customHeight="1" x14ac:dyDescent="0.25">
      <c r="A21" s="34"/>
      <c r="B21" s="35" t="s">
        <v>60</v>
      </c>
      <c r="C21" s="36" t="s">
        <v>61</v>
      </c>
      <c r="D21" s="35" t="s">
        <v>60</v>
      </c>
      <c r="E21" s="36" t="s">
        <v>61</v>
      </c>
      <c r="F21" s="37" t="s">
        <v>60</v>
      </c>
      <c r="G21" s="38" t="s">
        <v>61</v>
      </c>
      <c r="H21" s="35" t="s">
        <v>60</v>
      </c>
      <c r="I21" s="36" t="s">
        <v>61</v>
      </c>
      <c r="J21" s="105"/>
      <c r="K21" s="105"/>
      <c r="M21" s="265" t="s">
        <v>219</v>
      </c>
      <c r="N21" s="266" t="s">
        <v>220</v>
      </c>
      <c r="O21" s="267" t="s">
        <v>221</v>
      </c>
      <c r="Q21" s="265" t="s">
        <v>219</v>
      </c>
      <c r="R21" s="266" t="s">
        <v>220</v>
      </c>
      <c r="S21" s="267" t="s">
        <v>221</v>
      </c>
      <c r="U21" s="265" t="s">
        <v>219</v>
      </c>
      <c r="V21" s="266" t="s">
        <v>220</v>
      </c>
      <c r="W21" s="267" t="s">
        <v>221</v>
      </c>
    </row>
    <row r="22" spans="1:23" ht="15.75" customHeight="1" x14ac:dyDescent="0.25">
      <c r="A22" s="34" t="s">
        <v>62</v>
      </c>
      <c r="B22" s="300">
        <f>Balance!B9</f>
        <v>0</v>
      </c>
      <c r="C22" s="44" t="e">
        <f t="shared" ref="C22:C29" si="12">B22/$B$56</f>
        <v>#DIV/0!</v>
      </c>
      <c r="D22" s="300">
        <f>Balance!D9</f>
        <v>0</v>
      </c>
      <c r="E22" s="44" t="e">
        <f t="shared" ref="E22:E29" si="13">D22/$D$56</f>
        <v>#DIV/0!</v>
      </c>
      <c r="F22" s="300">
        <f>Balance!F9</f>
        <v>0</v>
      </c>
      <c r="G22" s="45" t="e">
        <f t="shared" ref="G22:G29" si="14">F22/$F$56</f>
        <v>#DIV/0!</v>
      </c>
      <c r="H22" s="300">
        <f>Balance!H9</f>
        <v>0</v>
      </c>
      <c r="I22" s="44" t="e">
        <f t="shared" ref="I22:I29" si="15">H22/$H$56</f>
        <v>#DIV/0!</v>
      </c>
      <c r="J22" s="45"/>
      <c r="K22" s="45"/>
      <c r="M22" s="301">
        <f t="shared" ref="M22:M29" si="16">D22-B22</f>
        <v>0</v>
      </c>
      <c r="N22" s="282" t="e">
        <f t="shared" ref="N22:N29" si="17">M22/B22</f>
        <v>#DIV/0!</v>
      </c>
      <c r="O22" s="283" t="e">
        <f t="shared" ref="O22:O29" si="18">D22/B22</f>
        <v>#DIV/0!</v>
      </c>
      <c r="Q22" s="301">
        <f t="shared" ref="Q22:Q29" si="19">F22-D22</f>
        <v>0</v>
      </c>
      <c r="R22" s="282" t="e">
        <f t="shared" ref="R22:R29" si="20">Q22/D22</f>
        <v>#DIV/0!</v>
      </c>
      <c r="S22" s="283" t="e">
        <f t="shared" ref="S22:S29" si="21">F22/D22</f>
        <v>#DIV/0!</v>
      </c>
      <c r="U22" s="281">
        <f t="shared" ref="U22:U29" si="22">H22-F22</f>
        <v>0</v>
      </c>
      <c r="V22" s="282" t="e">
        <f t="shared" ref="V22:V29" si="23">U22/F22</f>
        <v>#DIV/0!</v>
      </c>
      <c r="W22" s="283" t="e">
        <f t="shared" ref="W22:W29" si="24">H22/F22</f>
        <v>#DIV/0!</v>
      </c>
    </row>
    <row r="23" spans="1:23" ht="15.75" customHeight="1" x14ac:dyDescent="0.25">
      <c r="A23" s="34" t="s">
        <v>63</v>
      </c>
      <c r="B23" s="300">
        <f>Balance!B10</f>
        <v>0</v>
      </c>
      <c r="C23" s="44" t="e">
        <f t="shared" si="12"/>
        <v>#DIV/0!</v>
      </c>
      <c r="D23" s="300">
        <f>Balance!D10</f>
        <v>0</v>
      </c>
      <c r="E23" s="44" t="e">
        <f t="shared" si="13"/>
        <v>#DIV/0!</v>
      </c>
      <c r="F23" s="300">
        <f>Balance!F10</f>
        <v>0</v>
      </c>
      <c r="G23" s="45" t="e">
        <f t="shared" si="14"/>
        <v>#DIV/0!</v>
      </c>
      <c r="H23" s="300">
        <f>Balance!H10</f>
        <v>0</v>
      </c>
      <c r="I23" s="44" t="e">
        <f t="shared" si="15"/>
        <v>#DIV/0!</v>
      </c>
      <c r="J23" s="45"/>
      <c r="K23" s="45"/>
      <c r="M23" s="301">
        <f t="shared" si="16"/>
        <v>0</v>
      </c>
      <c r="N23" s="282" t="e">
        <f t="shared" si="17"/>
        <v>#DIV/0!</v>
      </c>
      <c r="O23" s="283" t="e">
        <f t="shared" si="18"/>
        <v>#DIV/0!</v>
      </c>
      <c r="Q23" s="301">
        <f t="shared" si="19"/>
        <v>0</v>
      </c>
      <c r="R23" s="282" t="e">
        <f t="shared" si="20"/>
        <v>#DIV/0!</v>
      </c>
      <c r="S23" s="283" t="e">
        <f t="shared" si="21"/>
        <v>#DIV/0!</v>
      </c>
      <c r="U23" s="281">
        <f t="shared" si="22"/>
        <v>0</v>
      </c>
      <c r="V23" s="282" t="e">
        <f t="shared" si="23"/>
        <v>#DIV/0!</v>
      </c>
      <c r="W23" s="283" t="e">
        <f t="shared" si="24"/>
        <v>#DIV/0!</v>
      </c>
    </row>
    <row r="24" spans="1:23" ht="15.75" customHeight="1" x14ac:dyDescent="0.25">
      <c r="A24" s="34" t="s">
        <v>65</v>
      </c>
      <c r="B24" s="300">
        <f>Balance!B11</f>
        <v>0</v>
      </c>
      <c r="C24" s="44" t="e">
        <f t="shared" si="12"/>
        <v>#DIV/0!</v>
      </c>
      <c r="D24" s="300">
        <f>Balance!D11</f>
        <v>0</v>
      </c>
      <c r="E24" s="44" t="e">
        <f t="shared" si="13"/>
        <v>#DIV/0!</v>
      </c>
      <c r="F24" s="300">
        <f>Balance!F11</f>
        <v>0</v>
      </c>
      <c r="G24" s="45" t="e">
        <f t="shared" si="14"/>
        <v>#DIV/0!</v>
      </c>
      <c r="H24" s="300">
        <f>Balance!H11</f>
        <v>0</v>
      </c>
      <c r="I24" s="44" t="e">
        <f t="shared" si="15"/>
        <v>#DIV/0!</v>
      </c>
      <c r="J24" s="45"/>
      <c r="K24" s="45"/>
      <c r="M24" s="301">
        <f t="shared" si="16"/>
        <v>0</v>
      </c>
      <c r="N24" s="282" t="e">
        <f t="shared" si="17"/>
        <v>#DIV/0!</v>
      </c>
      <c r="O24" s="283" t="e">
        <f t="shared" si="18"/>
        <v>#DIV/0!</v>
      </c>
      <c r="Q24" s="301">
        <f t="shared" si="19"/>
        <v>0</v>
      </c>
      <c r="R24" s="282" t="e">
        <f t="shared" si="20"/>
        <v>#DIV/0!</v>
      </c>
      <c r="S24" s="283" t="e">
        <f t="shared" si="21"/>
        <v>#DIV/0!</v>
      </c>
      <c r="U24" s="281">
        <f t="shared" si="22"/>
        <v>0</v>
      </c>
      <c r="V24" s="282" t="e">
        <f t="shared" si="23"/>
        <v>#DIV/0!</v>
      </c>
      <c r="W24" s="283" t="e">
        <f t="shared" si="24"/>
        <v>#DIV/0!</v>
      </c>
    </row>
    <row r="25" spans="1:23" ht="15.75" customHeight="1" x14ac:dyDescent="0.25">
      <c r="A25" s="34" t="s">
        <v>184</v>
      </c>
      <c r="B25" s="300">
        <f>Balance!B16</f>
        <v>0</v>
      </c>
      <c r="C25" s="44" t="e">
        <f t="shared" si="12"/>
        <v>#DIV/0!</v>
      </c>
      <c r="D25" s="300">
        <f>Balance!D16</f>
        <v>0</v>
      </c>
      <c r="E25" s="44" t="e">
        <f t="shared" si="13"/>
        <v>#DIV/0!</v>
      </c>
      <c r="F25" s="300">
        <f>Balance!F16</f>
        <v>0</v>
      </c>
      <c r="G25" s="45" t="e">
        <f t="shared" si="14"/>
        <v>#DIV/0!</v>
      </c>
      <c r="H25" s="300">
        <f>Balance!H16</f>
        <v>0</v>
      </c>
      <c r="I25" s="44" t="e">
        <f t="shared" si="15"/>
        <v>#DIV/0!</v>
      </c>
      <c r="J25" s="45"/>
      <c r="K25" s="45"/>
      <c r="M25" s="301">
        <f t="shared" si="16"/>
        <v>0</v>
      </c>
      <c r="N25" s="282" t="e">
        <f t="shared" si="17"/>
        <v>#DIV/0!</v>
      </c>
      <c r="O25" s="283" t="e">
        <f t="shared" si="18"/>
        <v>#DIV/0!</v>
      </c>
      <c r="Q25" s="301">
        <f t="shared" si="19"/>
        <v>0</v>
      </c>
      <c r="R25" s="282" t="e">
        <f t="shared" si="20"/>
        <v>#DIV/0!</v>
      </c>
      <c r="S25" s="283" t="e">
        <f t="shared" si="21"/>
        <v>#DIV/0!</v>
      </c>
      <c r="U25" s="281">
        <f t="shared" si="22"/>
        <v>0</v>
      </c>
      <c r="V25" s="282" t="e">
        <f t="shared" si="23"/>
        <v>#DIV/0!</v>
      </c>
      <c r="W25" s="283" t="e">
        <f t="shared" si="24"/>
        <v>#DIV/0!</v>
      </c>
    </row>
    <row r="26" spans="1:23" ht="15.75" customHeight="1" x14ac:dyDescent="0.25">
      <c r="A26" s="34" t="s">
        <v>68</v>
      </c>
      <c r="B26" s="300">
        <f>Balance!B13</f>
        <v>0</v>
      </c>
      <c r="C26" s="44" t="e">
        <f t="shared" si="12"/>
        <v>#DIV/0!</v>
      </c>
      <c r="D26" s="300">
        <f>Balance!D13</f>
        <v>0</v>
      </c>
      <c r="E26" s="44" t="e">
        <f t="shared" si="13"/>
        <v>#DIV/0!</v>
      </c>
      <c r="F26" s="300">
        <f>Balance!F13</f>
        <v>0</v>
      </c>
      <c r="G26" s="45" t="e">
        <f t="shared" si="14"/>
        <v>#DIV/0!</v>
      </c>
      <c r="H26" s="300">
        <f>Balance!H13</f>
        <v>0</v>
      </c>
      <c r="I26" s="44" t="e">
        <f t="shared" si="15"/>
        <v>#DIV/0!</v>
      </c>
      <c r="J26" s="45"/>
      <c r="K26" s="45"/>
      <c r="M26" s="301">
        <f t="shared" si="16"/>
        <v>0</v>
      </c>
      <c r="N26" s="282" t="e">
        <f t="shared" si="17"/>
        <v>#DIV/0!</v>
      </c>
      <c r="O26" s="283" t="e">
        <f t="shared" si="18"/>
        <v>#DIV/0!</v>
      </c>
      <c r="Q26" s="301">
        <f t="shared" si="19"/>
        <v>0</v>
      </c>
      <c r="R26" s="282" t="e">
        <f t="shared" si="20"/>
        <v>#DIV/0!</v>
      </c>
      <c r="S26" s="283" t="e">
        <f t="shared" si="21"/>
        <v>#DIV/0!</v>
      </c>
      <c r="U26" s="281">
        <f t="shared" si="22"/>
        <v>0</v>
      </c>
      <c r="V26" s="282" t="e">
        <f t="shared" si="23"/>
        <v>#DIV/0!</v>
      </c>
      <c r="W26" s="283" t="e">
        <f t="shared" si="24"/>
        <v>#DIV/0!</v>
      </c>
    </row>
    <row r="27" spans="1:23" ht="15.75" customHeight="1" x14ac:dyDescent="0.25">
      <c r="A27" s="9" t="s">
        <v>228</v>
      </c>
      <c r="B27" s="300">
        <f>+Balance!B14+Balance!B12</f>
        <v>0</v>
      </c>
      <c r="C27" s="44" t="e">
        <f t="shared" si="12"/>
        <v>#DIV/0!</v>
      </c>
      <c r="D27" s="300">
        <f>+Balance!D14+Balance!D12</f>
        <v>0</v>
      </c>
      <c r="E27" s="44" t="e">
        <f t="shared" si="13"/>
        <v>#DIV/0!</v>
      </c>
      <c r="F27" s="300">
        <f>+Balance!F14+Balance!F12</f>
        <v>0</v>
      </c>
      <c r="G27" s="45" t="e">
        <f t="shared" si="14"/>
        <v>#DIV/0!</v>
      </c>
      <c r="H27" s="300">
        <f>+Balance!H14+Balance!H12</f>
        <v>0</v>
      </c>
      <c r="I27" s="44" t="e">
        <f t="shared" si="15"/>
        <v>#DIV/0!</v>
      </c>
      <c r="J27" s="45"/>
      <c r="K27" s="45"/>
      <c r="M27" s="301">
        <f t="shared" si="16"/>
        <v>0</v>
      </c>
      <c r="N27" s="282" t="e">
        <f t="shared" si="17"/>
        <v>#DIV/0!</v>
      </c>
      <c r="O27" s="283" t="e">
        <f t="shared" si="18"/>
        <v>#DIV/0!</v>
      </c>
      <c r="Q27" s="301">
        <f t="shared" si="19"/>
        <v>0</v>
      </c>
      <c r="R27" s="282" t="e">
        <f t="shared" si="20"/>
        <v>#DIV/0!</v>
      </c>
      <c r="S27" s="283" t="e">
        <f t="shared" si="21"/>
        <v>#DIV/0!</v>
      </c>
      <c r="U27" s="281">
        <f t="shared" si="22"/>
        <v>0</v>
      </c>
      <c r="V27" s="282" t="e">
        <f t="shared" si="23"/>
        <v>#DIV/0!</v>
      </c>
      <c r="W27" s="283" t="e">
        <f t="shared" si="24"/>
        <v>#DIV/0!</v>
      </c>
    </row>
    <row r="28" spans="1:23" ht="15.75" customHeight="1" x14ac:dyDescent="0.25">
      <c r="A28" s="9" t="s">
        <v>229</v>
      </c>
      <c r="B28" s="300">
        <f>Balance!B15</f>
        <v>0</v>
      </c>
      <c r="C28" s="44" t="e">
        <f t="shared" si="12"/>
        <v>#DIV/0!</v>
      </c>
      <c r="D28" s="300">
        <f>Balance!D15</f>
        <v>0</v>
      </c>
      <c r="E28" s="44" t="e">
        <f t="shared" si="13"/>
        <v>#DIV/0!</v>
      </c>
      <c r="F28" s="300">
        <f>Balance!F15</f>
        <v>0</v>
      </c>
      <c r="G28" s="45" t="e">
        <f t="shared" si="14"/>
        <v>#DIV/0!</v>
      </c>
      <c r="H28" s="300">
        <f>Balance!H15</f>
        <v>0</v>
      </c>
      <c r="I28" s="44" t="e">
        <f t="shared" si="15"/>
        <v>#DIV/0!</v>
      </c>
      <c r="J28" s="45"/>
      <c r="K28" s="45"/>
      <c r="M28" s="301">
        <f t="shared" si="16"/>
        <v>0</v>
      </c>
      <c r="N28" s="282" t="e">
        <f t="shared" si="17"/>
        <v>#DIV/0!</v>
      </c>
      <c r="O28" s="283" t="e">
        <f t="shared" si="18"/>
        <v>#DIV/0!</v>
      </c>
      <c r="Q28" s="301">
        <f t="shared" si="19"/>
        <v>0</v>
      </c>
      <c r="R28" s="282" t="e">
        <f t="shared" si="20"/>
        <v>#DIV/0!</v>
      </c>
      <c r="S28" s="283" t="e">
        <f t="shared" si="21"/>
        <v>#DIV/0!</v>
      </c>
      <c r="U28" s="281">
        <f t="shared" si="22"/>
        <v>0</v>
      </c>
      <c r="V28" s="282" t="e">
        <f t="shared" si="23"/>
        <v>#DIV/0!</v>
      </c>
      <c r="W28" s="283" t="e">
        <f t="shared" si="24"/>
        <v>#DIV/0!</v>
      </c>
    </row>
    <row r="29" spans="1:23" ht="15.75" customHeight="1" x14ac:dyDescent="0.25">
      <c r="A29" s="9" t="s">
        <v>93</v>
      </c>
      <c r="B29" s="300">
        <f>Balance!B17+Balance!B18</f>
        <v>0</v>
      </c>
      <c r="C29" s="44" t="e">
        <f t="shared" si="12"/>
        <v>#DIV/0!</v>
      </c>
      <c r="D29" s="300">
        <f>Balance!D17+Balance!D18</f>
        <v>0</v>
      </c>
      <c r="E29" s="44" t="e">
        <f t="shared" si="13"/>
        <v>#DIV/0!</v>
      </c>
      <c r="F29" s="300">
        <f>Balance!F17+Balance!F18</f>
        <v>0</v>
      </c>
      <c r="G29" s="45" t="e">
        <f t="shared" si="14"/>
        <v>#DIV/0!</v>
      </c>
      <c r="H29" s="300">
        <f>Balance!H17+Balance!H18</f>
        <v>0</v>
      </c>
      <c r="I29" s="44" t="e">
        <f t="shared" si="15"/>
        <v>#DIV/0!</v>
      </c>
      <c r="J29" s="45"/>
      <c r="K29" s="45"/>
      <c r="M29" s="301">
        <f t="shared" si="16"/>
        <v>0</v>
      </c>
      <c r="N29" s="282" t="e">
        <f t="shared" si="17"/>
        <v>#DIV/0!</v>
      </c>
      <c r="O29" s="283" t="e">
        <f t="shared" si="18"/>
        <v>#DIV/0!</v>
      </c>
      <c r="Q29" s="301">
        <f t="shared" si="19"/>
        <v>0</v>
      </c>
      <c r="R29" s="282" t="e">
        <f t="shared" si="20"/>
        <v>#DIV/0!</v>
      </c>
      <c r="S29" s="283" t="e">
        <f t="shared" si="21"/>
        <v>#DIV/0!</v>
      </c>
      <c r="U29" s="281">
        <f t="shared" si="22"/>
        <v>0</v>
      </c>
      <c r="V29" s="282" t="e">
        <f t="shared" si="23"/>
        <v>#DIV/0!</v>
      </c>
      <c r="W29" s="283" t="e">
        <f t="shared" si="24"/>
        <v>#DIV/0!</v>
      </c>
    </row>
    <row r="30" spans="1:23" ht="15.75" customHeight="1" x14ac:dyDescent="0.25">
      <c r="B30" s="10"/>
      <c r="C30" s="54"/>
      <c r="D30" s="10"/>
      <c r="E30" s="44"/>
      <c r="F30" s="15"/>
      <c r="G30" s="61"/>
      <c r="H30" s="10"/>
      <c r="I30" s="54"/>
      <c r="J30" s="61"/>
      <c r="K30" s="61"/>
      <c r="M30" s="301"/>
      <c r="N30" s="282"/>
      <c r="O30" s="283"/>
      <c r="Q30" s="301"/>
      <c r="R30" s="282"/>
      <c r="S30" s="283"/>
      <c r="U30" s="281"/>
      <c r="V30" s="282"/>
      <c r="W30" s="283"/>
    </row>
    <row r="31" spans="1:23" ht="15.75" customHeight="1" x14ac:dyDescent="0.25">
      <c r="A31" s="9"/>
      <c r="B31" s="10"/>
      <c r="C31" s="54"/>
      <c r="D31" s="10"/>
      <c r="E31" s="44"/>
      <c r="F31" s="15"/>
      <c r="G31" s="61"/>
      <c r="H31" s="10"/>
      <c r="I31" s="54"/>
      <c r="J31" s="61"/>
      <c r="K31" s="61"/>
      <c r="M31" s="301"/>
      <c r="N31" s="282"/>
      <c r="O31" s="283"/>
      <c r="Q31" s="301"/>
      <c r="R31" s="282"/>
      <c r="S31" s="283"/>
      <c r="U31" s="281"/>
      <c r="V31" s="282"/>
      <c r="W31" s="283"/>
    </row>
    <row r="32" spans="1:23" ht="15.75" customHeight="1" x14ac:dyDescent="0.25">
      <c r="A32" s="57" t="s">
        <v>78</v>
      </c>
      <c r="B32" s="58">
        <f>SUM(B22:B31)</f>
        <v>0</v>
      </c>
      <c r="C32" s="59" t="e">
        <f>B32/$B$56</f>
        <v>#DIV/0!</v>
      </c>
      <c r="D32" s="58">
        <f>SUM(D22:D31)</f>
        <v>0</v>
      </c>
      <c r="E32" s="59" t="e">
        <f>D32/$D$56</f>
        <v>#DIV/0!</v>
      </c>
      <c r="F32" s="58">
        <f>SUM(F22:F31)</f>
        <v>0</v>
      </c>
      <c r="G32" s="59" t="e">
        <f>F32/$F$56</f>
        <v>#DIV/0!</v>
      </c>
      <c r="H32" s="58">
        <f>SUM(H22:H31)</f>
        <v>0</v>
      </c>
      <c r="I32" s="59" t="e">
        <f>H32/$H$56</f>
        <v>#DIV/0!</v>
      </c>
      <c r="J32" s="61"/>
      <c r="K32" s="61"/>
      <c r="M32" s="302">
        <f>D32-B32</f>
        <v>0</v>
      </c>
      <c r="N32" s="295" t="e">
        <f>M32/B32</f>
        <v>#DIV/0!</v>
      </c>
      <c r="O32" s="296" t="e">
        <f>D32/B32</f>
        <v>#DIV/0!</v>
      </c>
      <c r="Q32" s="302">
        <f>F32-D32</f>
        <v>0</v>
      </c>
      <c r="R32" s="295" t="e">
        <f>Q32/D32</f>
        <v>#DIV/0!</v>
      </c>
      <c r="S32" s="296" t="e">
        <f>F32/D32</f>
        <v>#DIV/0!</v>
      </c>
      <c r="U32" s="294">
        <f>H32-F32</f>
        <v>0</v>
      </c>
      <c r="V32" s="295" t="e">
        <f>U32/F32</f>
        <v>#DIV/0!</v>
      </c>
      <c r="W32" s="296" t="e">
        <f>H32/F32</f>
        <v>#DIV/0!</v>
      </c>
    </row>
    <row r="33" spans="1:23" ht="15.75" customHeight="1" x14ac:dyDescent="0.25">
      <c r="A33" s="9"/>
      <c r="B33" s="9"/>
      <c r="C33" s="54"/>
      <c r="D33" s="61"/>
      <c r="E33" s="61"/>
      <c r="F33" s="12"/>
      <c r="G33" s="61"/>
      <c r="H33" s="9"/>
      <c r="I33" s="54"/>
      <c r="J33" s="61"/>
      <c r="K33" s="61"/>
    </row>
    <row r="34" spans="1:23" ht="15.75" customHeight="1" x14ac:dyDescent="0.25">
      <c r="A34" s="9"/>
      <c r="B34" s="34" t="s">
        <v>81</v>
      </c>
      <c r="C34" s="62"/>
      <c r="D34" s="64"/>
      <c r="E34" s="64"/>
      <c r="F34" s="63" t="s">
        <v>81</v>
      </c>
      <c r="G34" s="64"/>
      <c r="H34" s="34" t="s">
        <v>81</v>
      </c>
      <c r="I34" s="54"/>
      <c r="J34" s="61"/>
      <c r="K34" s="61"/>
    </row>
    <row r="35" spans="1:23" ht="15.75" customHeight="1" x14ac:dyDescent="0.25">
      <c r="A35" s="9"/>
      <c r="B35" s="10"/>
      <c r="C35" s="54"/>
      <c r="D35" s="61"/>
      <c r="E35" s="61"/>
      <c r="F35" s="15"/>
      <c r="G35" s="61"/>
      <c r="H35" s="10"/>
      <c r="I35" s="54"/>
      <c r="J35" s="61"/>
      <c r="K35" s="61"/>
    </row>
    <row r="36" spans="1:23" ht="15.75" customHeight="1" x14ac:dyDescent="0.25">
      <c r="A36" s="24" t="s">
        <v>83</v>
      </c>
      <c r="B36" s="66"/>
      <c r="C36" s="67"/>
      <c r="D36" s="68"/>
      <c r="E36" s="68"/>
      <c r="F36" s="66"/>
      <c r="G36" s="68"/>
      <c r="H36" s="69"/>
      <c r="I36" s="67"/>
      <c r="J36" s="79"/>
      <c r="K36" s="79"/>
      <c r="N36" s="298" t="s">
        <v>83</v>
      </c>
      <c r="R36" s="298" t="s">
        <v>83</v>
      </c>
      <c r="V36" s="298" t="s">
        <v>83</v>
      </c>
    </row>
    <row r="37" spans="1:23" ht="15.75" customHeight="1" x14ac:dyDescent="0.25">
      <c r="A37" s="34" t="s">
        <v>85</v>
      </c>
      <c r="B37" s="300">
        <f>Balance!B24</f>
        <v>0</v>
      </c>
      <c r="C37" s="44" t="e">
        <f t="shared" ref="C37:C44" si="25">B37/$B$56</f>
        <v>#DIV/0!</v>
      </c>
      <c r="D37" s="300">
        <f>Balance!D24</f>
        <v>0</v>
      </c>
      <c r="E37" s="44" t="e">
        <f t="shared" ref="E37:E44" si="26">D37/$D$56</f>
        <v>#DIV/0!</v>
      </c>
      <c r="F37" s="300">
        <f>Balance!F24</f>
        <v>0</v>
      </c>
      <c r="G37" s="45" t="e">
        <f t="shared" ref="G37:G44" si="27">F37/$F$43</f>
        <v>#DIV/0!</v>
      </c>
      <c r="H37" s="300">
        <f>+Balance!H24</f>
        <v>0</v>
      </c>
      <c r="I37" s="44" t="e">
        <f t="shared" ref="I37:I44" si="28">H37/$H$56</f>
        <v>#DIV/0!</v>
      </c>
      <c r="J37" s="61"/>
      <c r="K37" s="61"/>
      <c r="M37" s="301">
        <f t="shared" ref="M37:M44" si="29">D37-B37</f>
        <v>0</v>
      </c>
      <c r="N37" s="282" t="e">
        <f t="shared" ref="N37:N44" si="30">M37/B37</f>
        <v>#DIV/0!</v>
      </c>
      <c r="O37" s="283" t="e">
        <f t="shared" ref="O37:O44" si="31">D37/B37</f>
        <v>#DIV/0!</v>
      </c>
      <c r="Q37" s="301">
        <f t="shared" ref="Q37:Q44" si="32">F37-D37</f>
        <v>0</v>
      </c>
      <c r="R37" s="282" t="e">
        <f t="shared" ref="R37:R44" si="33">Q37/D37</f>
        <v>#DIV/0!</v>
      </c>
      <c r="S37" s="283" t="e">
        <f t="shared" ref="S37:S44" si="34">F37/D37</f>
        <v>#DIV/0!</v>
      </c>
      <c r="U37" s="281">
        <f t="shared" ref="U37:U44" si="35">H37-F37</f>
        <v>0</v>
      </c>
      <c r="V37" s="282" t="e">
        <f t="shared" ref="V37:V44" si="36">U37/F37</f>
        <v>#DIV/0!</v>
      </c>
      <c r="W37" s="283" t="e">
        <f t="shared" ref="W37:W44" si="37">H37/F37</f>
        <v>#DIV/0!</v>
      </c>
    </row>
    <row r="38" spans="1:23" ht="15.75" customHeight="1" x14ac:dyDescent="0.25">
      <c r="A38" s="34" t="s">
        <v>230</v>
      </c>
      <c r="B38" s="300">
        <f>Balance!B25</f>
        <v>0</v>
      </c>
      <c r="C38" s="44" t="e">
        <f t="shared" si="25"/>
        <v>#DIV/0!</v>
      </c>
      <c r="D38" s="300">
        <f>Balance!D25</f>
        <v>0</v>
      </c>
      <c r="E38" s="44" t="e">
        <f t="shared" si="26"/>
        <v>#DIV/0!</v>
      </c>
      <c r="F38" s="300">
        <f>Balance!F25</f>
        <v>0</v>
      </c>
      <c r="G38" s="45" t="e">
        <f t="shared" si="27"/>
        <v>#DIV/0!</v>
      </c>
      <c r="H38" s="300">
        <f>+Balance!H25</f>
        <v>0</v>
      </c>
      <c r="I38" s="44" t="e">
        <f t="shared" si="28"/>
        <v>#DIV/0!</v>
      </c>
      <c r="J38" s="61"/>
      <c r="K38" s="61"/>
      <c r="M38" s="301">
        <f t="shared" si="29"/>
        <v>0</v>
      </c>
      <c r="N38" s="282" t="e">
        <f t="shared" si="30"/>
        <v>#DIV/0!</v>
      </c>
      <c r="O38" s="283" t="e">
        <f t="shared" si="31"/>
        <v>#DIV/0!</v>
      </c>
      <c r="Q38" s="301">
        <f t="shared" si="32"/>
        <v>0</v>
      </c>
      <c r="R38" s="282" t="e">
        <f t="shared" si="33"/>
        <v>#DIV/0!</v>
      </c>
      <c r="S38" s="283" t="e">
        <f t="shared" si="34"/>
        <v>#DIV/0!</v>
      </c>
      <c r="U38" s="281">
        <f t="shared" si="35"/>
        <v>0</v>
      </c>
      <c r="V38" s="282" t="e">
        <f t="shared" si="36"/>
        <v>#DIV/0!</v>
      </c>
      <c r="W38" s="283" t="e">
        <f t="shared" si="37"/>
        <v>#DIV/0!</v>
      </c>
    </row>
    <row r="39" spans="1:23" ht="15.75" customHeight="1" x14ac:dyDescent="0.25">
      <c r="A39" s="9" t="s">
        <v>231</v>
      </c>
      <c r="B39" s="300">
        <f>Balance!B26</f>
        <v>0</v>
      </c>
      <c r="C39" s="44" t="e">
        <f t="shared" si="25"/>
        <v>#DIV/0!</v>
      </c>
      <c r="D39" s="300">
        <f>Balance!D26</f>
        <v>0</v>
      </c>
      <c r="E39" s="44" t="e">
        <f t="shared" si="26"/>
        <v>#DIV/0!</v>
      </c>
      <c r="F39" s="300">
        <f>Balance!F26</f>
        <v>0</v>
      </c>
      <c r="G39" s="61" t="e">
        <f t="shared" si="27"/>
        <v>#DIV/0!</v>
      </c>
      <c r="H39" s="300">
        <f>+Balance!H26</f>
        <v>0</v>
      </c>
      <c r="I39" s="44" t="e">
        <f t="shared" si="28"/>
        <v>#DIV/0!</v>
      </c>
      <c r="J39" s="61"/>
      <c r="K39" s="61"/>
      <c r="M39" s="301">
        <f t="shared" si="29"/>
        <v>0</v>
      </c>
      <c r="N39" s="282" t="e">
        <f t="shared" si="30"/>
        <v>#DIV/0!</v>
      </c>
      <c r="O39" s="283" t="e">
        <f t="shared" si="31"/>
        <v>#DIV/0!</v>
      </c>
      <c r="Q39" s="301">
        <f t="shared" si="32"/>
        <v>0</v>
      </c>
      <c r="R39" s="282" t="e">
        <f t="shared" si="33"/>
        <v>#DIV/0!</v>
      </c>
      <c r="S39" s="283" t="e">
        <f t="shared" si="34"/>
        <v>#DIV/0!</v>
      </c>
      <c r="U39" s="281">
        <f t="shared" si="35"/>
        <v>0</v>
      </c>
      <c r="V39" s="282" t="e">
        <f t="shared" si="36"/>
        <v>#DIV/0!</v>
      </c>
      <c r="W39" s="283" t="e">
        <f t="shared" si="37"/>
        <v>#DIV/0!</v>
      </c>
    </row>
    <row r="40" spans="1:23" ht="15.75" customHeight="1" x14ac:dyDescent="0.25">
      <c r="A40" s="9" t="s">
        <v>232</v>
      </c>
      <c r="B40" s="300">
        <f>Balance!B27</f>
        <v>0</v>
      </c>
      <c r="C40" s="44" t="e">
        <f t="shared" si="25"/>
        <v>#DIV/0!</v>
      </c>
      <c r="D40" s="300">
        <f>Balance!D27</f>
        <v>0</v>
      </c>
      <c r="E40" s="44" t="e">
        <f t="shared" si="26"/>
        <v>#DIV/0!</v>
      </c>
      <c r="F40" s="300">
        <f>Balance!F27</f>
        <v>0</v>
      </c>
      <c r="G40" s="61" t="e">
        <f t="shared" si="27"/>
        <v>#DIV/0!</v>
      </c>
      <c r="H40" s="303">
        <f>+Balance!H27</f>
        <v>0</v>
      </c>
      <c r="I40" s="44" t="e">
        <f t="shared" si="28"/>
        <v>#DIV/0!</v>
      </c>
      <c r="J40" s="61"/>
      <c r="K40" s="61"/>
      <c r="M40" s="301">
        <f t="shared" si="29"/>
        <v>0</v>
      </c>
      <c r="N40" s="282" t="e">
        <f t="shared" si="30"/>
        <v>#DIV/0!</v>
      </c>
      <c r="O40" s="283" t="e">
        <f t="shared" si="31"/>
        <v>#DIV/0!</v>
      </c>
      <c r="Q40" s="301">
        <f t="shared" si="32"/>
        <v>0</v>
      </c>
      <c r="R40" s="282" t="e">
        <f t="shared" si="33"/>
        <v>#DIV/0!</v>
      </c>
      <c r="S40" s="283" t="e">
        <f t="shared" si="34"/>
        <v>#DIV/0!</v>
      </c>
      <c r="U40" s="281">
        <f t="shared" si="35"/>
        <v>0</v>
      </c>
      <c r="V40" s="282" t="e">
        <f t="shared" si="36"/>
        <v>#DIV/0!</v>
      </c>
      <c r="W40" s="283" t="e">
        <f t="shared" si="37"/>
        <v>#DIV/0!</v>
      </c>
    </row>
    <row r="41" spans="1:23" ht="15.75" customHeight="1" x14ac:dyDescent="0.25">
      <c r="A41" s="9" t="s">
        <v>233</v>
      </c>
      <c r="B41" s="300">
        <f>Balance!B28</f>
        <v>0</v>
      </c>
      <c r="C41" s="44" t="e">
        <f t="shared" si="25"/>
        <v>#DIV/0!</v>
      </c>
      <c r="D41" s="300">
        <f>Balance!D28</f>
        <v>0</v>
      </c>
      <c r="E41" s="44" t="e">
        <f t="shared" si="26"/>
        <v>#DIV/0!</v>
      </c>
      <c r="F41" s="300">
        <f>Balance!F28</f>
        <v>0</v>
      </c>
      <c r="G41" s="61" t="e">
        <f t="shared" si="27"/>
        <v>#DIV/0!</v>
      </c>
      <c r="H41" s="303">
        <f>+Balance!H28</f>
        <v>0</v>
      </c>
      <c r="I41" s="44" t="e">
        <f t="shared" si="28"/>
        <v>#DIV/0!</v>
      </c>
      <c r="J41" s="61"/>
      <c r="K41" s="61"/>
      <c r="M41" s="301">
        <f t="shared" si="29"/>
        <v>0</v>
      </c>
      <c r="N41" s="282" t="e">
        <f t="shared" si="30"/>
        <v>#DIV/0!</v>
      </c>
      <c r="O41" s="283" t="e">
        <f t="shared" si="31"/>
        <v>#DIV/0!</v>
      </c>
      <c r="Q41" s="301">
        <f t="shared" si="32"/>
        <v>0</v>
      </c>
      <c r="R41" s="282" t="e">
        <f t="shared" si="33"/>
        <v>#DIV/0!</v>
      </c>
      <c r="S41" s="283" t="e">
        <f t="shared" si="34"/>
        <v>#DIV/0!</v>
      </c>
      <c r="U41" s="281">
        <f t="shared" si="35"/>
        <v>0</v>
      </c>
      <c r="V41" s="282" t="e">
        <f t="shared" si="36"/>
        <v>#DIV/0!</v>
      </c>
      <c r="W41" s="283" t="e">
        <f t="shared" si="37"/>
        <v>#DIV/0!</v>
      </c>
    </row>
    <row r="42" spans="1:23" ht="15.75" customHeight="1" x14ac:dyDescent="0.25">
      <c r="A42" s="9" t="s">
        <v>234</v>
      </c>
      <c r="B42" s="300">
        <f>Balance!B29</f>
        <v>0</v>
      </c>
      <c r="C42" s="44" t="e">
        <f t="shared" si="25"/>
        <v>#DIV/0!</v>
      </c>
      <c r="D42" s="300">
        <f>Balance!D29</f>
        <v>0</v>
      </c>
      <c r="E42" s="44" t="e">
        <f t="shared" si="26"/>
        <v>#DIV/0!</v>
      </c>
      <c r="F42" s="300">
        <f>Balance!F29</f>
        <v>0</v>
      </c>
      <c r="G42" s="61" t="e">
        <f t="shared" si="27"/>
        <v>#DIV/0!</v>
      </c>
      <c r="H42" s="303">
        <f>+Balance!H29</f>
        <v>0</v>
      </c>
      <c r="I42" s="44" t="e">
        <f t="shared" si="28"/>
        <v>#DIV/0!</v>
      </c>
      <c r="J42" s="61"/>
      <c r="K42" s="61"/>
      <c r="M42" s="301">
        <f t="shared" si="29"/>
        <v>0</v>
      </c>
      <c r="N42" s="282" t="e">
        <f t="shared" si="30"/>
        <v>#DIV/0!</v>
      </c>
      <c r="O42" s="283" t="e">
        <f t="shared" si="31"/>
        <v>#DIV/0!</v>
      </c>
      <c r="Q42" s="301">
        <f t="shared" si="32"/>
        <v>0</v>
      </c>
      <c r="R42" s="282" t="e">
        <f t="shared" si="33"/>
        <v>#DIV/0!</v>
      </c>
      <c r="S42" s="283" t="e">
        <f t="shared" si="34"/>
        <v>#DIV/0!</v>
      </c>
      <c r="U42" s="281">
        <f t="shared" si="35"/>
        <v>0</v>
      </c>
      <c r="V42" s="282" t="e">
        <f t="shared" si="36"/>
        <v>#DIV/0!</v>
      </c>
      <c r="W42" s="283" t="e">
        <f t="shared" si="37"/>
        <v>#DIV/0!</v>
      </c>
    </row>
    <row r="43" spans="1:23" ht="15.75" customHeight="1" x14ac:dyDescent="0.25">
      <c r="A43" s="9"/>
      <c r="B43" s="300">
        <f>Balance!B30</f>
        <v>0</v>
      </c>
      <c r="C43" s="44" t="e">
        <f t="shared" si="25"/>
        <v>#DIV/0!</v>
      </c>
      <c r="D43" s="300">
        <f>Balance!D30</f>
        <v>0</v>
      </c>
      <c r="E43" s="44" t="e">
        <f t="shared" si="26"/>
        <v>#DIV/0!</v>
      </c>
      <c r="F43" s="300">
        <f>Balance!F30</f>
        <v>0</v>
      </c>
      <c r="G43" s="61" t="e">
        <f t="shared" si="27"/>
        <v>#DIV/0!</v>
      </c>
      <c r="H43" s="303">
        <f>+Balance!H30</f>
        <v>0</v>
      </c>
      <c r="I43" s="44" t="e">
        <f t="shared" si="28"/>
        <v>#DIV/0!</v>
      </c>
      <c r="J43" s="61"/>
      <c r="K43" s="61"/>
      <c r="M43" s="301">
        <f t="shared" si="29"/>
        <v>0</v>
      </c>
      <c r="N43" s="282" t="e">
        <f t="shared" si="30"/>
        <v>#DIV/0!</v>
      </c>
      <c r="O43" s="283" t="e">
        <f t="shared" si="31"/>
        <v>#DIV/0!</v>
      </c>
      <c r="Q43" s="301">
        <f t="shared" si="32"/>
        <v>0</v>
      </c>
      <c r="R43" s="282" t="e">
        <f t="shared" si="33"/>
        <v>#DIV/0!</v>
      </c>
      <c r="S43" s="283" t="e">
        <f t="shared" si="34"/>
        <v>#DIV/0!</v>
      </c>
      <c r="U43" s="281">
        <f t="shared" si="35"/>
        <v>0</v>
      </c>
      <c r="V43" s="282" t="e">
        <f t="shared" si="36"/>
        <v>#DIV/0!</v>
      </c>
      <c r="W43" s="283" t="e">
        <f t="shared" si="37"/>
        <v>#DIV/0!</v>
      </c>
    </row>
    <row r="44" spans="1:23" ht="15.75" customHeight="1" x14ac:dyDescent="0.25">
      <c r="A44" s="75" t="s">
        <v>97</v>
      </c>
      <c r="B44" s="76">
        <f>Balance!B31</f>
        <v>0</v>
      </c>
      <c r="C44" s="44" t="e">
        <f t="shared" si="25"/>
        <v>#DIV/0!</v>
      </c>
      <c r="D44" s="76">
        <f>Balance!D31</f>
        <v>0</v>
      </c>
      <c r="E44" s="44" t="e">
        <f t="shared" si="26"/>
        <v>#DIV/0!</v>
      </c>
      <c r="F44" s="76">
        <f>Balance!F31</f>
        <v>0</v>
      </c>
      <c r="G44" s="61" t="e">
        <f t="shared" si="27"/>
        <v>#DIV/0!</v>
      </c>
      <c r="H44" s="76">
        <f>Balance!H31</f>
        <v>0</v>
      </c>
      <c r="I44" s="44" t="e">
        <f t="shared" si="28"/>
        <v>#DIV/0!</v>
      </c>
      <c r="J44" s="61"/>
      <c r="K44" s="61"/>
      <c r="M44" s="301">
        <f t="shared" si="29"/>
        <v>0</v>
      </c>
      <c r="N44" s="282" t="e">
        <f t="shared" si="30"/>
        <v>#DIV/0!</v>
      </c>
      <c r="O44" s="283" t="e">
        <f t="shared" si="31"/>
        <v>#DIV/0!</v>
      </c>
      <c r="Q44" s="301">
        <f t="shared" si="32"/>
        <v>0</v>
      </c>
      <c r="R44" s="282" t="e">
        <f t="shared" si="33"/>
        <v>#DIV/0!</v>
      </c>
      <c r="S44" s="283" t="e">
        <f t="shared" si="34"/>
        <v>#DIV/0!</v>
      </c>
      <c r="U44" s="281">
        <f t="shared" si="35"/>
        <v>0</v>
      </c>
      <c r="V44" s="282" t="e">
        <f t="shared" si="36"/>
        <v>#DIV/0!</v>
      </c>
      <c r="W44" s="283" t="e">
        <f t="shared" si="37"/>
        <v>#DIV/0!</v>
      </c>
    </row>
    <row r="45" spans="1:23" ht="15.75" customHeight="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M45" s="301"/>
      <c r="N45" s="282"/>
      <c r="O45" s="283"/>
      <c r="Q45" s="301"/>
      <c r="R45" s="282"/>
      <c r="S45" s="283"/>
      <c r="U45" s="281"/>
      <c r="V45" s="282"/>
      <c r="W45" s="283"/>
    </row>
    <row r="46" spans="1:23" ht="15.75" customHeight="1" x14ac:dyDescent="0.25">
      <c r="A46" s="57" t="s">
        <v>99</v>
      </c>
      <c r="B46" s="58">
        <f>SUM(B37:B44)</f>
        <v>0</v>
      </c>
      <c r="C46" s="59" t="e">
        <f>B46/$B$56</f>
        <v>#DIV/0!</v>
      </c>
      <c r="D46" s="58">
        <f>SUM(D37:D44)</f>
        <v>0</v>
      </c>
      <c r="E46" s="59" t="e">
        <f>D46/$D$56</f>
        <v>#DIV/0!</v>
      </c>
      <c r="F46" s="58">
        <f>SUM(F37:F44)</f>
        <v>0</v>
      </c>
      <c r="G46" s="59" t="e">
        <f>F46/$F$56</f>
        <v>#DIV/0!</v>
      </c>
      <c r="H46" s="58">
        <f>SUM(H37:H44)</f>
        <v>0</v>
      </c>
      <c r="I46" s="59" t="e">
        <f>H46/$H$56</f>
        <v>#DIV/0!</v>
      </c>
      <c r="J46" s="61"/>
      <c r="K46" s="61"/>
      <c r="M46" s="302">
        <f>D46-B46</f>
        <v>0</v>
      </c>
      <c r="N46" s="295" t="e">
        <f>M46/B46</f>
        <v>#DIV/0!</v>
      </c>
      <c r="O46" s="296" t="e">
        <f>D46/B46</f>
        <v>#DIV/0!</v>
      </c>
      <c r="Q46" s="302">
        <f>F46-D46</f>
        <v>0</v>
      </c>
      <c r="R46" s="295" t="e">
        <f>Q46/D46</f>
        <v>#DIV/0!</v>
      </c>
      <c r="S46" s="296" t="e">
        <f>F46/D46</f>
        <v>#DIV/0!</v>
      </c>
      <c r="U46" s="294">
        <f>H46-F46</f>
        <v>0</v>
      </c>
      <c r="V46" s="295" t="e">
        <f>U46/F46</f>
        <v>#DIV/0!</v>
      </c>
      <c r="W46" s="296" t="e">
        <f>H46/F46</f>
        <v>#DIV/0!</v>
      </c>
    </row>
    <row r="47" spans="1:23" ht="15.75" customHeight="1" x14ac:dyDescent="0.25">
      <c r="A47" s="34"/>
      <c r="B47" s="34" t="s">
        <v>81</v>
      </c>
      <c r="C47" s="62"/>
      <c r="D47" s="64"/>
      <c r="E47" s="64"/>
      <c r="F47" s="63" t="s">
        <v>81</v>
      </c>
      <c r="G47" s="64"/>
      <c r="H47" s="34" t="s">
        <v>81</v>
      </c>
      <c r="I47" s="62"/>
      <c r="J47" s="79"/>
      <c r="K47" s="79"/>
    </row>
    <row r="48" spans="1:23" ht="15.75" customHeight="1" x14ac:dyDescent="0.25">
      <c r="A48" s="9"/>
      <c r="B48" s="9"/>
      <c r="C48" s="78"/>
      <c r="D48" s="79"/>
      <c r="E48" s="79"/>
      <c r="F48" s="12"/>
      <c r="G48" s="79"/>
      <c r="H48" s="9"/>
      <c r="I48" s="78"/>
      <c r="J48" s="79"/>
      <c r="K48" s="79"/>
    </row>
    <row r="49" spans="1:23" ht="15.75" customHeight="1" x14ac:dyDescent="0.25">
      <c r="A49" s="24" t="s">
        <v>102</v>
      </c>
      <c r="B49" s="80"/>
      <c r="C49" s="81"/>
      <c r="D49" s="304"/>
      <c r="E49" s="304"/>
      <c r="F49" s="82"/>
      <c r="G49" s="68"/>
      <c r="H49" s="80"/>
      <c r="I49" s="67"/>
      <c r="J49" s="79"/>
      <c r="K49" s="79"/>
      <c r="N49" s="298" t="s">
        <v>235</v>
      </c>
      <c r="R49" s="298" t="s">
        <v>235</v>
      </c>
      <c r="V49" s="298" t="s">
        <v>235</v>
      </c>
    </row>
    <row r="50" spans="1:23" ht="15.75" customHeight="1" x14ac:dyDescent="0.25">
      <c r="A50" s="34" t="s">
        <v>74</v>
      </c>
      <c r="B50" s="300">
        <f>Balance!B37</f>
        <v>0</v>
      </c>
      <c r="C50" s="44" t="e">
        <f>B50/$B$56</f>
        <v>#DIV/0!</v>
      </c>
      <c r="D50" s="300">
        <f>Balance!D37</f>
        <v>0</v>
      </c>
      <c r="E50" s="44" t="e">
        <f>D50/$D$56</f>
        <v>#DIV/0!</v>
      </c>
      <c r="F50" s="300">
        <f>Balance!F37</f>
        <v>0</v>
      </c>
      <c r="G50" s="45" t="e">
        <f>F50/$F$43</f>
        <v>#DIV/0!</v>
      </c>
      <c r="H50" s="300">
        <f>Balance!H37</f>
        <v>0</v>
      </c>
      <c r="I50" s="44" t="e">
        <f>H50/$H$43</f>
        <v>#DIV/0!</v>
      </c>
      <c r="J50" s="61"/>
      <c r="K50" s="61"/>
      <c r="M50" s="301">
        <f>D50-B50</f>
        <v>0</v>
      </c>
      <c r="N50" s="282" t="e">
        <f>M50/B50</f>
        <v>#DIV/0!</v>
      </c>
      <c r="O50" s="283" t="e">
        <f>D50/B50</f>
        <v>#DIV/0!</v>
      </c>
      <c r="Q50" s="301">
        <f>F50-D50</f>
        <v>0</v>
      </c>
      <c r="R50" s="282" t="e">
        <f>Q50/D50</f>
        <v>#DIV/0!</v>
      </c>
      <c r="S50" s="283" t="e">
        <f>F50/D50</f>
        <v>#DIV/0!</v>
      </c>
      <c r="U50" s="281">
        <f>H50-F50</f>
        <v>0</v>
      </c>
      <c r="V50" s="282" t="e">
        <f>U50/F50</f>
        <v>#DIV/0!</v>
      </c>
      <c r="W50" s="283" t="e">
        <f>H50/F50</f>
        <v>#DIV/0!</v>
      </c>
    </row>
    <row r="51" spans="1:23" ht="15.75" customHeight="1" x14ac:dyDescent="0.25">
      <c r="A51" s="34" t="s">
        <v>236</v>
      </c>
      <c r="B51" s="300">
        <f>Balance!B38+Balance!B39</f>
        <v>0</v>
      </c>
      <c r="C51" s="44" t="e">
        <f>B51/$B$56</f>
        <v>#DIV/0!</v>
      </c>
      <c r="D51" s="300">
        <f>Balance!D38+Balance!D39</f>
        <v>0</v>
      </c>
      <c r="E51" s="44" t="e">
        <f>D51/$D$56</f>
        <v>#DIV/0!</v>
      </c>
      <c r="F51" s="112">
        <f>Balance!F38+Balance!F39</f>
        <v>0</v>
      </c>
      <c r="G51" s="45" t="e">
        <f>F51/$F$43</f>
        <v>#DIV/0!</v>
      </c>
      <c r="H51" s="112">
        <f>Balance!H38+Balance!H39</f>
        <v>0</v>
      </c>
      <c r="I51" s="44" t="e">
        <f>H51/$H$56</f>
        <v>#DIV/0!</v>
      </c>
      <c r="J51" s="61"/>
      <c r="K51" s="61"/>
      <c r="M51" s="301">
        <f>D51-B51</f>
        <v>0</v>
      </c>
      <c r="N51" s="282" t="e">
        <f>M51/B51</f>
        <v>#DIV/0!</v>
      </c>
      <c r="O51" s="283" t="e">
        <f>D51/B51</f>
        <v>#DIV/0!</v>
      </c>
      <c r="Q51" s="301">
        <f>F51-D51</f>
        <v>0</v>
      </c>
      <c r="R51" s="282" t="e">
        <f>Q51/D51</f>
        <v>#DIV/0!</v>
      </c>
      <c r="S51" s="283" t="e">
        <f>F51/D51</f>
        <v>#DIV/0!</v>
      </c>
      <c r="U51" s="281">
        <f>H51-F51</f>
        <v>0</v>
      </c>
      <c r="V51" s="282" t="e">
        <f>U51/F51</f>
        <v>#DIV/0!</v>
      </c>
      <c r="W51" s="283" t="e">
        <f>H51/F51</f>
        <v>#DIV/0!</v>
      </c>
    </row>
    <row r="52" spans="1:23" ht="15.75" customHeight="1" x14ac:dyDescent="0.25">
      <c r="A52" s="9"/>
      <c r="B52" s="9"/>
      <c r="C52" s="78"/>
      <c r="D52" s="9"/>
      <c r="E52" s="78"/>
      <c r="F52" s="12"/>
      <c r="G52" s="79"/>
      <c r="H52" s="9"/>
      <c r="I52" s="78"/>
      <c r="J52" s="79"/>
      <c r="K52" s="79"/>
    </row>
    <row r="53" spans="1:23" ht="15.75" customHeight="1" x14ac:dyDescent="0.25">
      <c r="A53" s="57" t="s">
        <v>108</v>
      </c>
      <c r="B53" s="58">
        <f>B50+B51</f>
        <v>0</v>
      </c>
      <c r="C53" s="59" t="e">
        <f>B53/$B$56</f>
        <v>#DIV/0!</v>
      </c>
      <c r="D53" s="58">
        <f>D50+D51</f>
        <v>0</v>
      </c>
      <c r="E53" s="59" t="e">
        <f>D53/$D$56</f>
        <v>#DIV/0!</v>
      </c>
      <c r="F53" s="58">
        <f>F50+F51</f>
        <v>0</v>
      </c>
      <c r="G53" s="59" t="e">
        <f>F53/$F$56</f>
        <v>#DIV/0!</v>
      </c>
      <c r="H53" s="58">
        <f>H50+H51</f>
        <v>0</v>
      </c>
      <c r="I53" s="59" t="e">
        <f>H53/$H$56</f>
        <v>#DIV/0!</v>
      </c>
      <c r="J53" s="61"/>
      <c r="K53" s="61"/>
      <c r="M53" s="302">
        <f>D53-B53</f>
        <v>0</v>
      </c>
      <c r="N53" s="295" t="e">
        <f>M53/B53</f>
        <v>#DIV/0!</v>
      </c>
      <c r="O53" s="296" t="e">
        <f>D53/B53</f>
        <v>#DIV/0!</v>
      </c>
      <c r="Q53" s="302">
        <f>F53-D53</f>
        <v>0</v>
      </c>
      <c r="R53" s="295" t="e">
        <f>Q53/D53</f>
        <v>#DIV/0!</v>
      </c>
      <c r="S53" s="296" t="e">
        <f>F53/D53</f>
        <v>#DIV/0!</v>
      </c>
      <c r="U53" s="294">
        <f>H53-F53</f>
        <v>0</v>
      </c>
      <c r="V53" s="295" t="e">
        <f>U53/F53</f>
        <v>#DIV/0!</v>
      </c>
      <c r="W53" s="296" t="e">
        <f>H53/F53</f>
        <v>#DIV/0!</v>
      </c>
    </row>
    <row r="54" spans="1:23" ht="15.75" customHeight="1" x14ac:dyDescent="0.25">
      <c r="A54" s="34"/>
      <c r="B54" s="34" t="s">
        <v>81</v>
      </c>
      <c r="C54" s="62"/>
      <c r="D54" s="64"/>
      <c r="E54" s="64"/>
      <c r="F54" s="63" t="s">
        <v>81</v>
      </c>
      <c r="G54" s="64"/>
      <c r="H54" s="34" t="s">
        <v>81</v>
      </c>
      <c r="I54" s="62"/>
      <c r="J54" s="79"/>
      <c r="K54" s="79"/>
    </row>
    <row r="55" spans="1:23" ht="15.75" customHeight="1" x14ac:dyDescent="0.25">
      <c r="A55" s="9"/>
      <c r="B55" s="9"/>
      <c r="C55" s="78"/>
      <c r="D55" s="79"/>
      <c r="E55" s="79"/>
      <c r="F55" s="12"/>
      <c r="G55" s="79"/>
      <c r="H55" s="9"/>
      <c r="I55" s="78"/>
      <c r="J55" s="79"/>
      <c r="K55" s="79"/>
    </row>
    <row r="56" spans="1:23" ht="15.75" customHeight="1" x14ac:dyDescent="0.3">
      <c r="A56" s="88" t="s">
        <v>112</v>
      </c>
      <c r="B56" s="89">
        <f>B53+B32+B46</f>
        <v>0</v>
      </c>
      <c r="C56" s="90" t="e">
        <f>B56/$B$56</f>
        <v>#DIV/0!</v>
      </c>
      <c r="D56" s="89">
        <f>D53+D32+D46</f>
        <v>0</v>
      </c>
      <c r="E56" s="90" t="e">
        <f>D56/$D$56</f>
        <v>#DIV/0!</v>
      </c>
      <c r="F56" s="91">
        <f>F53+F32+F46</f>
        <v>0</v>
      </c>
      <c r="G56" s="92" t="e">
        <f>F56/$F$56</f>
        <v>#DIV/0!</v>
      </c>
      <c r="H56" s="89">
        <f>H53+H32+H46</f>
        <v>0</v>
      </c>
      <c r="I56" s="90" t="e">
        <f>H56/$H$56</f>
        <v>#DIV/0!</v>
      </c>
      <c r="J56" s="61"/>
      <c r="K56" s="61"/>
      <c r="M56" s="302">
        <f>D56-B56</f>
        <v>0</v>
      </c>
      <c r="N56" s="295" t="e">
        <f>M56/B56</f>
        <v>#DIV/0!</v>
      </c>
      <c r="O56" s="296" t="e">
        <f>D56/B56</f>
        <v>#DIV/0!</v>
      </c>
      <c r="Q56" s="302">
        <f>F56-D56</f>
        <v>0</v>
      </c>
      <c r="R56" s="295" t="e">
        <f>Q56/D56</f>
        <v>#DIV/0!</v>
      </c>
      <c r="S56" s="296" t="e">
        <f>F56/D56</f>
        <v>#DIV/0!</v>
      </c>
      <c r="U56" s="294">
        <f>H56-F56</f>
        <v>0</v>
      </c>
      <c r="V56" s="295" t="e">
        <f>U56/F56</f>
        <v>#DIV/0!</v>
      </c>
      <c r="W56" s="296" t="e">
        <f>H56/F56</f>
        <v>#DIV/0!</v>
      </c>
    </row>
    <row r="57" spans="1:23" ht="15.75" customHeight="1" x14ac:dyDescent="0.25"/>
    <row r="58" spans="1:23" ht="15.75" customHeight="1" x14ac:dyDescent="0.25"/>
    <row r="59" spans="1:23" ht="15.75" customHeight="1" x14ac:dyDescent="0.3">
      <c r="A59" s="321" t="s">
        <v>119</v>
      </c>
      <c r="B59" s="320"/>
      <c r="C59" s="322"/>
      <c r="D59" s="305"/>
      <c r="E59" s="305"/>
      <c r="F59" s="319"/>
      <c r="G59" s="320"/>
      <c r="H59" s="323"/>
      <c r="I59" s="322"/>
      <c r="J59" s="306"/>
      <c r="K59" s="306"/>
      <c r="M59" s="321" t="s">
        <v>119</v>
      </c>
      <c r="N59" s="320"/>
      <c r="O59" s="322"/>
      <c r="Q59" s="321" t="s">
        <v>119</v>
      </c>
      <c r="R59" s="320"/>
      <c r="S59" s="322"/>
      <c r="U59" s="321" t="s">
        <v>119</v>
      </c>
      <c r="V59" s="320"/>
      <c r="W59" s="322"/>
    </row>
    <row r="60" spans="1:23" ht="15.75" customHeight="1" x14ac:dyDescent="0.25">
      <c r="A60" s="14" t="s">
        <v>120</v>
      </c>
      <c r="B60" s="102" t="s">
        <v>60</v>
      </c>
      <c r="C60" s="103" t="s">
        <v>61</v>
      </c>
      <c r="D60" s="105"/>
      <c r="E60" s="105"/>
      <c r="F60" s="104" t="s">
        <v>60</v>
      </c>
      <c r="G60" s="105" t="s">
        <v>61</v>
      </c>
      <c r="H60" s="102" t="s">
        <v>60</v>
      </c>
      <c r="I60" s="103" t="s">
        <v>61</v>
      </c>
      <c r="J60" s="105"/>
      <c r="K60" s="105"/>
      <c r="M60" s="337" t="s">
        <v>225</v>
      </c>
      <c r="N60" s="336"/>
      <c r="O60" s="336"/>
      <c r="Q60" s="337" t="s">
        <v>226</v>
      </c>
      <c r="R60" s="336"/>
      <c r="S60" s="336"/>
      <c r="U60" s="337" t="s">
        <v>217</v>
      </c>
      <c r="V60" s="336"/>
      <c r="W60" s="336"/>
    </row>
    <row r="61" spans="1:23" ht="15.75" customHeight="1" x14ac:dyDescent="0.25">
      <c r="A61" s="9"/>
      <c r="B61" s="9"/>
      <c r="C61" s="11"/>
      <c r="D61" s="2"/>
      <c r="E61" s="2"/>
      <c r="F61" s="12"/>
      <c r="G61" s="2"/>
      <c r="H61" s="9"/>
      <c r="I61" s="11"/>
      <c r="J61" s="2"/>
      <c r="K61" s="2"/>
    </row>
    <row r="62" spans="1:23" ht="15.75" customHeight="1" x14ac:dyDescent="0.25">
      <c r="A62" s="24" t="s">
        <v>122</v>
      </c>
      <c r="B62" s="80"/>
      <c r="C62" s="106"/>
      <c r="D62" s="107"/>
      <c r="E62" s="107"/>
      <c r="F62" s="82"/>
      <c r="G62" s="107"/>
      <c r="H62" s="80"/>
      <c r="I62" s="106"/>
      <c r="J62" s="2"/>
      <c r="K62" s="2"/>
    </row>
    <row r="63" spans="1:23" ht="15.75" customHeight="1" x14ac:dyDescent="0.25">
      <c r="A63" s="34"/>
      <c r="B63" s="112"/>
      <c r="C63" s="109"/>
      <c r="D63" s="111"/>
      <c r="E63" s="111"/>
      <c r="F63" s="110"/>
      <c r="G63" s="111"/>
      <c r="H63" s="112"/>
      <c r="I63" s="109"/>
      <c r="J63" s="2"/>
      <c r="K63" s="2"/>
    </row>
    <row r="64" spans="1:23" ht="15.75" customHeight="1" x14ac:dyDescent="0.25">
      <c r="A64" s="34" t="s">
        <v>125</v>
      </c>
      <c r="B64" s="43">
        <f>Balance!B52</f>
        <v>0</v>
      </c>
      <c r="C64" s="44" t="e">
        <f t="shared" ref="C64:C69" si="38">B64/$B$82</f>
        <v>#DIV/0!</v>
      </c>
      <c r="D64" s="43">
        <f>Balance!D52</f>
        <v>0</v>
      </c>
      <c r="E64" s="44" t="e">
        <f t="shared" ref="E64:E69" si="39">D64/$D$82</f>
        <v>#DIV/0!</v>
      </c>
      <c r="F64" s="43">
        <f>Balance!F52</f>
        <v>0</v>
      </c>
      <c r="G64" s="45" t="e">
        <f t="shared" ref="G64:G69" si="40">F64/$F$82</f>
        <v>#DIV/0!</v>
      </c>
      <c r="H64" s="43">
        <f>Balance!H52</f>
        <v>0</v>
      </c>
      <c r="I64" s="44" t="e">
        <f t="shared" ref="I64:I69" si="41">H64/$H$84</f>
        <v>#DIV/0!</v>
      </c>
      <c r="J64" s="61"/>
      <c r="K64" s="61"/>
      <c r="M64" s="281">
        <f t="shared" ref="M64:M69" si="42">D64-B64</f>
        <v>0</v>
      </c>
      <c r="N64" s="282" t="e">
        <f t="shared" ref="N64:N69" si="43">M64/B64</f>
        <v>#DIV/0!</v>
      </c>
      <c r="O64" s="283" t="e">
        <f t="shared" ref="O64:O69" si="44">D64/B64</f>
        <v>#DIV/0!</v>
      </c>
      <c r="Q64" s="281">
        <f t="shared" ref="Q64:Q69" si="45">F64-D64</f>
        <v>0</v>
      </c>
      <c r="R64" s="282" t="e">
        <f t="shared" ref="R64:R69" si="46">Q64/D64</f>
        <v>#DIV/0!</v>
      </c>
      <c r="S64" s="283" t="e">
        <f t="shared" ref="S64:S69" si="47">F64/D64</f>
        <v>#DIV/0!</v>
      </c>
      <c r="U64" s="281">
        <f t="shared" ref="U64:U69" si="48">H64-F64</f>
        <v>0</v>
      </c>
      <c r="V64" s="282" t="e">
        <f t="shared" ref="V64:V69" si="49">U64/F64</f>
        <v>#DIV/0!</v>
      </c>
      <c r="W64" s="283" t="e">
        <f t="shared" ref="W64:W69" si="50">H64/F64</f>
        <v>#DIV/0!</v>
      </c>
    </row>
    <row r="65" spans="1:23" ht="15.75" customHeight="1" x14ac:dyDescent="0.25">
      <c r="A65" s="34" t="s">
        <v>127</v>
      </c>
      <c r="B65" s="43">
        <f>Balance!B53</f>
        <v>0</v>
      </c>
      <c r="C65" s="44" t="e">
        <f t="shared" si="38"/>
        <v>#DIV/0!</v>
      </c>
      <c r="D65" s="43">
        <f>Balance!D53</f>
        <v>0</v>
      </c>
      <c r="E65" s="44" t="e">
        <f t="shared" si="39"/>
        <v>#DIV/0!</v>
      </c>
      <c r="F65" s="43">
        <f>Balance!F53</f>
        <v>0</v>
      </c>
      <c r="G65" s="45" t="e">
        <f t="shared" si="40"/>
        <v>#DIV/0!</v>
      </c>
      <c r="H65" s="43">
        <f>Balance!H53</f>
        <v>0</v>
      </c>
      <c r="I65" s="44" t="e">
        <f t="shared" si="41"/>
        <v>#DIV/0!</v>
      </c>
      <c r="J65" s="61"/>
      <c r="K65" s="61"/>
      <c r="M65" s="281">
        <f t="shared" si="42"/>
        <v>0</v>
      </c>
      <c r="N65" s="282" t="e">
        <f t="shared" si="43"/>
        <v>#DIV/0!</v>
      </c>
      <c r="O65" s="283" t="e">
        <f t="shared" si="44"/>
        <v>#DIV/0!</v>
      </c>
      <c r="Q65" s="281">
        <f t="shared" si="45"/>
        <v>0</v>
      </c>
      <c r="R65" s="282" t="e">
        <f t="shared" si="46"/>
        <v>#DIV/0!</v>
      </c>
      <c r="S65" s="283" t="e">
        <f t="shared" si="47"/>
        <v>#DIV/0!</v>
      </c>
      <c r="U65" s="281">
        <f t="shared" si="48"/>
        <v>0</v>
      </c>
      <c r="V65" s="282" t="e">
        <f t="shared" si="49"/>
        <v>#DIV/0!</v>
      </c>
      <c r="W65" s="283" t="e">
        <f t="shared" si="50"/>
        <v>#DIV/0!</v>
      </c>
    </row>
    <row r="66" spans="1:23" ht="15.75" customHeight="1" x14ac:dyDescent="0.25">
      <c r="A66" s="34" t="s">
        <v>237</v>
      </c>
      <c r="B66" s="43">
        <f>Balance!B54</f>
        <v>0</v>
      </c>
      <c r="C66" s="44" t="e">
        <f t="shared" si="38"/>
        <v>#DIV/0!</v>
      </c>
      <c r="D66" s="43">
        <f>Balance!D54</f>
        <v>0</v>
      </c>
      <c r="E66" s="44" t="e">
        <f t="shared" si="39"/>
        <v>#DIV/0!</v>
      </c>
      <c r="F66" s="43">
        <f>Balance!F54</f>
        <v>0</v>
      </c>
      <c r="G66" s="45" t="e">
        <f t="shared" si="40"/>
        <v>#DIV/0!</v>
      </c>
      <c r="H66" s="43">
        <f>Balance!H54</f>
        <v>0</v>
      </c>
      <c r="I66" s="44" t="e">
        <f t="shared" si="41"/>
        <v>#DIV/0!</v>
      </c>
      <c r="J66" s="61"/>
      <c r="K66" s="61"/>
      <c r="M66" s="281">
        <f t="shared" si="42"/>
        <v>0</v>
      </c>
      <c r="N66" s="282" t="e">
        <f t="shared" si="43"/>
        <v>#DIV/0!</v>
      </c>
      <c r="O66" s="283" t="e">
        <f t="shared" si="44"/>
        <v>#DIV/0!</v>
      </c>
      <c r="Q66" s="281">
        <f t="shared" si="45"/>
        <v>0</v>
      </c>
      <c r="R66" s="282" t="e">
        <f t="shared" si="46"/>
        <v>#DIV/0!</v>
      </c>
      <c r="S66" s="283" t="e">
        <f t="shared" si="47"/>
        <v>#DIV/0!</v>
      </c>
      <c r="U66" s="281">
        <f t="shared" si="48"/>
        <v>0</v>
      </c>
      <c r="V66" s="282" t="e">
        <f t="shared" si="49"/>
        <v>#DIV/0!</v>
      </c>
      <c r="W66" s="283" t="e">
        <f t="shared" si="50"/>
        <v>#DIV/0!</v>
      </c>
    </row>
    <row r="67" spans="1:23" ht="15.75" customHeight="1" x14ac:dyDescent="0.25">
      <c r="A67" s="34" t="s">
        <v>132</v>
      </c>
      <c r="B67" s="43">
        <f>Balance!B55</f>
        <v>0</v>
      </c>
      <c r="C67" s="44" t="e">
        <f t="shared" si="38"/>
        <v>#DIV/0!</v>
      </c>
      <c r="D67" s="43">
        <f>Balance!D55</f>
        <v>0</v>
      </c>
      <c r="E67" s="44" t="e">
        <f t="shared" si="39"/>
        <v>#DIV/0!</v>
      </c>
      <c r="F67" s="43">
        <f>Balance!F55</f>
        <v>0</v>
      </c>
      <c r="G67" s="45" t="e">
        <f t="shared" si="40"/>
        <v>#DIV/0!</v>
      </c>
      <c r="H67" s="43">
        <f>Balance!H55</f>
        <v>0</v>
      </c>
      <c r="I67" s="44" t="e">
        <f t="shared" si="41"/>
        <v>#DIV/0!</v>
      </c>
      <c r="J67" s="61"/>
      <c r="K67" s="61"/>
      <c r="M67" s="281">
        <f t="shared" si="42"/>
        <v>0</v>
      </c>
      <c r="N67" s="282" t="e">
        <f t="shared" si="43"/>
        <v>#DIV/0!</v>
      </c>
      <c r="O67" s="283" t="e">
        <f t="shared" si="44"/>
        <v>#DIV/0!</v>
      </c>
      <c r="Q67" s="281">
        <f t="shared" si="45"/>
        <v>0</v>
      </c>
      <c r="R67" s="282" t="e">
        <f t="shared" si="46"/>
        <v>#DIV/0!</v>
      </c>
      <c r="S67" s="283" t="e">
        <f t="shared" si="47"/>
        <v>#DIV/0!</v>
      </c>
      <c r="U67" s="281">
        <f t="shared" si="48"/>
        <v>0</v>
      </c>
      <c r="V67" s="282" t="e">
        <f t="shared" si="49"/>
        <v>#DIV/0!</v>
      </c>
      <c r="W67" s="283" t="e">
        <f t="shared" si="50"/>
        <v>#DIV/0!</v>
      </c>
    </row>
    <row r="68" spans="1:23" ht="15.75" customHeight="1" x14ac:dyDescent="0.25">
      <c r="A68" s="9" t="s">
        <v>238</v>
      </c>
      <c r="B68" s="43">
        <f>Balance!B56</f>
        <v>0</v>
      </c>
      <c r="C68" s="44" t="e">
        <f t="shared" si="38"/>
        <v>#DIV/0!</v>
      </c>
      <c r="D68" s="43">
        <f>Balance!D56</f>
        <v>0</v>
      </c>
      <c r="E68" s="44" t="e">
        <f t="shared" si="39"/>
        <v>#DIV/0!</v>
      </c>
      <c r="F68" s="43">
        <f>Balance!F56</f>
        <v>0</v>
      </c>
      <c r="G68" s="45" t="e">
        <f t="shared" si="40"/>
        <v>#DIV/0!</v>
      </c>
      <c r="H68" s="43">
        <f>Balance!H56</f>
        <v>0</v>
      </c>
      <c r="I68" s="54" t="e">
        <f t="shared" si="41"/>
        <v>#DIV/0!</v>
      </c>
      <c r="J68" s="61"/>
      <c r="K68" s="61"/>
      <c r="M68" s="281">
        <f t="shared" si="42"/>
        <v>0</v>
      </c>
      <c r="N68" s="282" t="e">
        <f t="shared" si="43"/>
        <v>#DIV/0!</v>
      </c>
      <c r="O68" s="283" t="e">
        <f t="shared" si="44"/>
        <v>#DIV/0!</v>
      </c>
      <c r="Q68" s="281">
        <f t="shared" si="45"/>
        <v>0</v>
      </c>
      <c r="R68" s="282" t="e">
        <f t="shared" si="46"/>
        <v>#DIV/0!</v>
      </c>
      <c r="S68" s="283" t="e">
        <f t="shared" si="47"/>
        <v>#DIV/0!</v>
      </c>
      <c r="U68" s="281">
        <f t="shared" si="48"/>
        <v>0</v>
      </c>
      <c r="V68" s="282" t="e">
        <f t="shared" si="49"/>
        <v>#DIV/0!</v>
      </c>
      <c r="W68" s="283" t="e">
        <f t="shared" si="50"/>
        <v>#DIV/0!</v>
      </c>
    </row>
    <row r="69" spans="1:23" ht="15.75" customHeight="1" x14ac:dyDescent="0.25">
      <c r="A69" s="9" t="s">
        <v>239</v>
      </c>
      <c r="B69" s="43">
        <f>Balance!B57</f>
        <v>0</v>
      </c>
      <c r="C69" s="44" t="e">
        <f t="shared" si="38"/>
        <v>#DIV/0!</v>
      </c>
      <c r="D69" s="43">
        <f>Balance!D57</f>
        <v>0</v>
      </c>
      <c r="E69" s="44" t="e">
        <f t="shared" si="39"/>
        <v>#DIV/0!</v>
      </c>
      <c r="F69" s="43">
        <f>Balance!F57</f>
        <v>0</v>
      </c>
      <c r="G69" s="45" t="e">
        <f t="shared" si="40"/>
        <v>#DIV/0!</v>
      </c>
      <c r="H69" s="43">
        <f>Balance!H57</f>
        <v>0</v>
      </c>
      <c r="I69" s="54" t="e">
        <f t="shared" si="41"/>
        <v>#DIV/0!</v>
      </c>
      <c r="J69" s="61"/>
      <c r="K69" s="61"/>
      <c r="M69" s="281">
        <f t="shared" si="42"/>
        <v>0</v>
      </c>
      <c r="N69" s="282" t="e">
        <f t="shared" si="43"/>
        <v>#DIV/0!</v>
      </c>
      <c r="O69" s="283" t="e">
        <f t="shared" si="44"/>
        <v>#DIV/0!</v>
      </c>
      <c r="Q69" s="281">
        <f t="shared" si="45"/>
        <v>0</v>
      </c>
      <c r="R69" s="282" t="e">
        <f t="shared" si="46"/>
        <v>#DIV/0!</v>
      </c>
      <c r="S69" s="283" t="e">
        <f t="shared" si="47"/>
        <v>#DIV/0!</v>
      </c>
      <c r="U69" s="281">
        <f t="shared" si="48"/>
        <v>0</v>
      </c>
      <c r="V69" s="282" t="e">
        <f t="shared" si="49"/>
        <v>#DIV/0!</v>
      </c>
      <c r="W69" s="283" t="e">
        <f t="shared" si="50"/>
        <v>#DIV/0!</v>
      </c>
    </row>
    <row r="70" spans="1:23" ht="15.75" customHeight="1" x14ac:dyDescent="0.25">
      <c r="A70" s="9"/>
      <c r="B70" s="10"/>
      <c r="C70" s="54"/>
      <c r="D70" s="10"/>
      <c r="E70" s="54"/>
      <c r="F70" s="43"/>
      <c r="G70" s="2"/>
      <c r="H70" s="10"/>
      <c r="I70" s="11"/>
      <c r="J70" s="2"/>
      <c r="K70" s="2"/>
    </row>
    <row r="71" spans="1:23" ht="15.75" customHeight="1" x14ac:dyDescent="0.25">
      <c r="A71" s="9"/>
      <c r="B71" s="10"/>
      <c r="C71" s="54"/>
      <c r="D71" s="10"/>
      <c r="E71" s="54"/>
      <c r="F71" s="43"/>
      <c r="G71" s="2"/>
      <c r="H71" s="10"/>
      <c r="I71" s="11"/>
      <c r="J71" s="2"/>
      <c r="K71" s="2"/>
    </row>
    <row r="72" spans="1:23" ht="15.75" customHeight="1" x14ac:dyDescent="0.25">
      <c r="A72" s="9"/>
      <c r="B72" s="95"/>
      <c r="C72" s="54"/>
      <c r="D72" s="95"/>
      <c r="E72" s="54"/>
      <c r="F72" s="95"/>
      <c r="G72" s="2"/>
      <c r="H72" s="95"/>
      <c r="I72" s="11"/>
      <c r="J72" s="2"/>
      <c r="K72" s="2"/>
    </row>
    <row r="73" spans="1:23" ht="15.75" customHeight="1" x14ac:dyDescent="0.25">
      <c r="A73" s="57" t="s">
        <v>140</v>
      </c>
      <c r="B73" s="85">
        <f>SUM(B64:B71)</f>
        <v>0</v>
      </c>
      <c r="C73" s="44" t="e">
        <f>B73/$B$82</f>
        <v>#DIV/0!</v>
      </c>
      <c r="D73" s="85">
        <f>SUM(D64:D71)</f>
        <v>0</v>
      </c>
      <c r="E73" s="44" t="e">
        <f>D73/$D$82</f>
        <v>#DIV/0!</v>
      </c>
      <c r="F73" s="123">
        <f>SUM(F64:F71)</f>
        <v>0</v>
      </c>
      <c r="G73" s="60" t="e">
        <f>F73/$F$82</f>
        <v>#DIV/0!</v>
      </c>
      <c r="H73" s="85">
        <f>SUM(H64:H71)</f>
        <v>0</v>
      </c>
      <c r="I73" s="59" t="e">
        <f>H73/$H$82</f>
        <v>#DIV/0!</v>
      </c>
      <c r="J73" s="61"/>
      <c r="K73" s="61"/>
      <c r="M73" s="294">
        <f>D73-B73</f>
        <v>0</v>
      </c>
      <c r="N73" s="295" t="e">
        <f>M73/B73</f>
        <v>#DIV/0!</v>
      </c>
      <c r="O73" s="296" t="e">
        <f>D73/B73</f>
        <v>#DIV/0!</v>
      </c>
      <c r="Q73" s="294">
        <f>F73-D73</f>
        <v>0</v>
      </c>
      <c r="R73" s="295" t="e">
        <f>Q73/D73</f>
        <v>#DIV/0!</v>
      </c>
      <c r="S73" s="296" t="e">
        <f>F73/D73</f>
        <v>#DIV/0!</v>
      </c>
      <c r="U73" s="294">
        <f>H73-F73</f>
        <v>0</v>
      </c>
      <c r="V73" s="295" t="e">
        <f>U73/F73</f>
        <v>#DIV/0!</v>
      </c>
      <c r="W73" s="296" t="e">
        <f>H73/F73</f>
        <v>#DIV/0!</v>
      </c>
    </row>
    <row r="74" spans="1:23" ht="15.75" customHeight="1" x14ac:dyDescent="0.25">
      <c r="A74" s="34"/>
      <c r="B74" s="34" t="s">
        <v>81</v>
      </c>
      <c r="C74" s="109"/>
      <c r="D74" s="34" t="s">
        <v>81</v>
      </c>
      <c r="E74" s="109"/>
      <c r="F74" s="63" t="s">
        <v>81</v>
      </c>
      <c r="G74" s="111"/>
      <c r="H74" s="34" t="s">
        <v>81</v>
      </c>
      <c r="I74" s="109"/>
      <c r="J74" s="2"/>
      <c r="K74" s="2"/>
    </row>
    <row r="75" spans="1:23" ht="15.75" customHeight="1" x14ac:dyDescent="0.25">
      <c r="A75" s="24" t="s">
        <v>144</v>
      </c>
      <c r="B75" s="80"/>
      <c r="C75" s="106"/>
      <c r="D75" s="80"/>
      <c r="E75" s="106"/>
      <c r="F75" s="82"/>
      <c r="G75" s="107"/>
      <c r="H75" s="80"/>
      <c r="I75" s="124"/>
      <c r="J75" s="2"/>
      <c r="K75" s="2"/>
    </row>
    <row r="76" spans="1:23" ht="15.75" customHeight="1" x14ac:dyDescent="0.25">
      <c r="A76" s="34" t="s">
        <v>145</v>
      </c>
      <c r="B76" s="43">
        <f>Balance!B64</f>
        <v>0</v>
      </c>
      <c r="C76" s="44" t="e">
        <f>B76/$B$82</f>
        <v>#DIV/0!</v>
      </c>
      <c r="D76" s="43">
        <f>Balance!D64</f>
        <v>0</v>
      </c>
      <c r="E76" s="44" t="e">
        <f>D76/$D$82</f>
        <v>#DIV/0!</v>
      </c>
      <c r="F76" s="43">
        <f>Balance!F64</f>
        <v>0</v>
      </c>
      <c r="G76" s="45" t="e">
        <f>F76/$F$82</f>
        <v>#DIV/0!</v>
      </c>
      <c r="H76" s="43">
        <f>Balance!H64</f>
        <v>0</v>
      </c>
      <c r="I76" s="44" t="e">
        <f>H76/$H$84</f>
        <v>#DIV/0!</v>
      </c>
      <c r="J76" s="61"/>
      <c r="K76" s="61"/>
      <c r="M76" s="281">
        <f>D76-B76</f>
        <v>0</v>
      </c>
      <c r="N76" s="282" t="e">
        <f>M76/B76</f>
        <v>#DIV/0!</v>
      </c>
      <c r="O76" s="283" t="e">
        <f>D76/B76</f>
        <v>#DIV/0!</v>
      </c>
      <c r="Q76" s="281">
        <f>F76-D76</f>
        <v>0</v>
      </c>
      <c r="R76" s="282" t="e">
        <f>Q76/D76</f>
        <v>#DIV/0!</v>
      </c>
      <c r="S76" s="283" t="e">
        <f>F76/D76</f>
        <v>#DIV/0!</v>
      </c>
      <c r="U76" s="281">
        <f>H76-F76</f>
        <v>0</v>
      </c>
      <c r="V76" s="282" t="e">
        <f>U76/F76</f>
        <v>#DIV/0!</v>
      </c>
      <c r="W76" s="283" t="e">
        <f>H76/F76</f>
        <v>#DIV/0!</v>
      </c>
    </row>
    <row r="77" spans="1:23" ht="15.75" customHeight="1" x14ac:dyDescent="0.25">
      <c r="A77" s="34" t="s">
        <v>240</v>
      </c>
      <c r="B77" s="43">
        <f>Balance!B65</f>
        <v>0</v>
      </c>
      <c r="C77" s="44" t="e">
        <f>B77/$B$82</f>
        <v>#DIV/0!</v>
      </c>
      <c r="D77" s="43">
        <f>Balance!D65</f>
        <v>0</v>
      </c>
      <c r="E77" s="44" t="e">
        <f>D77/$D$82</f>
        <v>#DIV/0!</v>
      </c>
      <c r="F77" s="43">
        <f>Balance!F65</f>
        <v>0</v>
      </c>
      <c r="G77" s="45" t="e">
        <f>F77/$F$82</f>
        <v>#DIV/0!</v>
      </c>
      <c r="H77" s="43">
        <f>Balance!H65</f>
        <v>0</v>
      </c>
      <c r="I77" s="44" t="e">
        <f>H77/$H$84</f>
        <v>#DIV/0!</v>
      </c>
      <c r="J77" s="61"/>
      <c r="K77" s="61"/>
      <c r="M77" s="281">
        <f>D77-B77</f>
        <v>0</v>
      </c>
      <c r="N77" s="282" t="e">
        <f>M77/B77</f>
        <v>#DIV/0!</v>
      </c>
      <c r="O77" s="283" t="e">
        <f>D77/B77</f>
        <v>#DIV/0!</v>
      </c>
      <c r="Q77" s="281">
        <f>F77-D77</f>
        <v>0</v>
      </c>
      <c r="R77" s="282" t="e">
        <f>Q77/D77</f>
        <v>#DIV/0!</v>
      </c>
      <c r="S77" s="283" t="e">
        <f>F77/D77</f>
        <v>#DIV/0!</v>
      </c>
      <c r="U77" s="281">
        <f>H77-F77</f>
        <v>0</v>
      </c>
      <c r="V77" s="282" t="e">
        <f>U77/F77</f>
        <v>#DIV/0!</v>
      </c>
      <c r="W77" s="283" t="e">
        <f>H77/F77</f>
        <v>#DIV/0!</v>
      </c>
    </row>
    <row r="78" spans="1:23" ht="15.75" customHeight="1" x14ac:dyDescent="0.25">
      <c r="A78" s="9"/>
      <c r="B78" s="95"/>
      <c r="C78" s="11"/>
      <c r="D78" s="95"/>
      <c r="E78" s="11"/>
      <c r="F78" s="96"/>
      <c r="G78" s="2"/>
      <c r="H78" s="95"/>
      <c r="I78" s="11"/>
      <c r="J78" s="2"/>
      <c r="K78" s="2"/>
    </row>
    <row r="79" spans="1:23" ht="15.75" customHeight="1" x14ac:dyDescent="0.25">
      <c r="A79" s="57" t="s">
        <v>149</v>
      </c>
      <c r="B79" s="307">
        <f>B76+B77</f>
        <v>0</v>
      </c>
      <c r="C79" s="59" t="e">
        <f>B79/$B$82</f>
        <v>#DIV/0!</v>
      </c>
      <c r="D79" s="307">
        <f>D76+D77</f>
        <v>0</v>
      </c>
      <c r="E79" s="59" t="e">
        <f>D79/$D$82</f>
        <v>#DIV/0!</v>
      </c>
      <c r="F79" s="307">
        <f>F76+F77</f>
        <v>0</v>
      </c>
      <c r="G79" s="60" t="e">
        <f>F79/$F$82</f>
        <v>#DIV/0!</v>
      </c>
      <c r="H79" s="307">
        <f>H76+H77</f>
        <v>0</v>
      </c>
      <c r="I79" s="59" t="e">
        <f>H79/$H$82</f>
        <v>#DIV/0!</v>
      </c>
      <c r="J79" s="61"/>
      <c r="K79" s="61"/>
      <c r="M79" s="294">
        <f>D79-B79</f>
        <v>0</v>
      </c>
      <c r="N79" s="295" t="e">
        <f>M79/B79</f>
        <v>#DIV/0!</v>
      </c>
      <c r="O79" s="296" t="e">
        <f>D79/B79</f>
        <v>#DIV/0!</v>
      </c>
      <c r="Q79" s="294">
        <f>F79-D79</f>
        <v>0</v>
      </c>
      <c r="R79" s="295" t="e">
        <f>Q79/D79</f>
        <v>#DIV/0!</v>
      </c>
      <c r="S79" s="296" t="e">
        <f>F79/D79</f>
        <v>#DIV/0!</v>
      </c>
      <c r="U79" s="294">
        <f>H79-F79</f>
        <v>0</v>
      </c>
      <c r="V79" s="295" t="e">
        <f>U79/F79</f>
        <v>#DIV/0!</v>
      </c>
      <c r="W79" s="296" t="e">
        <f>H79/F79</f>
        <v>#DIV/0!</v>
      </c>
    </row>
    <row r="80" spans="1:23" ht="15.75" customHeight="1" x14ac:dyDescent="0.25">
      <c r="A80" s="34"/>
      <c r="B80" s="34" t="s">
        <v>81</v>
      </c>
      <c r="C80" s="109"/>
      <c r="D80" s="34" t="s">
        <v>81</v>
      </c>
      <c r="E80" s="109"/>
      <c r="F80" s="63" t="s">
        <v>81</v>
      </c>
      <c r="G80" s="111"/>
      <c r="H80" s="34" t="s">
        <v>81</v>
      </c>
      <c r="I80" s="109"/>
      <c r="J80" s="2"/>
      <c r="K80" s="2"/>
    </row>
    <row r="81" spans="1:23" ht="15.75" customHeight="1" x14ac:dyDescent="0.25">
      <c r="A81" s="9"/>
      <c r="B81" s="9"/>
      <c r="C81" s="11"/>
      <c r="D81" s="9"/>
      <c r="E81" s="11"/>
      <c r="F81" s="12"/>
      <c r="G81" s="2"/>
      <c r="H81" s="9"/>
      <c r="I81" s="11"/>
      <c r="J81" s="2"/>
      <c r="K81" s="2"/>
    </row>
    <row r="82" spans="1:23" ht="15.75" customHeight="1" x14ac:dyDescent="0.3">
      <c r="A82" s="88" t="s">
        <v>151</v>
      </c>
      <c r="B82" s="89">
        <f>SUM(B79+B73)</f>
        <v>0</v>
      </c>
      <c r="C82" s="90" t="e">
        <f>B82/$B$96</f>
        <v>#DIV/0!</v>
      </c>
      <c r="D82" s="89">
        <f>SUM(D79+D73)</f>
        <v>0</v>
      </c>
      <c r="E82" s="90" t="e">
        <f>D82/$D$96</f>
        <v>#DIV/0!</v>
      </c>
      <c r="F82" s="91">
        <f>SUM(F79+F73)</f>
        <v>0</v>
      </c>
      <c r="G82" s="92" t="e">
        <f>F82/$F$96</f>
        <v>#DIV/0!</v>
      </c>
      <c r="H82" s="89">
        <f>SUM(H79+H73)</f>
        <v>0</v>
      </c>
      <c r="I82" s="90" t="e">
        <f>H82/$H$96</f>
        <v>#DIV/0!</v>
      </c>
      <c r="J82" s="61"/>
      <c r="K82" s="61"/>
      <c r="M82" s="294">
        <f>D82-B82</f>
        <v>0</v>
      </c>
      <c r="N82" s="295" t="e">
        <f>M82/B82</f>
        <v>#DIV/0!</v>
      </c>
      <c r="O82" s="296" t="e">
        <f>D82/B82</f>
        <v>#DIV/0!</v>
      </c>
      <c r="Q82" s="294">
        <f>F82-D82</f>
        <v>0</v>
      </c>
      <c r="R82" s="295" t="e">
        <f>Q82/D82</f>
        <v>#DIV/0!</v>
      </c>
      <c r="S82" s="296" t="e">
        <f>F82/D82</f>
        <v>#DIV/0!</v>
      </c>
      <c r="U82" s="294">
        <f>H82-F82</f>
        <v>0</v>
      </c>
      <c r="V82" s="295" t="e">
        <f>U82/F82</f>
        <v>#DIV/0!</v>
      </c>
      <c r="W82" s="296" t="e">
        <f>H82/F82</f>
        <v>#DIV/0!</v>
      </c>
    </row>
    <row r="83" spans="1:23" ht="15.75" customHeight="1" x14ac:dyDescent="0.25">
      <c r="A83" s="9"/>
      <c r="B83" s="10"/>
      <c r="C83" s="11"/>
      <c r="D83" s="2"/>
      <c r="E83" s="2"/>
      <c r="F83" s="15"/>
      <c r="G83" s="2"/>
      <c r="H83" s="10"/>
      <c r="I83" s="11"/>
      <c r="J83" s="2"/>
      <c r="K83" s="2"/>
    </row>
    <row r="84" spans="1:23" ht="15.75" customHeight="1" x14ac:dyDescent="0.25">
      <c r="A84" s="9"/>
      <c r="B84" s="9"/>
      <c r="C84" s="11"/>
      <c r="D84" s="2"/>
      <c r="E84" s="2"/>
      <c r="F84" s="12"/>
      <c r="G84" s="2"/>
      <c r="H84" s="9"/>
      <c r="I84" s="11"/>
      <c r="J84" s="2"/>
      <c r="K84" s="2"/>
    </row>
    <row r="85" spans="1:23" ht="15.75" customHeight="1" x14ac:dyDescent="0.3">
      <c r="A85" s="321" t="s">
        <v>154</v>
      </c>
      <c r="B85" s="320"/>
      <c r="C85" s="322"/>
      <c r="D85" s="305"/>
      <c r="E85" s="305"/>
      <c r="F85" s="319"/>
      <c r="G85" s="320"/>
      <c r="H85" s="323"/>
      <c r="I85" s="322"/>
      <c r="J85" s="306"/>
      <c r="K85" s="306"/>
      <c r="M85" s="321" t="s">
        <v>154</v>
      </c>
      <c r="N85" s="320"/>
      <c r="O85" s="322"/>
      <c r="Q85" s="321" t="s">
        <v>154</v>
      </c>
      <c r="R85" s="320"/>
      <c r="S85" s="322"/>
      <c r="U85" s="321" t="s">
        <v>154</v>
      </c>
      <c r="V85" s="320"/>
      <c r="W85" s="322"/>
    </row>
    <row r="86" spans="1:23" ht="15.75" customHeight="1" x14ac:dyDescent="0.25">
      <c r="A86" s="34" t="s">
        <v>156</v>
      </c>
      <c r="B86" s="112">
        <f>Balance!B74</f>
        <v>0</v>
      </c>
      <c r="C86" s="44" t="e">
        <f>B86/$B$96</f>
        <v>#DIV/0!</v>
      </c>
      <c r="D86" s="112">
        <f>Balance!D74</f>
        <v>0</v>
      </c>
      <c r="E86" s="44" t="e">
        <f>D86/$D$96</f>
        <v>#DIV/0!</v>
      </c>
      <c r="F86" s="112">
        <f>Balance!F74</f>
        <v>0</v>
      </c>
      <c r="G86" s="45" t="e">
        <f>F86/$F$84</f>
        <v>#DIV/0!</v>
      </c>
      <c r="H86" s="112">
        <f>Balance!H74</f>
        <v>0</v>
      </c>
      <c r="I86" s="44" t="e">
        <f>H86/$H$84</f>
        <v>#DIV/0!</v>
      </c>
      <c r="J86" s="61"/>
      <c r="K86" s="61"/>
      <c r="M86" s="281">
        <f>D86-B86</f>
        <v>0</v>
      </c>
      <c r="N86" s="282" t="e">
        <f>M86/B86</f>
        <v>#DIV/0!</v>
      </c>
      <c r="O86" s="283" t="e">
        <f>D86/B86</f>
        <v>#DIV/0!</v>
      </c>
      <c r="Q86" s="281">
        <f>F86-D86</f>
        <v>0</v>
      </c>
      <c r="R86" s="282" t="e">
        <f>Q86/D86</f>
        <v>#DIV/0!</v>
      </c>
      <c r="S86" s="283" t="e">
        <f>F86/D86</f>
        <v>#DIV/0!</v>
      </c>
      <c r="U86" s="281">
        <f>H86-F86</f>
        <v>0</v>
      </c>
      <c r="V86" s="282" t="e">
        <f>U86/F86</f>
        <v>#DIV/0!</v>
      </c>
      <c r="W86" s="283" t="e">
        <f>H86/F86</f>
        <v>#DIV/0!</v>
      </c>
    </row>
    <row r="87" spans="1:23" ht="15.75" customHeight="1" x14ac:dyDescent="0.25">
      <c r="A87" s="34" t="s">
        <v>158</v>
      </c>
      <c r="B87" s="112">
        <f>Balance!B75</f>
        <v>0</v>
      </c>
      <c r="C87" s="44" t="e">
        <f>B87/$B$96</f>
        <v>#DIV/0!</v>
      </c>
      <c r="D87" s="112">
        <f>Balance!D75</f>
        <v>0</v>
      </c>
      <c r="E87" s="44" t="e">
        <f>D87/$D$96</f>
        <v>#DIV/0!</v>
      </c>
      <c r="F87" s="112">
        <f>Balance!F75</f>
        <v>0</v>
      </c>
      <c r="G87" s="45" t="e">
        <f>F87/$F$84</f>
        <v>#DIV/0!</v>
      </c>
      <c r="H87" s="112">
        <f>Balance!H75</f>
        <v>0</v>
      </c>
      <c r="I87" s="44" t="e">
        <f>H87/$H$84</f>
        <v>#DIV/0!</v>
      </c>
      <c r="J87" s="61"/>
      <c r="K87" s="61"/>
      <c r="M87" s="281">
        <f>D87-B87</f>
        <v>0</v>
      </c>
      <c r="N87" s="282" t="e">
        <f>M87/B87</f>
        <v>#DIV/0!</v>
      </c>
      <c r="O87" s="283" t="e">
        <f>D87/B87</f>
        <v>#DIV/0!</v>
      </c>
      <c r="Q87" s="281">
        <f>F87-D87</f>
        <v>0</v>
      </c>
      <c r="R87" s="282" t="e">
        <f>Q87/D87</f>
        <v>#DIV/0!</v>
      </c>
      <c r="S87" s="283" t="e">
        <f>F87/D87</f>
        <v>#DIV/0!</v>
      </c>
      <c r="U87" s="281">
        <f>H87-F87</f>
        <v>0</v>
      </c>
      <c r="V87" s="282" t="e">
        <f>U87/F87</f>
        <v>#DIV/0!</v>
      </c>
      <c r="W87" s="283" t="e">
        <f>H87/F87</f>
        <v>#DIV/0!</v>
      </c>
    </row>
    <row r="88" spans="1:23" ht="15.75" customHeight="1" x14ac:dyDescent="0.25">
      <c r="A88" s="34" t="s">
        <v>241</v>
      </c>
      <c r="B88" s="112">
        <f>Balance!B76</f>
        <v>0</v>
      </c>
      <c r="C88" s="44" t="e">
        <f>B88/$B$96</f>
        <v>#DIV/0!</v>
      </c>
      <c r="D88" s="112">
        <f>Balance!D76</f>
        <v>0</v>
      </c>
      <c r="E88" s="44" t="e">
        <f>D88/$D$96</f>
        <v>#DIV/0!</v>
      </c>
      <c r="F88" s="112">
        <f>Balance!F76</f>
        <v>0</v>
      </c>
      <c r="G88" s="45" t="e">
        <f>F88/$F$84</f>
        <v>#DIV/0!</v>
      </c>
      <c r="H88" s="112">
        <f>Balance!H76</f>
        <v>0</v>
      </c>
      <c r="I88" s="44" t="e">
        <f>H88/$H$84</f>
        <v>#DIV/0!</v>
      </c>
      <c r="J88" s="61"/>
      <c r="K88" s="61"/>
      <c r="M88" s="281">
        <f>D88-B88</f>
        <v>0</v>
      </c>
      <c r="N88" s="282" t="e">
        <f>M88/B88</f>
        <v>#DIV/0!</v>
      </c>
      <c r="O88" s="283" t="e">
        <f>D88/B88</f>
        <v>#DIV/0!</v>
      </c>
      <c r="Q88" s="281">
        <f>F88-D88</f>
        <v>0</v>
      </c>
      <c r="R88" s="282" t="e">
        <f>Q88/D88</f>
        <v>#DIV/0!</v>
      </c>
      <c r="S88" s="283" t="e">
        <f>F88/D88</f>
        <v>#DIV/0!</v>
      </c>
      <c r="U88" s="281">
        <f>H88-F88</f>
        <v>0</v>
      </c>
      <c r="V88" s="282" t="e">
        <f>U88/F88</f>
        <v>#DIV/0!</v>
      </c>
      <c r="W88" s="283" t="e">
        <f>H88/F88</f>
        <v>#DIV/0!</v>
      </c>
    </row>
    <row r="89" spans="1:23" ht="15.75" customHeight="1" x14ac:dyDescent="0.25">
      <c r="A89" s="34" t="s">
        <v>242</v>
      </c>
      <c r="B89" s="112">
        <f>Balance!B77</f>
        <v>0</v>
      </c>
      <c r="C89" s="44" t="e">
        <f>B89/$B$96</f>
        <v>#DIV/0!</v>
      </c>
      <c r="D89" s="112">
        <f>Balance!D77</f>
        <v>0</v>
      </c>
      <c r="E89" s="44" t="e">
        <f>D89/$D$96</f>
        <v>#DIV/0!</v>
      </c>
      <c r="F89" s="112">
        <f>Balance!F77</f>
        <v>0</v>
      </c>
      <c r="G89" s="45" t="e">
        <f>F89/$F$84</f>
        <v>#DIV/0!</v>
      </c>
      <c r="H89" s="112">
        <f>Balance!H77</f>
        <v>0</v>
      </c>
      <c r="I89" s="44" t="e">
        <f>H89/$H$84</f>
        <v>#DIV/0!</v>
      </c>
      <c r="J89" s="61"/>
      <c r="K89" s="61"/>
      <c r="M89" s="281">
        <f>D89-B89</f>
        <v>0</v>
      </c>
      <c r="N89" s="282" t="e">
        <f>M89/B89</f>
        <v>#DIV/0!</v>
      </c>
      <c r="O89" s="283" t="e">
        <f>D89/B89</f>
        <v>#DIV/0!</v>
      </c>
      <c r="Q89" s="281">
        <f>F89-D89</f>
        <v>0</v>
      </c>
      <c r="R89" s="282" t="e">
        <f>Q89/D89</f>
        <v>#DIV/0!</v>
      </c>
      <c r="S89" s="283" t="e">
        <f>F89/D89</f>
        <v>#DIV/0!</v>
      </c>
      <c r="U89" s="281">
        <f>H89-F89</f>
        <v>0</v>
      </c>
      <c r="V89" s="282" t="e">
        <f>U89/F89</f>
        <v>#DIV/0!</v>
      </c>
      <c r="W89" s="283" t="e">
        <f>H89/F89</f>
        <v>#DIV/0!</v>
      </c>
    </row>
    <row r="90" spans="1:23" ht="15.75" customHeight="1" x14ac:dyDescent="0.25">
      <c r="A90" s="34" t="s">
        <v>163</v>
      </c>
      <c r="B90" s="112">
        <f>Balance!B78</f>
        <v>0</v>
      </c>
      <c r="C90" s="44" t="e">
        <f>B90/$B$96</f>
        <v>#DIV/0!</v>
      </c>
      <c r="D90" s="112">
        <f>Balance!D78</f>
        <v>0</v>
      </c>
      <c r="E90" s="44" t="e">
        <f>D90/$D$96</f>
        <v>#DIV/0!</v>
      </c>
      <c r="F90" s="112">
        <f>Balance!F78</f>
        <v>0</v>
      </c>
      <c r="G90" s="45" t="e">
        <f>F90/$F$84</f>
        <v>#DIV/0!</v>
      </c>
      <c r="H90" s="112">
        <f>Balance!H78</f>
        <v>0</v>
      </c>
      <c r="I90" s="44" t="e">
        <f>H90/$H$84</f>
        <v>#DIV/0!</v>
      </c>
      <c r="J90" s="61"/>
      <c r="K90" s="61"/>
      <c r="M90" s="281">
        <f>D90-B90</f>
        <v>0</v>
      </c>
      <c r="N90" s="282" t="e">
        <f>M90/B90</f>
        <v>#DIV/0!</v>
      </c>
      <c r="O90" s="283" t="e">
        <f>D90/B90</f>
        <v>#DIV/0!</v>
      </c>
      <c r="Q90" s="281">
        <f>F90-D90</f>
        <v>0</v>
      </c>
      <c r="R90" s="282" t="e">
        <f>Q90/D90</f>
        <v>#DIV/0!</v>
      </c>
      <c r="S90" s="283" t="e">
        <f>F90/D90</f>
        <v>#DIV/0!</v>
      </c>
      <c r="U90" s="281">
        <f>H90-F90</f>
        <v>0</v>
      </c>
      <c r="V90" s="282" t="e">
        <f>U90/F90</f>
        <v>#DIV/0!</v>
      </c>
      <c r="W90" s="283" t="e">
        <f>H90/F90</f>
        <v>#DIV/0!</v>
      </c>
    </row>
    <row r="91" spans="1:23" ht="15.75" customHeight="1" x14ac:dyDescent="0.25">
      <c r="A91" s="9"/>
      <c r="B91" s="9" t="s">
        <v>81</v>
      </c>
      <c r="C91" s="11"/>
      <c r="D91" s="9" t="s">
        <v>81</v>
      </c>
      <c r="E91" s="11"/>
      <c r="F91" s="12" t="s">
        <v>81</v>
      </c>
      <c r="G91" s="2"/>
      <c r="H91" s="9" t="s">
        <v>81</v>
      </c>
      <c r="I91" s="11"/>
      <c r="J91" s="2"/>
      <c r="K91" s="2"/>
    </row>
    <row r="92" spans="1:23" ht="15.75" customHeight="1" x14ac:dyDescent="0.25">
      <c r="A92" s="57" t="s">
        <v>166</v>
      </c>
      <c r="B92" s="131">
        <f>SUM(B86:B90)</f>
        <v>0</v>
      </c>
      <c r="C92" s="59" t="e">
        <f>B92/$B$94</f>
        <v>#DIV/0!</v>
      </c>
      <c r="D92" s="131">
        <f>SUM(D86:D90)</f>
        <v>0</v>
      </c>
      <c r="E92" s="59" t="e">
        <f>D92/$D$94</f>
        <v>#DIV/0!</v>
      </c>
      <c r="F92" s="131">
        <f>SUM(F86:F90)</f>
        <v>0</v>
      </c>
      <c r="G92" s="60" t="e">
        <f>F92/$F$94</f>
        <v>#DIV/0!</v>
      </c>
      <c r="H92" s="131">
        <f>SUM(H86:H90)</f>
        <v>0</v>
      </c>
      <c r="I92" s="59" t="e">
        <f>H92/$H$94</f>
        <v>#DIV/0!</v>
      </c>
      <c r="J92" s="61"/>
      <c r="K92" s="61"/>
      <c r="M92" s="294">
        <f>D92-B92</f>
        <v>0</v>
      </c>
      <c r="N92" s="295" t="e">
        <f>M92/B92</f>
        <v>#DIV/0!</v>
      </c>
      <c r="O92" s="296" t="e">
        <f>D92/B92</f>
        <v>#DIV/0!</v>
      </c>
      <c r="Q92" s="294">
        <f>F92-D92</f>
        <v>0</v>
      </c>
      <c r="R92" s="295" t="e">
        <f>Q92/D92</f>
        <v>#DIV/0!</v>
      </c>
      <c r="S92" s="296" t="e">
        <f>F92/D92</f>
        <v>#DIV/0!</v>
      </c>
      <c r="U92" s="294">
        <f>H92-F92</f>
        <v>0</v>
      </c>
      <c r="V92" s="295" t="e">
        <f>U92/F92</f>
        <v>#DIV/0!</v>
      </c>
      <c r="W92" s="296" t="e">
        <f>H92/F92</f>
        <v>#DIV/0!</v>
      </c>
    </row>
    <row r="93" spans="1:23" ht="15.75" customHeight="1" x14ac:dyDescent="0.25">
      <c r="A93" s="34"/>
      <c r="B93" s="132"/>
      <c r="C93" s="109"/>
      <c r="D93" s="132"/>
      <c r="E93" s="109"/>
      <c r="F93" s="132"/>
      <c r="G93" s="45"/>
      <c r="H93" s="132"/>
      <c r="I93" s="44"/>
      <c r="J93" s="61"/>
      <c r="K93" s="61"/>
    </row>
    <row r="94" spans="1:23" ht="15.75" customHeight="1" x14ac:dyDescent="0.3">
      <c r="A94" s="135" t="s">
        <v>168</v>
      </c>
      <c r="B94" s="136">
        <f>B92</f>
        <v>0</v>
      </c>
      <c r="C94" s="137" t="e">
        <f>B94/$B$96</f>
        <v>#DIV/0!</v>
      </c>
      <c r="D94" s="136">
        <f>D92</f>
        <v>0</v>
      </c>
      <c r="E94" s="137" t="e">
        <f>D94/$D$96</f>
        <v>#DIV/0!</v>
      </c>
      <c r="F94" s="138">
        <f>F92</f>
        <v>0</v>
      </c>
      <c r="G94" s="139" t="e">
        <f>F94/$F$96</f>
        <v>#DIV/0!</v>
      </c>
      <c r="H94" s="136">
        <f>H92</f>
        <v>0</v>
      </c>
      <c r="I94" s="137" t="e">
        <f>H94/$H$96</f>
        <v>#DIV/0!</v>
      </c>
      <c r="J94" s="61"/>
      <c r="K94" s="61"/>
      <c r="M94" s="294">
        <f>D94-B94</f>
        <v>0</v>
      </c>
      <c r="N94" s="295" t="e">
        <f>M94/B94</f>
        <v>#DIV/0!</v>
      </c>
      <c r="O94" s="296" t="e">
        <f>D94/B94</f>
        <v>#DIV/0!</v>
      </c>
      <c r="Q94" s="294">
        <f>F94-D94</f>
        <v>0</v>
      </c>
      <c r="R94" s="295" t="e">
        <f>Q94/D94</f>
        <v>#DIV/0!</v>
      </c>
      <c r="S94" s="296" t="e">
        <f>F94/D94</f>
        <v>#DIV/0!</v>
      </c>
      <c r="U94" s="294">
        <f>H94-F94</f>
        <v>0</v>
      </c>
      <c r="V94" s="295" t="e">
        <f>U94/F94</f>
        <v>#DIV/0!</v>
      </c>
      <c r="W94" s="296" t="e">
        <f>H94/F94</f>
        <v>#DIV/0!</v>
      </c>
    </row>
    <row r="95" spans="1:23" ht="15.75" customHeight="1" x14ac:dyDescent="0.25">
      <c r="A95" s="34"/>
      <c r="B95" s="34"/>
      <c r="C95" s="109"/>
      <c r="D95" s="34"/>
      <c r="E95" s="109"/>
      <c r="F95" s="34"/>
      <c r="G95" s="111"/>
      <c r="H95" s="34"/>
      <c r="I95" s="109"/>
      <c r="J95" s="2"/>
      <c r="K95" s="2"/>
    </row>
    <row r="96" spans="1:23" ht="15.75" customHeight="1" x14ac:dyDescent="0.35">
      <c r="A96" s="140" t="s">
        <v>171</v>
      </c>
      <c r="B96" s="141">
        <f>B94+B82</f>
        <v>0</v>
      </c>
      <c r="C96" s="142" t="e">
        <f>B96/$B$96</f>
        <v>#DIV/0!</v>
      </c>
      <c r="D96" s="141">
        <f>D94+D82</f>
        <v>0</v>
      </c>
      <c r="E96" s="142" t="e">
        <f>D96/$D$96</f>
        <v>#DIV/0!</v>
      </c>
      <c r="F96" s="143">
        <f>F94+F82</f>
        <v>0</v>
      </c>
      <c r="G96" s="144" t="e">
        <f>F96/$F$96</f>
        <v>#DIV/0!</v>
      </c>
      <c r="H96" s="141">
        <f>H94+H82</f>
        <v>0</v>
      </c>
      <c r="I96" s="142" t="e">
        <f>H96/$H$96</f>
        <v>#DIV/0!</v>
      </c>
      <c r="J96" s="308"/>
      <c r="K96" s="308"/>
      <c r="M96" s="294">
        <f>D96-B96</f>
        <v>0</v>
      </c>
      <c r="N96" s="295" t="e">
        <f>M96/B96</f>
        <v>#DIV/0!</v>
      </c>
      <c r="O96" s="296" t="e">
        <f>D96/B96</f>
        <v>#DIV/0!</v>
      </c>
      <c r="Q96" s="294">
        <f>F96-D96</f>
        <v>0</v>
      </c>
      <c r="R96" s="295" t="e">
        <f>Q96/D96</f>
        <v>#DIV/0!</v>
      </c>
      <c r="S96" s="296" t="e">
        <f>F96/D96</f>
        <v>#DIV/0!</v>
      </c>
      <c r="U96" s="294">
        <f>H96-F96</f>
        <v>0</v>
      </c>
      <c r="V96" s="295" t="e">
        <f>U96/F96</f>
        <v>#DIV/0!</v>
      </c>
      <c r="W96" s="296" t="e">
        <f>H96/F96</f>
        <v>#DIV/0!</v>
      </c>
    </row>
    <row r="97" spans="1:23" ht="15.75" customHeight="1" x14ac:dyDescent="0.25">
      <c r="A97" s="34"/>
      <c r="B97" s="34" t="s">
        <v>116</v>
      </c>
      <c r="C97" s="109"/>
      <c r="D97" s="34" t="s">
        <v>116</v>
      </c>
      <c r="E97" s="109"/>
      <c r="F97" s="63" t="s">
        <v>116</v>
      </c>
      <c r="G97" s="111"/>
      <c r="H97" s="34" t="s">
        <v>116</v>
      </c>
      <c r="I97" s="109"/>
      <c r="J97" s="2"/>
      <c r="K97" s="2"/>
    </row>
    <row r="98" spans="1:23" ht="15.75" customHeight="1" x14ac:dyDescent="0.25">
      <c r="A98" s="145"/>
      <c r="B98" s="146"/>
      <c r="C98" s="147"/>
      <c r="D98" s="146"/>
      <c r="E98" s="147"/>
      <c r="F98" s="148"/>
      <c r="G98" s="148"/>
      <c r="H98" s="146"/>
      <c r="I98" s="147"/>
      <c r="J98" s="2"/>
      <c r="K98" s="2"/>
    </row>
    <row r="99" spans="1:23" ht="15.75" customHeight="1" x14ac:dyDescent="0.25">
      <c r="A99" s="150"/>
      <c r="B99" s="152"/>
      <c r="C99" s="111"/>
      <c r="D99" s="152"/>
      <c r="E99" s="111"/>
      <c r="F99" s="152"/>
      <c r="G99" s="111"/>
      <c r="H99" s="152"/>
      <c r="I99" s="109"/>
      <c r="J99" s="2"/>
      <c r="K99" s="2"/>
    </row>
    <row r="100" spans="1:23" ht="15.75" customHeight="1" x14ac:dyDescent="0.35">
      <c r="A100" s="153" t="s">
        <v>175</v>
      </c>
      <c r="B100" s="157">
        <f>(B56-B96)</f>
        <v>0</v>
      </c>
      <c r="C100" s="155"/>
      <c r="D100" s="157">
        <f>(D56-D96)</f>
        <v>0</v>
      </c>
      <c r="E100" s="155"/>
      <c r="F100" s="154">
        <f>(F56-F96)</f>
        <v>0</v>
      </c>
      <c r="G100" s="156"/>
      <c r="H100" s="157">
        <f>(H56-H96)</f>
        <v>0</v>
      </c>
      <c r="I100" s="155"/>
      <c r="J100" s="308"/>
      <c r="K100" s="308"/>
      <c r="M100" s="157">
        <f>(M56-M96)</f>
        <v>0</v>
      </c>
      <c r="N100" s="157" t="e">
        <f>(N56-N96)</f>
        <v>#DIV/0!</v>
      </c>
      <c r="O100" s="157" t="e">
        <f>(O56-O96)</f>
        <v>#DIV/0!</v>
      </c>
      <c r="P100" s="309"/>
      <c r="Q100" s="157">
        <f>(Q56-Q96)</f>
        <v>0</v>
      </c>
      <c r="R100" s="157" t="e">
        <f>(R56-R96)</f>
        <v>#DIV/0!</v>
      </c>
      <c r="S100" s="157" t="e">
        <f>(S56-S96)</f>
        <v>#DIV/0!</v>
      </c>
      <c r="T100" s="309"/>
      <c r="U100" s="157">
        <f>(U56-U96)</f>
        <v>0</v>
      </c>
      <c r="V100" s="157" t="e">
        <f>(V56-V96)</f>
        <v>#DIV/0!</v>
      </c>
      <c r="W100" s="157" t="e">
        <f>(W56-W96)</f>
        <v>#DIV/0!</v>
      </c>
    </row>
    <row r="101" spans="1:23" ht="15.75" customHeight="1" x14ac:dyDescent="0.25"/>
    <row r="102" spans="1:23" ht="15.75" customHeight="1" x14ac:dyDescent="0.25"/>
    <row r="103" spans="1:23" ht="15.75" customHeight="1" x14ac:dyDescent="0.25"/>
    <row r="104" spans="1:23" ht="15.75" customHeight="1" x14ac:dyDescent="0.25"/>
    <row r="105" spans="1:23" ht="15.75" customHeight="1" x14ac:dyDescent="0.25"/>
    <row r="106" spans="1:23" ht="15.75" customHeight="1" x14ac:dyDescent="0.25"/>
    <row r="107" spans="1:23" ht="15.75" customHeight="1" x14ac:dyDescent="0.25"/>
    <row r="108" spans="1:23" ht="15.75" customHeight="1" x14ac:dyDescent="0.25"/>
    <row r="109" spans="1:23" ht="15.75" customHeight="1" x14ac:dyDescent="0.25"/>
    <row r="110" spans="1:23" ht="15.75" customHeight="1" x14ac:dyDescent="0.25"/>
    <row r="111" spans="1:23" ht="15.75" customHeight="1" x14ac:dyDescent="0.25"/>
    <row r="112" spans="1:23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1">
    <mergeCell ref="U1:W1"/>
    <mergeCell ref="U19:W19"/>
    <mergeCell ref="U60:W60"/>
    <mergeCell ref="A59:C59"/>
    <mergeCell ref="D3:E3"/>
    <mergeCell ref="H3:I3"/>
    <mergeCell ref="M59:O59"/>
    <mergeCell ref="U59:W59"/>
    <mergeCell ref="M1:O1"/>
    <mergeCell ref="M20:O20"/>
    <mergeCell ref="M2:O2"/>
    <mergeCell ref="M60:O60"/>
    <mergeCell ref="Q20:S20"/>
    <mergeCell ref="Q1:S1"/>
    <mergeCell ref="F3:G3"/>
    <mergeCell ref="F59:G59"/>
    <mergeCell ref="H59:I59"/>
    <mergeCell ref="Q59:S59"/>
    <mergeCell ref="Q2:S2"/>
    <mergeCell ref="M19:O19"/>
    <mergeCell ref="U2:W2"/>
    <mergeCell ref="Q19:S19"/>
    <mergeCell ref="B3:C3"/>
    <mergeCell ref="Q85:S85"/>
    <mergeCell ref="Q60:S60"/>
    <mergeCell ref="A85:C85"/>
    <mergeCell ref="M85:O85"/>
    <mergeCell ref="F85:G85"/>
    <mergeCell ref="H85:I85"/>
    <mergeCell ref="U20:W20"/>
    <mergeCell ref="U85:W8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workbookViewId="0"/>
  </sheetViews>
  <sheetFormatPr baseColWidth="10" defaultColWidth="14.42578125" defaultRowHeight="15" customHeight="1" x14ac:dyDescent="0.25"/>
  <cols>
    <col min="1" max="1" width="60.5703125" customWidth="1"/>
    <col min="2" max="2" width="10.7109375" customWidth="1"/>
    <col min="3" max="3" width="12" customWidth="1"/>
    <col min="4" max="26" width="10.7109375" customWidth="1"/>
  </cols>
  <sheetData>
    <row r="1" spans="1:3" x14ac:dyDescent="0.25"/>
    <row r="2" spans="1:3" x14ac:dyDescent="0.25">
      <c r="A2" s="310"/>
      <c r="B2" s="311">
        <f>Balance!F3</f>
        <v>2</v>
      </c>
      <c r="C2" s="311" t="str">
        <f>Balance!H3</f>
        <v>3 (INCORRECTO)</v>
      </c>
    </row>
    <row r="3" spans="1:3" x14ac:dyDescent="0.25">
      <c r="A3" s="97" t="s">
        <v>243</v>
      </c>
      <c r="B3" s="261">
        <f>Balance!F19</f>
        <v>0</v>
      </c>
      <c r="C3" s="261">
        <f>Balance!H19</f>
        <v>0</v>
      </c>
    </row>
    <row r="4" spans="1:3" x14ac:dyDescent="0.25">
      <c r="A4" s="97" t="s">
        <v>244</v>
      </c>
      <c r="B4" s="261">
        <f>Balance!F33</f>
        <v>0</v>
      </c>
      <c r="C4" s="261">
        <f>Balance!H33</f>
        <v>0</v>
      </c>
    </row>
    <row r="5" spans="1:3" x14ac:dyDescent="0.25">
      <c r="A5" s="97" t="s">
        <v>245</v>
      </c>
      <c r="B5" s="49">
        <f>Balance!F40</f>
        <v>0</v>
      </c>
      <c r="C5" s="49">
        <f>Balance!H40</f>
        <v>0</v>
      </c>
    </row>
    <row r="6" spans="1:3" x14ac:dyDescent="0.25">
      <c r="A6" s="97" t="s">
        <v>246</v>
      </c>
      <c r="B6" s="49">
        <f>Balance!F61-Balance!F53</f>
        <v>0</v>
      </c>
      <c r="C6" s="49">
        <f>Balance!H61-Balance!H53</f>
        <v>0</v>
      </c>
    </row>
    <row r="7" spans="1:3" x14ac:dyDescent="0.25">
      <c r="A7" s="97" t="s">
        <v>247</v>
      </c>
      <c r="B7" s="261">
        <f>Balance!F53+Balance!F65</f>
        <v>0</v>
      </c>
      <c r="C7" s="261">
        <f>Balance!H53+Balance!H65</f>
        <v>0</v>
      </c>
    </row>
    <row r="8" spans="1:3" x14ac:dyDescent="0.25">
      <c r="A8" s="97" t="s">
        <v>248</v>
      </c>
      <c r="B8" s="261">
        <f>Balance!F67-Balance!F65</f>
        <v>0</v>
      </c>
      <c r="C8" s="261">
        <f>Balance!H67-Balance!H65</f>
        <v>0</v>
      </c>
    </row>
    <row r="9" spans="1:3" x14ac:dyDescent="0.25">
      <c r="A9" s="97" t="s">
        <v>249</v>
      </c>
      <c r="B9" s="261">
        <f>Balance!F52</f>
        <v>0</v>
      </c>
      <c r="C9" s="261">
        <f>Balance!H52</f>
        <v>0</v>
      </c>
    </row>
    <row r="10" spans="1:3" x14ac:dyDescent="0.25">
      <c r="A10" s="97" t="s">
        <v>250</v>
      </c>
      <c r="B10" s="49">
        <f>Balance!F82</f>
        <v>0</v>
      </c>
      <c r="C10" s="49">
        <f>Balance!H82</f>
        <v>0</v>
      </c>
    </row>
    <row r="11" spans="1:3" x14ac:dyDescent="0.25"/>
    <row r="12" spans="1:3" x14ac:dyDescent="0.25">
      <c r="A12" s="97" t="s">
        <v>192</v>
      </c>
      <c r="B12" s="312">
        <f>'Edo de resultados'!F7</f>
        <v>0</v>
      </c>
      <c r="C12" s="312">
        <f>'Edo de resultados'!H7</f>
        <v>0</v>
      </c>
    </row>
    <row r="13" spans="1:3" x14ac:dyDescent="0.25">
      <c r="A13" s="97" t="s">
        <v>251</v>
      </c>
      <c r="B13" s="312">
        <f>'Edo de resultados'!F14</f>
        <v>0</v>
      </c>
      <c r="C13" s="312">
        <f>'Edo de resultados'!H14</f>
        <v>0</v>
      </c>
    </row>
    <row r="14" spans="1:3" x14ac:dyDescent="0.25">
      <c r="A14" s="97" t="s">
        <v>252</v>
      </c>
      <c r="B14" s="261">
        <f>'Edo de resultados'!F29</f>
        <v>0</v>
      </c>
      <c r="C14" s="261">
        <f>'Edo de resultados'!H29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Balance</vt:lpstr>
      <vt:lpstr>Edo de resultados</vt:lpstr>
      <vt:lpstr>Flujo</vt:lpstr>
      <vt:lpstr>Edo de res AN HORIZ</vt:lpstr>
      <vt:lpstr>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jaredcruz1 bastarrachea</cp:lastModifiedBy>
  <dcterms:created xsi:type="dcterms:W3CDTF">2011-07-19T21:37:16Z</dcterms:created>
  <dcterms:modified xsi:type="dcterms:W3CDTF">2026-05-12T16:42:49Z</dcterms:modified>
</cp:coreProperties>
</file>